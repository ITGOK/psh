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<sst xmlns="http://schemas.openxmlformats.org/spreadsheetml/2006/main" count="646" uniqueCount="424">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</sst>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2"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4" fillId="0" borderId="1" xfId="0" applyFont="1" applyBorder="1" applyAlignment="1" applyProtection="1">
      <alignment horizontal="left" vertical="center" wrapText="1"/>
      <protection hidden="1"/>
    </xf>
    <xf numFmtId="0" fontId="63" fillId="2" borderId="0" xfId="0" applyFont="1" applyFill="1" applyAlignment="1" applyProtection="1">
      <alignment horizontal="right" vertical="center" wrapText="1"/>
      <protection locked="0"/>
    </xf>
    <xf numFmtId="0" fontId="63" fillId="2" borderId="0" xfId="0" applyFont="1" applyFill="1" applyAlignment="1" applyProtection="1">
      <alignment horizontal="right" vertical="center" wrapText="1"/>
      <protection hidden="1"/>
    </xf>
    <xf numFmtId="0" fontId="63" fillId="2" borderId="0" xfId="0" applyFont="1" applyFill="1" applyAlignment="1" applyProtection="1">
      <alignment vertical="center" wrapText="1"/>
      <protection hidden="1"/>
    </xf>
    <xf numFmtId="0" fontId="64" fillId="2" borderId="0" xfId="0" applyFont="1" applyFill="1" applyAlignment="1" applyProtection="1">
      <alignment vertical="center" wrapText="1"/>
      <protection hidden="1"/>
    </xf>
    <xf numFmtId="0" fontId="58" fillId="2" borderId="0" xfId="0" applyFont="1" applyFill="1" applyAlignment="1" applyProtection="1">
      <alignment horizontal="center" vertical="center" wrapText="1"/>
      <protection hidden="1"/>
    </xf>
    <xf numFmtId="0" fontId="58" fillId="2" borderId="0" xfId="0" applyFont="1" applyFill="1" applyBorder="1" applyAlignment="1" applyProtection="1">
      <alignment horizontal="center" vertical="center" wrapText="1"/>
      <protection hidden="1"/>
    </xf>
    <xf numFmtId="0" fontId="63" fillId="2" borderId="0" xfId="0" applyFont="1" applyFill="1" applyBorder="1" applyAlignment="1" applyProtection="1">
      <alignment vertical="center" wrapText="1"/>
      <protection hidden="1"/>
    </xf>
    <xf numFmtId="0" fontId="65" fillId="2" borderId="0" xfId="0" applyFont="1" applyFill="1" applyBorder="1" applyAlignment="1" applyProtection="1">
      <alignment horizontal="center" vertical="center" wrapText="1"/>
      <protection hidden="1"/>
    </xf>
    <xf numFmtId="0" fontId="57" fillId="2" borderId="0" xfId="0" applyFont="1" applyFill="1" applyAlignment="1" applyProtection="1">
      <alignment horizontal="center" vertical="center" wrapText="1"/>
      <protection locked="0"/>
    </xf>
    <xf numFmtId="0" fontId="66" fillId="2" borderId="0" xfId="0" applyFont="1" applyFill="1" applyAlignment="1" applyProtection="1">
      <alignment horizontal="center" vertical="center" wrapText="1"/>
      <protection hidden="1"/>
    </xf>
    <xf numFmtId="0" fontId="66" fillId="2" borderId="0" xfId="0" applyFont="1" applyFill="1" applyAlignment="1" applyProtection="1">
      <alignment vertical="center" wrapText="1"/>
      <protection hidden="1"/>
    </xf>
    <xf numFmtId="0" fontId="67" fillId="2" borderId="0" xfId="0" applyFont="1" applyFill="1" applyAlignment="1" applyProtection="1">
      <alignment vertical="center" wrapText="1"/>
      <protection hidden="1"/>
    </xf>
    <xf numFmtId="0" fontId="66" fillId="2" borderId="0" xfId="0" applyFont="1" applyFill="1" applyBorder="1" applyAlignment="1" applyProtection="1">
      <alignment vertical="center" wrapText="1"/>
      <protection hidden="1"/>
    </xf>
    <xf numFmtId="0" fontId="68" fillId="2" borderId="0" xfId="0" applyFont="1" applyFill="1" applyBorder="1" applyAlignment="1" applyProtection="1">
      <alignment horizontal="center" vertical="center" wrapText="1"/>
      <protection locked="0"/>
    </xf>
    <xf numFmtId="0" fontId="61" fillId="6" borderId="5" xfId="0" applyFont="1" applyFill="1" applyBorder="1" applyAlignment="1" applyProtection="1">
      <alignment horizontal="center" vertical="center" wrapText="1"/>
      <protection hidden="1"/>
    </xf>
    <xf numFmtId="0" fontId="61" fillId="6" borderId="5" xfId="0" applyFont="1" applyFill="1" applyBorder="1" applyAlignment="1">
      <alignment horizontal="center" vertical="center" wrapText="1"/>
    </xf>
    <xf numFmtId="0" fontId="61" fillId="7" borderId="20" xfId="0" applyFont="1" applyFill="1" applyBorder="1" applyAlignment="1" applyProtection="1">
      <alignment horizontal="center" vertical="center" wrapText="1"/>
      <protection hidden="1"/>
    </xf>
    <xf numFmtId="0" fontId="61"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1" fillId="3" borderId="14" xfId="0" applyFont="1" applyFill="1" applyBorder="1" applyAlignment="1" applyProtection="1">
      <alignment horizontal="center" vertical="center"/>
      <protection hidden="1"/>
    </xf>
    <xf numFmtId="1" fontId="76"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1"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1" fillId="3" borderId="14" xfId="0" applyNumberFormat="1" applyFont="1" applyFill="1" applyBorder="1" applyAlignment="1" applyProtection="1">
      <alignment vertical="center" wrapText="1"/>
      <protection hidden="1"/>
    </xf>
    <xf numFmtId="1" fontId="77" fillId="3" borderId="14" xfId="0" applyNumberFormat="1" applyFont="1" applyFill="1" applyBorder="1" applyAlignment="1" applyProtection="1">
      <alignment horizontal="right" vertical="center"/>
      <protection hidden="1"/>
    </xf>
    <xf numFmtId="1" fontId="76"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1" fillId="3" borderId="14" xfId="0" applyNumberFormat="1" applyFont="1" applyFill="1" applyBorder="1" applyAlignment="1" applyProtection="1">
      <alignment horizontal="center" vertical="center" wrapText="1"/>
      <protection hidden="1"/>
    </xf>
    <xf numFmtId="1" fontId="62" fillId="3" borderId="14" xfId="0" applyNumberFormat="1" applyFont="1" applyFill="1" applyBorder="1" applyAlignment="1" applyProtection="1">
      <alignment horizontal="center" vertical="center"/>
      <protection hidden="1"/>
    </xf>
    <xf numFmtId="1" fontId="62" fillId="3" borderId="14" xfId="0" applyNumberFormat="1" applyFont="1" applyFill="1" applyBorder="1" applyAlignment="1" applyProtection="1">
      <alignment horizontal="right" vertical="center" wrapText="1"/>
      <protection hidden="1"/>
    </xf>
    <xf numFmtId="1" fontId="61" fillId="3" borderId="14" xfId="0" applyNumberFormat="1" applyFont="1" applyFill="1" applyBorder="1" applyAlignment="1" applyProtection="1">
      <alignment horizontal="right" vertical="center"/>
      <protection hidden="1"/>
    </xf>
    <xf numFmtId="0" fontId="58"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6" fillId="2" borderId="0" xfId="0" applyNumberFormat="1" applyFont="1" applyFill="1" applyBorder="1" applyAlignment="1" applyProtection="1">
      <alignment horizontal="center" vertical="center"/>
      <protection hidden="1"/>
    </xf>
    <xf numFmtId="166" fontId="58" fillId="2" borderId="0" xfId="0" applyNumberFormat="1" applyFont="1" applyFill="1" applyAlignment="1" applyProtection="1">
      <alignment horizontal="right" vertical="center" wrapText="1"/>
      <protection hidden="1"/>
    </xf>
    <xf numFmtId="0" fontId="58" fillId="2" borderId="0" xfId="0" applyFont="1" applyFill="1" applyAlignment="1" applyProtection="1">
      <alignment horizontal="left" vertical="center" wrapText="1"/>
      <protection hidden="1"/>
    </xf>
    <xf numFmtId="1" fontId="61" fillId="2" borderId="0" xfId="0" applyNumberFormat="1" applyFont="1" applyFill="1" applyAlignment="1" applyProtection="1">
      <alignment horizontal="center" vertical="center" wrapText="1"/>
      <protection hidden="1"/>
    </xf>
    <xf numFmtId="1" fontId="61" fillId="2" borderId="0" xfId="0" applyNumberFormat="1" applyFont="1" applyFill="1" applyAlignment="1" applyProtection="1">
      <alignment horizontal="right" vertical="center" wrapText="1"/>
      <protection hidden="1"/>
    </xf>
    <xf numFmtId="0" fontId="58"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6"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1"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1" fillId="3" borderId="1" xfId="0" applyNumberFormat="1" applyFont="1" applyFill="1" applyBorder="1" applyAlignment="1" applyProtection="1">
      <alignment vertical="center" wrapText="1"/>
      <protection hidden="1"/>
    </xf>
    <xf numFmtId="1" fontId="76" fillId="3" borderId="1" xfId="0" applyNumberFormat="1" applyFont="1" applyFill="1" applyBorder="1" applyAlignment="1" applyProtection="1">
      <alignment horizontal="right" vertical="center"/>
      <protection hidden="1"/>
    </xf>
    <xf numFmtId="0" fontId="61" fillId="3" borderId="1" xfId="0" applyNumberFormat="1" applyFont="1" applyFill="1" applyBorder="1" applyAlignment="1" applyProtection="1">
      <alignment horizontal="center" vertical="center"/>
      <protection hidden="1"/>
    </xf>
    <xf numFmtId="1" fontId="61" fillId="3" borderId="1" xfId="0" applyNumberFormat="1" applyFont="1" applyFill="1" applyBorder="1" applyAlignment="1" applyProtection="1">
      <alignment horizontal="center" vertical="center" wrapText="1"/>
      <protection hidden="1"/>
    </xf>
    <xf numFmtId="1" fontId="62" fillId="3" borderId="1" xfId="0" applyNumberFormat="1" applyFont="1" applyFill="1" applyBorder="1" applyAlignment="1" applyProtection="1">
      <alignment horizontal="center" vertical="center"/>
      <protection hidden="1"/>
    </xf>
    <xf numFmtId="9" fontId="58"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1"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79" fillId="3" borderId="1" xfId="0" applyNumberFormat="1" applyFont="1" applyFill="1" applyBorder="1" applyAlignment="1" applyProtection="1">
      <alignment horizontal="right" vertical="center" wrapText="1"/>
      <protection hidden="1"/>
    </xf>
    <xf numFmtId="1" fontId="79" fillId="3" borderId="14" xfId="0" applyNumberFormat="1" applyFont="1" applyFill="1" applyBorder="1" applyAlignment="1" applyProtection="1">
      <alignment horizontal="right" vertical="center" wrapText="1"/>
      <protection hidden="1"/>
    </xf>
    <xf numFmtId="1" fontId="79" fillId="3" borderId="1" xfId="0" applyNumberFormat="1" applyFont="1" applyFill="1" applyBorder="1" applyAlignment="1" applyProtection="1">
      <alignment horizontal="right" vertical="center"/>
      <protection hidden="1"/>
    </xf>
    <xf numFmtId="1" fontId="79" fillId="3" borderId="14" xfId="0" applyNumberFormat="1" applyFont="1" applyFill="1" applyBorder="1" applyAlignment="1" applyProtection="1">
      <alignment horizontal="right" vertical="center"/>
      <protection hidden="1"/>
    </xf>
    <xf numFmtId="0" fontId="53"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79" fillId="3" borderId="1" xfId="0" applyNumberFormat="1" applyFont="1" applyFill="1" applyBorder="1" applyAlignment="1" applyProtection="1">
      <alignment vertical="center" wrapText="1"/>
      <protection hidden="1"/>
    </xf>
    <xf numFmtId="1" fontId="79" fillId="3" borderId="14" xfId="0" applyNumberFormat="1" applyFont="1" applyFill="1" applyBorder="1" applyAlignment="1" applyProtection="1">
      <alignment vertical="center" wrapText="1"/>
      <protection hidden="1"/>
    </xf>
    <xf numFmtId="0" fontId="79" fillId="3" borderId="20" xfId="0" applyFont="1" applyFill="1" applyBorder="1" applyAlignment="1">
      <alignment horizontal="center" vertical="center" wrapText="1"/>
    </xf>
    <xf numFmtId="1" fontId="60" fillId="3" borderId="14" xfId="0" applyNumberFormat="1" applyFont="1" applyFill="1" applyBorder="1" applyAlignment="1" applyProtection="1">
      <alignment horizontal="right" vertical="center" wrapText="1"/>
      <protection hidden="1"/>
    </xf>
    <xf numFmtId="1" fontId="60" fillId="3" borderId="1" xfId="0" applyNumberFormat="1" applyFont="1" applyFill="1" applyBorder="1" applyAlignment="1" applyProtection="1">
      <alignment horizontal="right" vertical="center" wrapText="1"/>
      <protection hidden="1"/>
    </xf>
    <xf numFmtId="1" fontId="60" fillId="3" borderId="1" xfId="0" applyNumberFormat="1" applyFont="1" applyFill="1" applyBorder="1" applyAlignment="1" applyProtection="1">
      <alignment horizontal="center" vertical="center"/>
      <protection hidden="1"/>
    </xf>
    <xf numFmtId="1" fontId="79" fillId="3" borderId="14" xfId="0" applyNumberFormat="1" applyFont="1" applyFill="1" applyBorder="1" applyAlignment="1" applyProtection="1">
      <alignment horizontal="center" vertical="center"/>
      <protection hidden="1"/>
    </xf>
    <xf numFmtId="0" fontId="80"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79"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1" fillId="0" borderId="0" xfId="0" applyFont="1" applyAlignment="1" applyProtection="1">
      <alignment horizontal="right" vertical="center" wrapText="1"/>
      <protection hidden="1"/>
    </xf>
    <xf numFmtId="0" fontId="81" fillId="0" borderId="0" xfId="0" applyFont="1" applyAlignment="1" applyProtection="1">
      <alignment vertical="center" wrapText="1"/>
      <protection hidden="1"/>
    </xf>
    <xf numFmtId="0" fontId="81" fillId="0" borderId="0" xfId="0" applyFont="1" applyProtection="1">
      <protection hidden="1"/>
    </xf>
    <xf numFmtId="0" fontId="22" fillId="0" borderId="24" xfId="0" applyFont="1" applyBorder="1" applyAlignment="1" applyProtection="1">
      <alignment vertical="center" wrapText="1"/>
      <protection hidden="1"/>
    </xf>
    <xf numFmtId="0" fontId="81" fillId="0" borderId="0" xfId="0" applyFont="1" applyAlignment="1" applyProtection="1">
      <alignment horizontal="center" vertical="center"/>
      <protection hidden="1"/>
    </xf>
    <xf numFmtId="0" fontId="81"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2"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88"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6"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2" fillId="10" borderId="1" xfId="0" applyFont="1" applyFill="1" applyBorder="1" applyAlignment="1" applyProtection="1">
      <alignment horizontal="center" vertical="center" wrapText="1"/>
      <protection hidden="1"/>
    </xf>
    <xf numFmtId="0" fontId="93" fillId="10" borderId="3"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2" fillId="10" borderId="1" xfId="0" applyFont="1" applyFill="1" applyBorder="1" applyAlignment="1" applyProtection="1">
      <alignment horizontal="center" vertical="center"/>
      <protection hidden="1"/>
    </xf>
    <xf numFmtId="0" fontId="92" fillId="10" borderId="1" xfId="0" applyFont="1" applyFill="1" applyBorder="1" applyAlignment="1" applyProtection="1">
      <alignment horizontal="left" vertical="center" indent="6"/>
      <protection hidden="1"/>
    </xf>
    <xf numFmtId="0" fontId="92" fillId="10" borderId="1" xfId="0" applyFont="1" applyFill="1" applyBorder="1" applyAlignment="1" applyProtection="1">
      <alignment horizontal="left" vertical="center"/>
      <protection hidden="1"/>
    </xf>
    <xf numFmtId="0" fontId="95"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6"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1"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1"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4"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1"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4" fillId="2" borderId="1" xfId="0" applyFont="1" applyFill="1" applyBorder="1" applyAlignment="1" applyProtection="1">
      <alignment horizontal="left" vertical="center" wrapText="1"/>
      <protection hidden="1"/>
    </xf>
    <xf numFmtId="0" fontId="99"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99" fillId="0" borderId="20" xfId="0" applyFont="1" applyBorder="1" applyAlignment="1" applyProtection="1">
      <alignment horizontal="center" vertical="center"/>
      <protection hidden="1"/>
    </xf>
    <xf numFmtId="0" fontId="100" fillId="0" borderId="20" xfId="0" applyFont="1" applyBorder="1" applyAlignment="1" applyProtection="1">
      <alignment vertical="center" wrapText="1"/>
      <protection locked="0"/>
    </xf>
    <xf numFmtId="0" fontId="100" fillId="0" borderId="21" xfId="0" applyFont="1" applyBorder="1" applyAlignment="1" applyProtection="1">
      <alignment vertical="center" wrapText="1"/>
      <protection locked="0"/>
    </xf>
    <xf numFmtId="0" fontId="99" fillId="0" borderId="1" xfId="0" applyFont="1" applyBorder="1" applyAlignment="1" applyProtection="1">
      <alignment vertical="center"/>
      <protection hidden="1"/>
    </xf>
    <xf numFmtId="0" fontId="100" fillId="0" borderId="1" xfId="0" applyFont="1" applyBorder="1" applyAlignment="1" applyProtection="1">
      <alignment horizontal="center" vertical="center"/>
      <protection locked="0"/>
    </xf>
    <xf numFmtId="14" fontId="100" fillId="0" borderId="1" xfId="0" applyNumberFormat="1" applyFont="1" applyBorder="1" applyAlignment="1" applyProtection="1">
      <alignment horizontal="center" vertical="center"/>
      <protection locked="0"/>
    </xf>
    <xf numFmtId="0" fontId="100" fillId="0" borderId="33" xfId="0" applyFont="1" applyBorder="1" applyAlignment="1" applyProtection="1">
      <alignment horizontal="center" vertical="center"/>
      <protection locked="0"/>
    </xf>
    <xf numFmtId="14" fontId="100"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2"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59"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4" fillId="0" borderId="1" xfId="0" applyFont="1" applyBorder="1" applyAlignment="1" applyProtection="1">
      <alignment horizontal="center" vertical="center"/>
      <protection hidden="1"/>
    </xf>
    <xf numFmtId="167" fontId="54" fillId="0" borderId="1" xfId="0" applyNumberFormat="1" applyFont="1" applyBorder="1" applyAlignment="1" applyProtection="1">
      <alignment horizontal="center" vertical="center"/>
      <protection hidden="1"/>
    </xf>
    <xf numFmtId="0" fontId="54"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4"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3"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09"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1" fillId="3" borderId="1" xfId="0" applyFont="1" applyFill="1" applyBorder="1" applyAlignment="1" applyProtection="1">
      <alignment horizontal="center" vertical="center"/>
      <protection locked="0"/>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3" borderId="1" xfId="0" applyFont="1" applyFill="1" applyBorder="1" applyAlignment="1" applyProtection="1">
      <alignment horizontal="left" vertical="center" wrapText="1"/>
      <protection locked="0"/>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47" fillId="9" borderId="1"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85" fillId="12" borderId="1" xfId="0" applyFont="1" applyFill="1" applyBorder="1" applyAlignment="1" applyProtection="1">
      <alignment horizontal="center" vertical="center"/>
      <protection hidden="1"/>
    </xf>
    <xf numFmtId="0" fontId="87" fillId="3" borderId="1" xfId="1" applyFont="1" applyFill="1" applyBorder="1" applyAlignment="1" applyProtection="1">
      <alignment horizontal="left" vertical="center"/>
      <protection locked="0"/>
    </xf>
    <xf numFmtId="1" fontId="47" fillId="3" borderId="1" xfId="0" applyNumberFormat="1" applyFont="1" applyFill="1" applyBorder="1" applyAlignment="1" applyProtection="1">
      <alignment horizontal="left" vertical="center" wrapText="1"/>
      <protection locked="0"/>
    </xf>
    <xf numFmtId="0" fontId="47" fillId="11" borderId="1" xfId="0" applyFont="1" applyFill="1" applyBorder="1" applyAlignment="1" applyProtection="1">
      <alignment horizontal="center" vertical="center" wrapText="1"/>
      <protection hidden="1"/>
    </xf>
    <xf numFmtId="0" fontId="47" fillId="11" borderId="1" xfId="0" applyFont="1" applyFill="1" applyBorder="1" applyAlignment="1" applyProtection="1">
      <alignment horizontal="center" vertical="center"/>
      <protection hidden="1"/>
    </xf>
    <xf numFmtId="0" fontId="92" fillId="10" borderId="1"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protection hidden="1"/>
    </xf>
    <xf numFmtId="0" fontId="47" fillId="0" borderId="1" xfId="0" applyFont="1" applyBorder="1" applyAlignment="1" applyProtection="1">
      <alignment horizontal="center"/>
      <protection hidden="1"/>
    </xf>
    <xf numFmtId="0" fontId="92" fillId="10" borderId="6" xfId="0" applyFont="1" applyFill="1" applyBorder="1" applyAlignment="1" applyProtection="1">
      <alignment horizontal="center" vertical="center"/>
      <protection hidden="1"/>
    </xf>
    <xf numFmtId="0" fontId="92" fillId="10" borderId="12" xfId="0" applyFont="1" applyFill="1" applyBorder="1" applyAlignment="1" applyProtection="1">
      <alignment horizontal="center" vertical="center"/>
      <protection hidden="1"/>
    </xf>
    <xf numFmtId="0" fontId="92" fillId="10" borderId="7"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92" fillId="10" borderId="2" xfId="0" applyFont="1" applyFill="1" applyBorder="1" applyAlignment="1" applyProtection="1">
      <alignment horizontal="center" vertical="center"/>
      <protection hidden="1"/>
    </xf>
    <xf numFmtId="0" fontId="92" fillId="10" borderId="4" xfId="0" applyFont="1" applyFill="1" applyBorder="1" applyAlignment="1" applyProtection="1">
      <alignment horizontal="center" vertical="center"/>
      <protection hidden="1"/>
    </xf>
    <xf numFmtId="0" fontId="92" fillId="10" borderId="3" xfId="0" applyFont="1" applyFill="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89" fillId="2" borderId="1" xfId="0" applyFont="1" applyFill="1" applyBorder="1" applyAlignment="1" applyProtection="1">
      <alignment horizontal="center" vertical="center" wrapText="1"/>
      <protection hidden="1"/>
    </xf>
    <xf numFmtId="0" fontId="5" fillId="0" borderId="0" xfId="0" applyFont="1" applyAlignment="1" applyProtection="1">
      <alignment horizontal="center"/>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14" fontId="14" fillId="0" borderId="2" xfId="0" applyNumberFormat="1"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0" fillId="0" borderId="0" xfId="0" applyFont="1" applyAlignment="1" applyProtection="1">
      <alignment horizontal="left" vertical="center"/>
      <protection hidden="1"/>
    </xf>
    <xf numFmtId="0" fontId="10" fillId="0" borderId="1" xfId="0" applyFont="1" applyBorder="1" applyAlignment="1" applyProtection="1">
      <alignment horizontal="center"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3" fillId="0" borderId="10" xfId="0" applyFont="1" applyBorder="1" applyAlignment="1" applyProtection="1">
      <alignment horizontal="center" vertical="center" wrapText="1"/>
      <protection hidden="1"/>
    </xf>
    <xf numFmtId="0" fontId="53"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62" fillId="0" borderId="2" xfId="0" applyFont="1" applyBorder="1" applyAlignment="1" applyProtection="1">
      <alignment horizontal="left" vertical="center" wrapText="1"/>
      <protection hidden="1"/>
    </xf>
    <xf numFmtId="0" fontId="62" fillId="0" borderId="4" xfId="0" applyFont="1" applyBorder="1" applyAlignment="1" applyProtection="1">
      <alignment horizontal="left" vertical="center" wrapText="1"/>
      <protection hidden="1"/>
    </xf>
    <xf numFmtId="0" fontId="62" fillId="0" borderId="3" xfId="0" applyFont="1" applyBorder="1" applyAlignment="1" applyProtection="1">
      <alignment horizontal="left"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0" fontId="0" fillId="0" borderId="1" xfId="0" applyFont="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0" fillId="0" borderId="0" xfId="0" applyAlignment="1" applyProtection="1">
      <alignment horizontal="center"/>
      <protection hidden="1"/>
    </xf>
    <xf numFmtId="0" fontId="1" fillId="0" borderId="1" xfId="0" applyFont="1" applyBorder="1" applyAlignment="1" applyProtection="1">
      <alignment horizontal="left" vertical="center" wrapText="1"/>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0" borderId="1" xfId="0" applyFont="1" applyBorder="1" applyAlignment="1" applyProtection="1">
      <alignment horizontal="left" vertical="center"/>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5" fillId="0" borderId="1"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41" fillId="0" borderId="0" xfId="0" applyFont="1" applyAlignment="1" applyProtection="1">
      <alignment horizontal="center" vertical="center"/>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2"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4" fillId="0" borderId="14" xfId="0" applyFont="1" applyBorder="1" applyAlignment="1" applyProtection="1">
      <alignment horizontal="left" vertical="center"/>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81" fillId="0" borderId="0" xfId="0" applyFont="1" applyAlignment="1" applyProtection="1">
      <alignment horizontal="center" vertical="center" wrapText="1"/>
      <protection hidden="1"/>
    </xf>
    <xf numFmtId="0" fontId="81" fillId="0" borderId="0" xfId="0" applyFont="1" applyAlignment="1" applyProtection="1">
      <alignment horizontal="right" vertical="center" wrapText="1"/>
      <protection hidden="1"/>
    </xf>
    <xf numFmtId="14" fontId="83" fillId="0" borderId="0" xfId="0" applyNumberFormat="1"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101" fillId="0" borderId="0" xfId="0" applyFont="1" applyAlignment="1" applyProtection="1">
      <alignment horizontal="left" vertical="center"/>
      <protection hidden="1"/>
    </xf>
    <xf numFmtId="0" fontId="81" fillId="0" borderId="0" xfId="0" applyFont="1" applyAlignment="1" applyProtection="1">
      <alignment horizontal="left" vertical="center"/>
      <protection hidden="1"/>
    </xf>
    <xf numFmtId="0" fontId="81" fillId="0" borderId="0" xfId="0" applyFont="1" applyAlignment="1" applyProtection="1">
      <alignment horizontal="left" vertical="center" wrapText="1"/>
      <protection hidden="1"/>
    </xf>
    <xf numFmtId="0" fontId="84"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83" fillId="0" borderId="0" xfId="0" applyFont="1" applyAlignment="1" applyProtection="1">
      <alignment horizontal="left" vertical="center"/>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0" fontId="83" fillId="0" borderId="1" xfId="0" applyFont="1" applyBorder="1" applyAlignment="1" applyProtection="1">
      <alignment horizontal="left" vertical="center" wrapText="1"/>
      <protection hidden="1"/>
    </xf>
    <xf numFmtId="0" fontId="83" fillId="2" borderId="1" xfId="0" applyFont="1" applyFill="1" applyBorder="1" applyAlignment="1" applyProtection="1">
      <alignment horizontal="left" vertical="center" wrapText="1"/>
      <protection hidden="1"/>
    </xf>
    <xf numFmtId="0" fontId="81" fillId="0" borderId="1" xfId="0" applyFont="1" applyBorder="1" applyAlignment="1" applyProtection="1">
      <alignment horizontal="right" vertical="center" wrapText="1"/>
      <protection hidden="1"/>
    </xf>
    <xf numFmtId="0" fontId="81" fillId="2" borderId="1" xfId="0" applyFont="1" applyFill="1" applyBorder="1" applyAlignment="1" applyProtection="1">
      <alignment horizontal="right" vertical="center" wrapText="1"/>
      <protection hidden="1"/>
    </xf>
    <xf numFmtId="0" fontId="83" fillId="0" borderId="2" xfId="0" applyFont="1" applyBorder="1" applyAlignment="1" applyProtection="1">
      <alignment horizontal="left" vertical="center" wrapText="1"/>
      <protection hidden="1"/>
    </xf>
    <xf numFmtId="0" fontId="83" fillId="0" borderId="4" xfId="0" applyFont="1" applyBorder="1" applyAlignment="1" applyProtection="1">
      <alignment horizontal="left" vertical="center" wrapText="1"/>
      <protection hidden="1"/>
    </xf>
    <xf numFmtId="0" fontId="83" fillId="0" borderId="3" xfId="0" applyFont="1" applyBorder="1" applyAlignment="1" applyProtection="1">
      <alignment horizontal="left" vertical="center" wrapText="1"/>
      <protection hidden="1"/>
    </xf>
    <xf numFmtId="0" fontId="83" fillId="0" borderId="16" xfId="0" applyFont="1" applyBorder="1" applyAlignment="1" applyProtection="1">
      <alignment horizontal="left" vertical="center" wrapText="1"/>
      <protection hidden="1"/>
    </xf>
    <xf numFmtId="0" fontId="83" fillId="0" borderId="30" xfId="0" applyFont="1" applyBorder="1" applyAlignment="1" applyProtection="1">
      <alignment horizontal="left" vertical="center" wrapText="1"/>
      <protection hidden="1"/>
    </xf>
    <xf numFmtId="0" fontId="83"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83" fillId="0" borderId="0" xfId="0" applyFont="1" applyAlignment="1" applyProtection="1">
      <alignment horizontal="center" vertical="center" wrapText="1"/>
      <protection hidden="1"/>
    </xf>
    <xf numFmtId="0" fontId="82" fillId="0" borderId="0" xfId="0" applyFont="1" applyAlignment="1" applyProtection="1">
      <alignment horizontal="center" vertical="center" wrapText="1"/>
      <protection hidden="1"/>
    </xf>
    <xf numFmtId="0" fontId="101" fillId="0" borderId="0" xfId="0" applyFont="1" applyAlignment="1" applyProtection="1">
      <alignment horizontal="left" vertical="center" wrapText="1"/>
      <protection hidden="1"/>
    </xf>
    <xf numFmtId="0" fontId="83" fillId="0" borderId="0" xfId="0" applyFont="1" applyAlignment="1" applyProtection="1">
      <alignment horizontal="left" vertical="center" wrapText="1"/>
      <protection hidden="1"/>
    </xf>
    <xf numFmtId="0" fontId="48" fillId="0" borderId="0" xfId="0" applyFont="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14" fontId="101" fillId="0" borderId="0" xfId="0" applyNumberFormat="1" applyFont="1" applyAlignment="1" applyProtection="1">
      <alignment horizontal="center" vertical="center" wrapText="1"/>
      <protection hidden="1"/>
    </xf>
    <xf numFmtId="14" fontId="101"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82"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3"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0" fontId="81" fillId="0" borderId="0" xfId="0" applyFont="1" applyAlignment="1" applyProtection="1">
      <alignment horizontal="center" vertical="center"/>
      <protection hidden="1"/>
    </xf>
    <xf numFmtId="14" fontId="83" fillId="0" borderId="0" xfId="0" applyNumberFormat="1" applyFont="1" applyAlignment="1" applyProtection="1">
      <alignment horizontal="center" vertical="center" wrapText="1"/>
      <protection hidden="1"/>
    </xf>
    <xf numFmtId="0" fontId="82" fillId="0" borderId="0" xfId="0" applyFont="1" applyAlignment="1" applyProtection="1">
      <alignment horizontal="center" vertical="center"/>
      <protection hidden="1"/>
    </xf>
    <xf numFmtId="0" fontId="48" fillId="0" borderId="0" xfId="0" applyFont="1" applyAlignment="1" applyProtection="1">
      <alignment horizontal="right" vertical="center" wrapText="1"/>
      <protection hidden="1"/>
    </xf>
    <xf numFmtId="0" fontId="54" fillId="0" borderId="0" xfId="0" applyFont="1" applyAlignment="1" applyProtection="1">
      <alignment horizontal="left" vertical="center" wrapText="1"/>
      <protection hidden="1"/>
    </xf>
    <xf numFmtId="0" fontId="44" fillId="0" borderId="0" xfId="0" applyFont="1" applyAlignment="1" applyProtection="1">
      <alignment horizontal="left" vertical="center"/>
      <protection hidden="1"/>
    </xf>
    <xf numFmtId="0" fontId="22" fillId="0" borderId="1" xfId="0" applyFont="1" applyBorder="1" applyAlignment="1" applyProtection="1">
      <alignment horizontal="left"/>
      <protection hidden="1"/>
    </xf>
    <xf numFmtId="0" fontId="22" fillId="0" borderId="0" xfId="0" applyFont="1" applyAlignment="1" applyProtection="1">
      <alignment horizontal="center" vertical="center" wrapText="1"/>
      <protection hidden="1"/>
    </xf>
    <xf numFmtId="14" fontId="21" fillId="0" borderId="0" xfId="0" applyNumberFormat="1" applyFont="1" applyAlignment="1" applyProtection="1">
      <alignment horizontal="left"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54" fillId="0" borderId="1"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54" fillId="0" borderId="1" xfId="0" applyFont="1" applyBorder="1" applyAlignment="1" applyProtection="1">
      <alignment horizontal="left"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0" fontId="55"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28" fillId="0" borderId="1" xfId="0" applyFont="1" applyBorder="1" applyAlignment="1" applyProtection="1">
      <alignment horizontal="left"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4" fillId="0" borderId="10" xfId="0" applyFont="1" applyBorder="1" applyAlignment="1" applyProtection="1">
      <alignment horizontal="left" vertical="center" wrapText="1"/>
      <protection hidden="1"/>
    </xf>
    <xf numFmtId="0" fontId="54"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98" fillId="0" borderId="34" xfId="0" applyFont="1" applyBorder="1" applyAlignment="1" applyProtection="1">
      <alignment horizontal="center" vertical="center" wrapText="1"/>
      <protection hidden="1"/>
    </xf>
    <xf numFmtId="0" fontId="98"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5" fillId="0" borderId="0" xfId="0" applyFont="1" applyBorder="1" applyAlignment="1" applyProtection="1">
      <alignment horizontal="center" vertical="center" wrapText="1"/>
      <protection hidden="1"/>
    </xf>
    <xf numFmtId="0" fontId="56" fillId="0" borderId="18" xfId="0" applyFont="1" applyBorder="1" applyAlignment="1" applyProtection="1">
      <alignment horizontal="left" vertical="center" wrapText="1"/>
      <protection hidden="1"/>
    </xf>
    <xf numFmtId="0" fontId="56" fillId="0" borderId="19" xfId="0" applyFont="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0" fontId="56"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7"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1" fontId="61" fillId="6" borderId="9" xfId="0" applyNumberFormat="1" applyFont="1" applyFill="1" applyBorder="1" applyAlignment="1">
      <alignment horizontal="center" vertical="center" wrapText="1"/>
    </xf>
    <xf numFmtId="0" fontId="61" fillId="6" borderId="14" xfId="0" applyFont="1" applyFill="1" applyBorder="1" applyAlignment="1">
      <alignment horizontal="center" vertical="center" wrapText="1"/>
    </xf>
    <xf numFmtId="1" fontId="60" fillId="6" borderId="9" xfId="0" applyNumberFormat="1" applyFont="1" applyFill="1" applyBorder="1" applyAlignment="1" applyProtection="1">
      <alignment horizontal="center" vertical="center" wrapText="1"/>
      <protection hidden="1"/>
    </xf>
    <xf numFmtId="0" fontId="69" fillId="2" borderId="22" xfId="0" applyFont="1" applyFill="1" applyBorder="1" applyAlignment="1" applyProtection="1">
      <alignment horizontal="center" vertical="center" wrapText="1"/>
      <protection hidden="1"/>
    </xf>
    <xf numFmtId="0" fontId="69" fillId="2" borderId="23" xfId="0" applyFont="1" applyFill="1" applyBorder="1" applyAlignment="1" applyProtection="1">
      <alignment horizontal="center" vertical="center" wrapText="1"/>
      <protection hidden="1"/>
    </xf>
    <xf numFmtId="0" fontId="69" fillId="2" borderId="25" xfId="0" applyFont="1" applyFill="1" applyBorder="1" applyAlignment="1" applyProtection="1">
      <alignment horizontal="center" vertical="center" wrapText="1"/>
      <protection hidden="1"/>
    </xf>
    <xf numFmtId="0" fontId="71" fillId="2" borderId="22" xfId="0" applyFont="1" applyFill="1" applyBorder="1" applyAlignment="1" applyProtection="1">
      <alignment horizontal="center" vertical="center" wrapText="1"/>
      <protection hidden="1"/>
    </xf>
    <xf numFmtId="0" fontId="71" fillId="2" borderId="23" xfId="0" applyFont="1" applyFill="1" applyBorder="1" applyAlignment="1" applyProtection="1">
      <alignment horizontal="center" vertical="center" wrapText="1"/>
      <protection hidden="1"/>
    </xf>
    <xf numFmtId="0" fontId="71" fillId="2" borderId="25" xfId="0" applyFont="1" applyFill="1" applyBorder="1" applyAlignment="1" applyProtection="1">
      <alignment horizontal="center" vertical="center" wrapText="1"/>
      <protection hidden="1"/>
    </xf>
    <xf numFmtId="0" fontId="79" fillId="3" borderId="9"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61" fillId="6" borderId="9" xfId="0" applyFont="1" applyFill="1" applyBorder="1" applyAlignment="1">
      <alignment horizontal="center" vertical="center" wrapText="1"/>
    </xf>
    <xf numFmtId="1" fontId="61" fillId="6" borderId="10" xfId="0" applyNumberFormat="1" applyFont="1" applyFill="1" applyBorder="1" applyAlignment="1" applyProtection="1">
      <alignment horizontal="center" vertical="center" wrapText="1"/>
      <protection hidden="1"/>
    </xf>
    <xf numFmtId="0" fontId="61" fillId="6" borderId="5" xfId="0" applyFont="1" applyFill="1" applyBorder="1" applyAlignment="1">
      <alignment horizontal="center" vertical="center" wrapText="1"/>
    </xf>
    <xf numFmtId="166" fontId="74" fillId="5" borderId="5" xfId="0" applyNumberFormat="1" applyFont="1" applyFill="1" applyBorder="1" applyAlignment="1" applyProtection="1">
      <alignment horizontal="center" vertical="center" wrapText="1"/>
      <protection hidden="1"/>
    </xf>
    <xf numFmtId="166" fontId="74" fillId="5" borderId="9" xfId="0" applyNumberFormat="1" applyFont="1" applyFill="1" applyBorder="1" applyAlignment="1" applyProtection="1">
      <alignment horizontal="center" vertical="center" wrapText="1"/>
      <protection hidden="1"/>
    </xf>
    <xf numFmtId="0" fontId="60" fillId="6" borderId="9" xfId="0"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1" fillId="7" borderId="18" xfId="0" applyFont="1" applyFill="1" applyBorder="1" applyAlignment="1">
      <alignment horizontal="center" vertical="center" wrapText="1"/>
    </xf>
    <xf numFmtId="0" fontId="61" fillId="7" borderId="20" xfId="0" applyFont="1" applyFill="1" applyBorder="1" applyAlignment="1">
      <alignment horizontal="center" vertical="center" wrapText="1"/>
    </xf>
    <xf numFmtId="1" fontId="61" fillId="7" borderId="18" xfId="0" applyNumberFormat="1" applyFont="1" applyFill="1" applyBorder="1" applyAlignment="1">
      <alignment horizontal="center" vertical="center" wrapText="1"/>
    </xf>
    <xf numFmtId="1" fontId="61" fillId="7" borderId="20" xfId="0" applyNumberFormat="1" applyFont="1" applyFill="1" applyBorder="1" applyAlignment="1">
      <alignment horizontal="center" vertical="center" wrapText="1"/>
    </xf>
    <xf numFmtId="0" fontId="61" fillId="7" borderId="18" xfId="0" applyFont="1" applyFill="1" applyBorder="1" applyAlignment="1" applyProtection="1">
      <alignment horizontal="center" vertical="center" wrapText="1"/>
      <protection hidden="1"/>
    </xf>
    <xf numFmtId="0" fontId="61" fillId="7" borderId="20" xfId="0" applyFont="1" applyFill="1" applyBorder="1" applyAlignment="1" applyProtection="1">
      <alignment horizontal="center" vertical="center" wrapText="1"/>
      <protection hidden="1"/>
    </xf>
    <xf numFmtId="1" fontId="60" fillId="7" borderId="18" xfId="0" applyNumberFormat="1" applyFont="1" applyFill="1" applyBorder="1" applyAlignment="1" applyProtection="1">
      <alignment horizontal="center" vertical="center" wrapText="1"/>
      <protection hidden="1"/>
    </xf>
    <xf numFmtId="1" fontId="60" fillId="7" borderId="20" xfId="0" applyNumberFormat="1" applyFont="1" applyFill="1" applyBorder="1" applyAlignment="1" applyProtection="1">
      <alignment horizontal="center" vertical="center" wrapText="1"/>
      <protection hidden="1"/>
    </xf>
    <xf numFmtId="0" fontId="78" fillId="3" borderId="27" xfId="0" applyFont="1" applyFill="1" applyBorder="1" applyAlignment="1">
      <alignment horizontal="center" vertical="center" wrapText="1"/>
    </xf>
    <xf numFmtId="0" fontId="78" fillId="3" borderId="29" xfId="0" applyFont="1" applyFill="1" applyBorder="1" applyAlignment="1">
      <alignment horizontal="center" vertical="center" wrapText="1"/>
    </xf>
    <xf numFmtId="1" fontId="79" fillId="3" borderId="18" xfId="0" applyNumberFormat="1" applyFont="1" applyFill="1" applyBorder="1" applyAlignment="1" applyProtection="1">
      <alignment horizontal="center" vertical="center" wrapText="1"/>
      <protection hidden="1"/>
    </xf>
    <xf numFmtId="1" fontId="79" fillId="3" borderId="20" xfId="0" applyNumberFormat="1"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61" fillId="6" borderId="6" xfId="0" applyFont="1" applyFill="1" applyBorder="1" applyAlignment="1">
      <alignment horizontal="center" vertical="center" wrapText="1"/>
    </xf>
    <xf numFmtId="0" fontId="61" fillId="6" borderId="15" xfId="0" applyFont="1" applyFill="1" applyBorder="1" applyAlignment="1">
      <alignment horizontal="center" vertical="center" wrapText="1"/>
    </xf>
    <xf numFmtId="0" fontId="61" fillId="7" borderId="26" xfId="0" applyFont="1" applyFill="1" applyBorder="1" applyAlignment="1">
      <alignment horizontal="center" vertical="center" wrapText="1"/>
    </xf>
    <xf numFmtId="0" fontId="61" fillId="7" borderId="28" xfId="0" applyFont="1" applyFill="1" applyBorder="1" applyAlignment="1">
      <alignment horizontal="center" vertical="center" wrapText="1"/>
    </xf>
    <xf numFmtId="0" fontId="78" fillId="3" borderId="18" xfId="0" applyFont="1" applyFill="1" applyBorder="1" applyAlignment="1">
      <alignment horizontal="center" vertical="center" wrapText="1"/>
    </xf>
    <xf numFmtId="0" fontId="78" fillId="3" borderId="20" xfId="0" applyFont="1" applyFill="1" applyBorder="1" applyAlignment="1">
      <alignment horizontal="center" vertical="center" wrapText="1"/>
    </xf>
    <xf numFmtId="0" fontId="78" fillId="3" borderId="19" xfId="0" applyFont="1" applyFill="1" applyBorder="1" applyAlignment="1">
      <alignment horizontal="center" vertical="center" wrapText="1"/>
    </xf>
    <xf numFmtId="0" fontId="78" fillId="3" borderId="21" xfId="0" applyFont="1" applyFill="1" applyBorder="1" applyAlignment="1">
      <alignment horizontal="center" vertical="center" wrapText="1"/>
    </xf>
    <xf numFmtId="0" fontId="61" fillId="2" borderId="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a16="http://schemas.microsoft.com/office/drawing/2014/main" xmlns=""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a16="http://schemas.microsoft.com/office/drawing/2014/main" xmlns=""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a16="http://schemas.microsoft.com/office/drawing/2014/main" xmlns=""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a16="http://schemas.microsoft.com/office/drawing/2014/main" xmlns=""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a16="http://schemas.microsoft.com/office/drawing/2014/main" xmlns=""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zoomScaleNormal="100" workbookViewId="0">
      <selection activeCell="C3" sqref="C3"/>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80" t="s">
        <v>266</v>
      </c>
      <c r="B1" s="380"/>
      <c r="C1" s="380"/>
      <c r="D1" s="380"/>
      <c r="E1" s="38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7"/>
      <c r="E2" s="377"/>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7"/>
      <c r="E3" s="377"/>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7"/>
      <c r="E4" s="377"/>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7"/>
      <c r="E7" s="377"/>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7"/>
      <c r="E8" s="377"/>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7"/>
      <c r="E9" s="377"/>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7"/>
      <c r="E10" s="377"/>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7"/>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7"/>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7"/>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91"/>
      <c r="E14" s="387"/>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92"/>
      <c r="E15" s="387"/>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8" t="s">
        <v>50</v>
      </c>
      <c r="C16" s="389"/>
      <c r="D16" s="390"/>
      <c r="E16" s="387"/>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79"/>
      <c r="D17" s="379"/>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79"/>
      <c r="D18" s="379"/>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79"/>
      <c r="D19" s="379"/>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79"/>
      <c r="D20" s="379"/>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79"/>
      <c r="D21" s="379"/>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79"/>
      <c r="D22" s="379"/>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93" t="s">
        <v>57</v>
      </c>
      <c r="C23" s="394"/>
      <c r="D23" s="395"/>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79"/>
      <c r="D24" s="379"/>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79"/>
      <c r="D25" s="379"/>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79"/>
      <c r="D26" s="379"/>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79"/>
      <c r="D27" s="379"/>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79"/>
      <c r="D28" s="379"/>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79"/>
      <c r="D29" s="379"/>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7"/>
      <c r="E30" s="377"/>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7"/>
      <c r="E31" s="377"/>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81"/>
      <c r="D32" s="379"/>
      <c r="E32" s="377"/>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74"/>
      <c r="D33" s="374"/>
      <c r="E33" s="377"/>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82"/>
      <c r="D34" s="382"/>
      <c r="E34" s="377"/>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74"/>
      <c r="D35" s="374"/>
      <c r="E35" s="377"/>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78"/>
      <c r="B36" s="378"/>
      <c r="C36" s="378"/>
      <c r="D36" s="378"/>
      <c r="E36" s="378"/>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7"/>
      <c r="E37" s="377"/>
      <c r="F37" s="226"/>
      <c r="G37" s="266"/>
      <c r="H37" s="266"/>
      <c r="I37" s="266"/>
      <c r="J37" s="266"/>
      <c r="K37" s="231"/>
      <c r="L37" s="266"/>
      <c r="M37" s="266"/>
      <c r="N37" s="266"/>
      <c r="O37" s="266"/>
      <c r="P37" s="266"/>
      <c r="Q37" s="266"/>
      <c r="R37" s="266"/>
      <c r="S37" s="266"/>
      <c r="T37" s="266"/>
      <c r="U37" s="266"/>
      <c r="V37" s="266"/>
      <c r="W37" s="266"/>
      <c r="X37" s="266"/>
      <c r="Y37" s="266"/>
      <c r="Z37" s="267"/>
      <c r="AA37" s="373"/>
      <c r="AB37" s="373"/>
      <c r="AC37" s="373"/>
      <c r="AD37" s="373"/>
      <c r="AE37" s="373"/>
      <c r="AF37" s="373"/>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7"/>
      <c r="E38" s="377"/>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7"/>
      <c r="E39" s="377"/>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7"/>
      <c r="E40" s="377"/>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7"/>
      <c r="E41" s="377"/>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7"/>
      <c r="E42" s="377"/>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7"/>
      <c r="E43" s="377"/>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7"/>
      <c r="E44" s="377"/>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7"/>
      <c r="E45" s="377"/>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7"/>
      <c r="E46" s="377"/>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7"/>
      <c r="E47" s="377"/>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7"/>
      <c r="E48" s="377"/>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7"/>
      <c r="E49" s="377"/>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7"/>
      <c r="E50" s="377"/>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7"/>
      <c r="E51" s="377"/>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84"/>
      <c r="B52" s="384"/>
      <c r="C52" s="384"/>
      <c r="D52" s="384"/>
      <c r="E52" s="384"/>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85" t="s">
        <v>387</v>
      </c>
      <c r="C53" s="385"/>
      <c r="D53" s="385"/>
      <c r="E53" s="385"/>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75"/>
      <c r="P55" s="375"/>
      <c r="Q55" s="375"/>
      <c r="R55" s="375"/>
      <c r="S55" s="269"/>
      <c r="T55" s="269"/>
      <c r="U55" s="269"/>
      <c r="V55" s="269"/>
      <c r="W55" s="269"/>
      <c r="X55" s="269"/>
      <c r="Y55" s="269"/>
      <c r="Z55" s="269"/>
      <c r="AA55" s="376"/>
      <c r="AB55" s="376"/>
      <c r="AC55" s="376"/>
      <c r="AD55" s="376"/>
      <c r="AE55" s="376"/>
      <c r="AF55" s="37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75"/>
      <c r="P56" s="375"/>
      <c r="Q56" s="375"/>
      <c r="R56" s="375"/>
      <c r="S56" s="269"/>
      <c r="T56" s="269"/>
      <c r="U56" s="269"/>
      <c r="V56" s="269"/>
      <c r="W56" s="269"/>
      <c r="X56" s="269"/>
      <c r="Y56" s="269"/>
      <c r="Z56" s="269"/>
      <c r="AA56" s="376"/>
      <c r="AB56" s="376"/>
      <c r="AC56" s="376"/>
      <c r="AD56" s="376"/>
      <c r="AE56" s="376"/>
      <c r="AF56" s="37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75"/>
      <c r="P57" s="375"/>
      <c r="Q57" s="375"/>
      <c r="R57" s="375"/>
      <c r="S57" s="269"/>
      <c r="T57" s="269"/>
      <c r="U57" s="269"/>
      <c r="V57" s="269"/>
      <c r="W57" s="269"/>
      <c r="X57" s="269"/>
      <c r="Y57" s="269"/>
      <c r="Z57" s="269"/>
      <c r="AA57" s="376"/>
      <c r="AB57" s="376"/>
      <c r="AC57" s="376"/>
      <c r="AD57" s="376"/>
      <c r="AE57" s="376"/>
      <c r="AF57" s="37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75"/>
      <c r="P58" s="375"/>
      <c r="Q58" s="375"/>
      <c r="R58" s="375"/>
      <c r="S58" s="269"/>
      <c r="T58" s="269"/>
      <c r="U58" s="269"/>
      <c r="V58" s="269"/>
      <c r="W58" s="269"/>
      <c r="X58" s="269"/>
      <c r="Y58" s="269"/>
      <c r="Z58" s="269"/>
      <c r="AA58" s="376"/>
      <c r="AB58" s="376"/>
      <c r="AC58" s="376"/>
      <c r="AD58" s="376"/>
      <c r="AE58" s="376"/>
      <c r="AF58" s="37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3"/>
      <c r="B59" s="383"/>
      <c r="C59" s="383"/>
      <c r="D59" s="383"/>
      <c r="E59" s="383"/>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6"/>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6"/>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6"/>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6"/>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6"/>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6"/>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84"/>
      <c r="B66" s="384"/>
      <c r="C66" s="384"/>
      <c r="D66" s="384"/>
      <c r="E66" s="384"/>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85" t="s">
        <v>275</v>
      </c>
      <c r="C67" s="385"/>
      <c r="D67" s="385"/>
      <c r="E67" s="385"/>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7"/>
      <c r="B68" s="385" t="s">
        <v>276</v>
      </c>
      <c r="C68" s="385"/>
      <c r="D68" s="385"/>
      <c r="E68" s="385"/>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7"/>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7"/>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84"/>
      <c r="B71" s="384"/>
      <c r="C71" s="384"/>
      <c r="D71" s="384"/>
      <c r="E71" s="384"/>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93" t="s">
        <v>92</v>
      </c>
      <c r="C72" s="394"/>
      <c r="D72" s="394"/>
      <c r="E72" s="395"/>
      <c r="AA72" s="267"/>
      <c r="AB72" s="267"/>
      <c r="AC72" s="267"/>
      <c r="AD72" s="267"/>
      <c r="AE72" s="267"/>
      <c r="AF72" s="267"/>
    </row>
    <row r="73" spans="1:95" s="216" customFormat="1" ht="23.25" customHeight="1" x14ac:dyDescent="0.25">
      <c r="A73" s="377"/>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7"/>
      <c r="B74" s="259"/>
      <c r="C74" s="259"/>
      <c r="D74" s="259"/>
      <c r="E74" s="259"/>
      <c r="F74" s="216"/>
      <c r="G74" s="216"/>
      <c r="H74" s="216"/>
      <c r="I74" s="216"/>
      <c r="J74" s="216"/>
      <c r="K74" s="216"/>
      <c r="L74" s="216"/>
      <c r="M74" s="216"/>
      <c r="N74" s="216"/>
      <c r="O74" s="216"/>
      <c r="P74" s="216"/>
      <c r="Q74" s="216"/>
      <c r="R74" s="267"/>
      <c r="S74" s="373"/>
      <c r="T74" s="373"/>
      <c r="U74" s="373"/>
      <c r="V74" s="373"/>
      <c r="W74" s="373"/>
      <c r="X74" s="373"/>
      <c r="Y74" s="373"/>
      <c r="Z74" s="372"/>
      <c r="AA74" s="372"/>
      <c r="AB74" s="372"/>
      <c r="AC74" s="372"/>
      <c r="AD74" s="372"/>
      <c r="AE74" s="372"/>
      <c r="AF74" s="372"/>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7"/>
      <c r="B75" s="259"/>
      <c r="C75" s="259"/>
      <c r="D75" s="259"/>
      <c r="E75" s="259"/>
      <c r="F75" s="216"/>
      <c r="G75" s="216"/>
      <c r="H75" s="216"/>
      <c r="I75" s="216"/>
      <c r="J75" s="216"/>
      <c r="K75" s="216"/>
      <c r="L75" s="216"/>
      <c r="M75" s="216"/>
      <c r="N75" s="216"/>
      <c r="O75" s="216"/>
      <c r="P75" s="216"/>
      <c r="Q75" s="216"/>
      <c r="R75" s="267"/>
      <c r="S75" s="373"/>
      <c r="T75" s="373"/>
      <c r="U75" s="373"/>
      <c r="V75" s="373"/>
      <c r="W75" s="373"/>
      <c r="X75" s="373"/>
      <c r="Y75" s="373"/>
      <c r="Z75" s="372"/>
      <c r="AA75" s="372"/>
      <c r="AB75" s="372"/>
      <c r="AC75" s="372"/>
      <c r="AD75" s="372"/>
      <c r="AE75" s="372"/>
      <c r="AF75" s="372"/>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7"/>
      <c r="B76" s="259"/>
      <c r="C76" s="259"/>
      <c r="D76" s="259"/>
      <c r="E76" s="259"/>
      <c r="F76" s="216"/>
      <c r="G76" s="216"/>
      <c r="H76" s="216"/>
      <c r="I76" s="216"/>
      <c r="J76" s="216"/>
      <c r="K76" s="216"/>
      <c r="L76" s="216"/>
      <c r="M76" s="216"/>
      <c r="N76" s="216"/>
      <c r="O76" s="216"/>
      <c r="P76" s="216"/>
      <c r="Q76" s="216"/>
      <c r="R76" s="267"/>
      <c r="S76" s="373"/>
      <c r="T76" s="373"/>
      <c r="U76" s="373"/>
      <c r="V76" s="373"/>
      <c r="W76" s="373"/>
      <c r="X76" s="373"/>
      <c r="Y76" s="373"/>
      <c r="Z76" s="372"/>
      <c r="AA76" s="372"/>
      <c r="AB76" s="372"/>
      <c r="AC76" s="372"/>
      <c r="AD76" s="372"/>
      <c r="AE76" s="372"/>
      <c r="AF76" s="372"/>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7"/>
      <c r="B77" s="259"/>
      <c r="C77" s="259"/>
      <c r="D77" s="259"/>
      <c r="E77" s="259"/>
      <c r="F77" s="216"/>
      <c r="G77" s="216"/>
      <c r="H77" s="216"/>
      <c r="I77" s="216"/>
      <c r="J77" s="216"/>
      <c r="K77" s="216"/>
      <c r="L77" s="216"/>
      <c r="M77" s="216"/>
      <c r="N77" s="216"/>
      <c r="O77" s="216"/>
      <c r="P77" s="216"/>
      <c r="Q77" s="216"/>
      <c r="R77" s="267"/>
      <c r="S77" s="373"/>
      <c r="T77" s="373"/>
      <c r="U77" s="373"/>
      <c r="V77" s="373"/>
      <c r="W77" s="373"/>
      <c r="X77" s="373"/>
      <c r="Y77" s="373"/>
      <c r="Z77" s="372"/>
      <c r="AA77" s="372"/>
      <c r="AB77" s="372"/>
      <c r="AC77" s="372"/>
      <c r="AD77" s="372"/>
      <c r="AE77" s="372"/>
      <c r="AF77" s="372"/>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7"/>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7"/>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7"/>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7"/>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84"/>
      <c r="B82" s="384"/>
      <c r="C82" s="384"/>
      <c r="D82" s="384"/>
      <c r="E82" s="384"/>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97"/>
      <c r="E83" s="397"/>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91"/>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92"/>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92"/>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96"/>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84"/>
      <c r="B88" s="384"/>
      <c r="C88" s="384"/>
      <c r="D88" s="384"/>
      <c r="E88" s="384"/>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84"/>
      <c r="B90" s="384"/>
      <c r="C90" s="384"/>
      <c r="D90" s="384"/>
      <c r="E90" s="384"/>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85" t="s">
        <v>283</v>
      </c>
      <c r="C91" s="385"/>
      <c r="D91" s="377"/>
      <c r="E91" s="377"/>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7"/>
      <c r="E92" s="377"/>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7"/>
      <c r="E93" s="377"/>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7"/>
      <c r="E94" s="377"/>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7"/>
      <c r="E95" s="377"/>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84"/>
      <c r="B96" s="384"/>
      <c r="C96" s="384"/>
      <c r="D96" s="377"/>
      <c r="E96" s="377"/>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7"/>
      <c r="E97" s="377"/>
      <c r="F97" s="225"/>
      <c r="G97" s="267"/>
      <c r="H97" s="267"/>
      <c r="I97" s="267"/>
      <c r="J97" s="267"/>
      <c r="K97" s="245"/>
      <c r="L97" s="267"/>
      <c r="M97" s="267"/>
      <c r="N97" s="267"/>
      <c r="O97" s="267"/>
      <c r="P97" s="372"/>
      <c r="Q97" s="372"/>
      <c r="R97" s="372"/>
      <c r="S97" s="372"/>
      <c r="T97" s="372"/>
      <c r="U97" s="372"/>
      <c r="V97" s="372"/>
      <c r="W97" s="372"/>
      <c r="X97" s="372"/>
      <c r="Y97" s="372"/>
      <c r="Z97" s="372"/>
      <c r="AA97" s="372"/>
      <c r="AB97" s="372"/>
      <c r="AC97" s="372"/>
      <c r="AD97" s="372"/>
      <c r="AE97" s="372"/>
      <c r="AF97" s="372"/>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7"/>
      <c r="E98" s="377"/>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7"/>
      <c r="E99" s="377"/>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7"/>
      <c r="E100" s="377"/>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7"/>
      <c r="E101" s="377"/>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7"/>
      <c r="E102" s="377"/>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7"/>
      <c r="E103" s="377"/>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7"/>
      <c r="E104" s="377"/>
      <c r="H104" s="216" t="str">
        <f>IF(C104&lt;="0"," ",C104)</f>
        <v>APPLICABLE</v>
      </c>
    </row>
    <row r="105" spans="1:95" ht="30" customHeight="1" x14ac:dyDescent="0.25">
      <c r="A105" s="201">
        <v>50</v>
      </c>
      <c r="B105" s="224" t="s">
        <v>158</v>
      </c>
      <c r="C105" s="246"/>
      <c r="D105" s="377"/>
      <c r="E105" s="377"/>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 ref="D2:E4"/>
    <mergeCell ref="D7:E10"/>
    <mergeCell ref="E11:E16"/>
    <mergeCell ref="D30:E31"/>
    <mergeCell ref="B16:D16"/>
    <mergeCell ref="D14:D15"/>
    <mergeCell ref="C17:D17"/>
    <mergeCell ref="C18:D18"/>
    <mergeCell ref="C19:D19"/>
    <mergeCell ref="C20:D20"/>
    <mergeCell ref="C21:D21"/>
    <mergeCell ref="A59:E59"/>
    <mergeCell ref="A52:E52"/>
    <mergeCell ref="B53:E53"/>
    <mergeCell ref="D37:E51"/>
    <mergeCell ref="E60:E65"/>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D74:AF74"/>
    <mergeCell ref="S75:Y75"/>
    <mergeCell ref="Z75:AA75"/>
    <mergeCell ref="AB75:AC75"/>
    <mergeCell ref="AD75:AF75"/>
    <mergeCell ref="S74:Y74"/>
    <mergeCell ref="Z74:AA74"/>
    <mergeCell ref="AD56:AF56"/>
    <mergeCell ref="AA57:AC57"/>
    <mergeCell ref="AD57:AF57"/>
    <mergeCell ref="O58:R58"/>
    <mergeCell ref="AA58:AC58"/>
    <mergeCell ref="AD58:AF58"/>
    <mergeCell ref="O57:R57"/>
    <mergeCell ref="O56:R56"/>
    <mergeCell ref="AA56:AC56"/>
    <mergeCell ref="AA37:AF37"/>
    <mergeCell ref="C35:D35"/>
    <mergeCell ref="O55:R55"/>
    <mergeCell ref="AA55:AC55"/>
    <mergeCell ref="AD55:AF55"/>
    <mergeCell ref="E32:E35"/>
    <mergeCell ref="A36:E36"/>
    <mergeCell ref="AB77:AC77"/>
    <mergeCell ref="AB76:AC76"/>
    <mergeCell ref="AB74:AC74"/>
    <mergeCell ref="S77:Y77"/>
    <mergeCell ref="Z77:AA77"/>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398" t="s">
        <v>306</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15.75" x14ac:dyDescent="0.25">
      <c r="A2" s="431" t="s">
        <v>36</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row>
    <row r="3" spans="1:29" ht="15.75" x14ac:dyDescent="0.25">
      <c r="A3" s="431" t="s">
        <v>37</v>
      </c>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row>
    <row r="4" spans="1:29" ht="15" x14ac:dyDescent="0.25">
      <c r="A4" s="432" t="s">
        <v>38</v>
      </c>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row>
    <row r="5" spans="1:29" ht="17.25" customHeight="1" x14ac:dyDescent="0.25">
      <c r="A5" s="2">
        <v>1</v>
      </c>
      <c r="B5" s="410" t="s">
        <v>39</v>
      </c>
      <c r="C5" s="410"/>
      <c r="D5" s="410"/>
      <c r="E5" s="410"/>
      <c r="F5" s="410"/>
      <c r="G5" s="420"/>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410" t="s">
        <v>40</v>
      </c>
      <c r="C7" s="410"/>
      <c r="D7" s="410"/>
      <c r="E7" s="410"/>
      <c r="F7" s="410"/>
      <c r="G7" s="410"/>
      <c r="H7" s="410"/>
      <c r="I7" s="410"/>
      <c r="J7" s="410"/>
      <c r="K7" s="410"/>
      <c r="L7" s="421" t="str">
        <f>'DATA INPUT'!$O$3</f>
        <v xml:space="preserve"> </v>
      </c>
      <c r="M7" s="422"/>
      <c r="N7" s="421">
        <f>'DATA INPUT'!$P$3</f>
        <v>1</v>
      </c>
      <c r="O7" s="422"/>
      <c r="P7" s="423" t="str">
        <f>'DATA INPUT'!$Q$3</f>
        <v xml:space="preserve"> </v>
      </c>
      <c r="Q7" s="424"/>
      <c r="R7" s="424"/>
      <c r="S7" s="425"/>
    </row>
    <row r="8" spans="1:29" ht="5.25" customHeight="1" x14ac:dyDescent="0.25">
      <c r="A8" s="2"/>
      <c r="B8" s="100"/>
      <c r="K8" s="7"/>
      <c r="L8" s="7"/>
      <c r="M8" s="7"/>
      <c r="N8" s="7"/>
      <c r="O8" s="7"/>
      <c r="P8" s="7"/>
      <c r="Q8" s="7"/>
      <c r="R8" s="7"/>
      <c r="S8" s="7"/>
    </row>
    <row r="9" spans="1:29" ht="18" customHeight="1" x14ac:dyDescent="0.25">
      <c r="A9" s="2">
        <v>3</v>
      </c>
      <c r="B9" s="410" t="s">
        <v>262</v>
      </c>
      <c r="C9" s="410"/>
      <c r="D9" s="410"/>
      <c r="E9" s="410"/>
      <c r="F9" s="410"/>
      <c r="G9" s="420"/>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26" t="str">
        <f>'DATA INPUT'!$O$7</f>
        <v xml:space="preserve"> </v>
      </c>
      <c r="G15" s="427"/>
      <c r="H15" s="426">
        <f>'DATA INPUT'!$P$7</f>
        <v>1</v>
      </c>
      <c r="I15" s="427"/>
      <c r="J15" s="428">
        <f>'DATA INPUT'!$Q$7</f>
        <v>1900</v>
      </c>
      <c r="K15" s="429"/>
      <c r="L15" s="429"/>
      <c r="M15" s="430"/>
      <c r="O15" s="410" t="s">
        <v>46</v>
      </c>
      <c r="P15" s="410"/>
      <c r="Q15" s="410"/>
      <c r="R15" s="410"/>
      <c r="S15" s="410"/>
      <c r="T15" s="410"/>
      <c r="V15" s="426" t="str">
        <f>'DATA INPUT'!$O$8</f>
        <v xml:space="preserve"> </v>
      </c>
      <c r="W15" s="427"/>
      <c r="X15" s="426">
        <f>'DATA INPUT'!$P$8</f>
        <v>1</v>
      </c>
      <c r="Y15" s="427"/>
      <c r="Z15" s="428">
        <f>'DATA INPUT'!$Q$8</f>
        <v>1900</v>
      </c>
      <c r="AA15" s="429"/>
      <c r="AB15" s="429"/>
      <c r="AC15" s="430"/>
    </row>
    <row r="16" spans="1:29" ht="6" customHeight="1" x14ac:dyDescent="0.25">
      <c r="A16" s="2"/>
      <c r="B16" s="12"/>
      <c r="V16" s="18"/>
      <c r="W16" s="18"/>
      <c r="X16" s="18"/>
      <c r="Y16" s="18"/>
      <c r="Z16" s="18"/>
      <c r="AA16" s="18"/>
      <c r="AB16" s="18"/>
      <c r="AC16" s="18"/>
    </row>
    <row r="17" spans="1:30" ht="22.5" customHeight="1" x14ac:dyDescent="0.25">
      <c r="A17" s="2">
        <v>7</v>
      </c>
      <c r="B17" s="444" t="s">
        <v>196</v>
      </c>
      <c r="C17" s="444"/>
      <c r="D17" s="444"/>
      <c r="E17" s="445"/>
      <c r="F17" s="426" t="str">
        <f>'DATA INPUT'!$O$9</f>
        <v xml:space="preserve"> </v>
      </c>
      <c r="G17" s="427"/>
      <c r="H17" s="426">
        <f>'DATA INPUT'!$P$9</f>
        <v>1</v>
      </c>
      <c r="I17" s="427"/>
      <c r="J17" s="428">
        <f>'DATA INPUT'!$Q$9</f>
        <v>1900</v>
      </c>
      <c r="K17" s="429"/>
      <c r="L17" s="429"/>
      <c r="M17" s="430"/>
      <c r="O17" s="419" t="s">
        <v>197</v>
      </c>
      <c r="P17" s="419"/>
      <c r="Q17" s="419"/>
      <c r="R17" s="419"/>
      <c r="S17" s="419"/>
      <c r="T17" s="419"/>
      <c r="U17" s="446"/>
      <c r="V17" s="426" t="str">
        <f>'DATA INPUT'!$O$10</f>
        <v xml:space="preserve"> </v>
      </c>
      <c r="W17" s="427"/>
      <c r="X17" s="426">
        <f>'DATA INPUT'!$P$10</f>
        <v>1</v>
      </c>
      <c r="Y17" s="427"/>
      <c r="Z17" s="428">
        <f>'DATA INPUT'!$Q$10</f>
        <v>1900</v>
      </c>
      <c r="AA17" s="429"/>
      <c r="AB17" s="429"/>
      <c r="AC17" s="43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33" t="s">
        <v>50</v>
      </c>
      <c r="B26" s="433"/>
      <c r="C26" s="433"/>
      <c r="D26" s="433"/>
      <c r="E26" s="433"/>
      <c r="F26" s="433"/>
      <c r="G26" s="433"/>
      <c r="H26" s="433"/>
      <c r="I26" s="433"/>
      <c r="J26" s="433"/>
      <c r="K26" s="433"/>
      <c r="L26" s="433"/>
      <c r="M26" s="433"/>
      <c r="N26" s="433"/>
      <c r="O26" s="433"/>
      <c r="P26" s="433"/>
      <c r="Q26" s="433"/>
      <c r="R26" s="433"/>
      <c r="S26" s="433"/>
      <c r="T26" s="433"/>
      <c r="U26" s="433"/>
      <c r="V26" s="433"/>
      <c r="W26" s="433"/>
      <c r="X26" s="433"/>
      <c r="Y26" s="433"/>
      <c r="Z26" s="433"/>
      <c r="AA26" s="433"/>
      <c r="AB26" s="433"/>
      <c r="AC26" s="433"/>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33" t="s">
        <v>57</v>
      </c>
      <c r="B37" s="433"/>
      <c r="C37" s="433"/>
      <c r="D37" s="433"/>
      <c r="E37" s="433"/>
      <c r="F37" s="433"/>
      <c r="G37" s="433"/>
      <c r="H37" s="433"/>
      <c r="I37" s="433"/>
      <c r="J37" s="433"/>
      <c r="K37" s="433"/>
      <c r="L37" s="433"/>
      <c r="M37" s="433"/>
      <c r="N37" s="433"/>
      <c r="O37" s="433"/>
      <c r="P37" s="433"/>
      <c r="Q37" s="433"/>
      <c r="R37" s="433"/>
      <c r="S37" s="433"/>
      <c r="T37" s="433"/>
      <c r="U37" s="433"/>
      <c r="V37" s="433"/>
      <c r="W37" s="433"/>
      <c r="X37" s="433"/>
      <c r="Y37" s="433"/>
      <c r="Z37" s="433"/>
      <c r="AA37" s="433"/>
      <c r="AB37" s="433"/>
      <c r="AC37" s="433"/>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7" t="s">
        <v>58</v>
      </c>
      <c r="C48" s="447"/>
      <c r="D48" s="447"/>
      <c r="E48" s="447"/>
      <c r="F48" s="447"/>
      <c r="G48" s="447"/>
      <c r="H48" s="447"/>
      <c r="I48" s="447"/>
      <c r="J48" s="447"/>
      <c r="K48" s="447"/>
      <c r="L48" s="447"/>
      <c r="M48" s="447"/>
      <c r="N48" s="447" t="s">
        <v>59</v>
      </c>
      <c r="O48" s="447"/>
      <c r="P48" s="447"/>
      <c r="Q48" s="447"/>
      <c r="R48" s="447"/>
      <c r="S48" s="447"/>
      <c r="T48" s="447"/>
      <c r="U48" s="447"/>
      <c r="V48" s="447"/>
      <c r="W48" s="447"/>
      <c r="X48" s="447"/>
      <c r="Y48" s="447"/>
      <c r="Z48" s="447"/>
      <c r="AA48" s="447"/>
      <c r="AB48" s="447"/>
      <c r="AC48" s="447"/>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17"/>
      <c r="N49" s="417"/>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18" t="s">
        <v>60</v>
      </c>
      <c r="C51" s="418"/>
      <c r="D51" s="418"/>
      <c r="E51" s="418"/>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19" t="s">
        <v>61</v>
      </c>
      <c r="C53" s="419"/>
      <c r="D53" s="419"/>
      <c r="E53" s="419"/>
      <c r="F53" s="419"/>
      <c r="G53" s="419"/>
      <c r="H53" s="419"/>
      <c r="I53" s="419"/>
      <c r="J53" s="419"/>
      <c r="K53" s="419"/>
      <c r="L53" s="419"/>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19" t="s">
        <v>114</v>
      </c>
      <c r="C55" s="419"/>
      <c r="D55" s="419"/>
      <c r="E55" s="419"/>
      <c r="F55" s="419"/>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19" t="s">
        <v>113</v>
      </c>
      <c r="C57" s="419"/>
      <c r="D57" s="419"/>
      <c r="E57" s="419"/>
      <c r="F57" s="419"/>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19" t="s">
        <v>62</v>
      </c>
      <c r="C58" s="419"/>
      <c r="D58" s="419"/>
      <c r="E58" s="419"/>
      <c r="F58" s="419"/>
      <c r="G58" s="419"/>
      <c r="H58" s="419"/>
      <c r="I58" s="419"/>
      <c r="J58" s="419"/>
      <c r="K58" s="419"/>
      <c r="L58" s="419"/>
      <c r="M58" s="419"/>
      <c r="N58" s="419"/>
      <c r="O58" s="419"/>
      <c r="P58" s="419"/>
      <c r="Q58" s="419"/>
      <c r="R58" s="419"/>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5" t="s">
        <v>63</v>
      </c>
      <c r="C60" s="435"/>
      <c r="D60" s="435"/>
      <c r="E60" s="435"/>
      <c r="F60" s="438"/>
      <c r="G60" s="195" t="str">
        <f>'DATA INPUT'!$G$38</f>
        <v xml:space="preserve"> </v>
      </c>
      <c r="I60" s="435" t="s">
        <v>64</v>
      </c>
      <c r="J60" s="435"/>
      <c r="K60" s="435"/>
      <c r="L60" s="195" t="str">
        <f>'DATA INPUT'!$G$39</f>
        <v xml:space="preserve"> </v>
      </c>
      <c r="M60" s="26"/>
      <c r="N60" s="435" t="s">
        <v>65</v>
      </c>
      <c r="O60" s="435"/>
      <c r="P60" s="435"/>
      <c r="Q60" s="438"/>
      <c r="R60" s="195" t="str">
        <f>'DATA INPUT'!$G$40</f>
        <v xml:space="preserve"> </v>
      </c>
      <c r="T60" s="443" t="s">
        <v>66</v>
      </c>
      <c r="U60" s="443"/>
      <c r="V60" s="438"/>
      <c r="W60" s="195" t="str">
        <f>'DATA INPUT'!$G$41</f>
        <v xml:space="preserve"> </v>
      </c>
      <c r="X60" s="434" t="s">
        <v>67</v>
      </c>
      <c r="Y60" s="435"/>
      <c r="Z60" s="435"/>
      <c r="AA60" s="435"/>
      <c r="AB60" s="435"/>
      <c r="AC60" s="435"/>
      <c r="AI60" s="115"/>
    </row>
    <row r="61" spans="1:35" ht="7.5" customHeight="1" x14ac:dyDescent="0.25">
      <c r="A61" s="2"/>
      <c r="AB61" s="178"/>
    </row>
    <row r="62" spans="1:35" s="100" customFormat="1" ht="28.5" customHeight="1" x14ac:dyDescent="0.25">
      <c r="A62" s="2">
        <v>21</v>
      </c>
      <c r="B62" s="419" t="s">
        <v>68</v>
      </c>
      <c r="C62" s="419"/>
      <c r="D62" s="419"/>
      <c r="E62" s="419"/>
      <c r="F62" s="419"/>
      <c r="G62" s="419"/>
      <c r="H62" s="419"/>
      <c r="I62" s="419"/>
      <c r="J62" s="419"/>
      <c r="K62" s="436" t="s">
        <v>69</v>
      </c>
      <c r="L62" s="437"/>
      <c r="M62" s="195" t="str">
        <f>'DATA INPUT'!$G$44</f>
        <v xml:space="preserve"> </v>
      </c>
      <c r="N62" s="434" t="s">
        <v>70</v>
      </c>
      <c r="O62" s="438"/>
      <c r="P62" s="195" t="str">
        <f>'DATA INPUT'!$G$45</f>
        <v xml:space="preserve"> </v>
      </c>
      <c r="Q62" s="439" t="s">
        <v>71</v>
      </c>
      <c r="R62" s="440"/>
      <c r="S62" s="195" t="str">
        <f>'DATA INPUT'!$G$46</f>
        <v xml:space="preserve"> </v>
      </c>
      <c r="T62" s="441" t="s">
        <v>72</v>
      </c>
      <c r="U62" s="442"/>
      <c r="V62" s="195" t="str">
        <f>'DATA INPUT'!$G$47</f>
        <v xml:space="preserve"> </v>
      </c>
      <c r="W62" s="441" t="s">
        <v>73</v>
      </c>
      <c r="X62" s="442"/>
      <c r="Y62" s="195" t="str">
        <f>'DATA INPUT'!$G$48</f>
        <v xml:space="preserve"> </v>
      </c>
      <c r="Z62" s="434" t="s">
        <v>74</v>
      </c>
      <c r="AA62" s="443"/>
      <c r="AB62" s="438"/>
      <c r="AC62" s="195" t="str">
        <f>'DATA INPUT'!$G$49</f>
        <v xml:space="preserve"> </v>
      </c>
    </row>
    <row r="63" spans="1:35" ht="4.5" customHeight="1" x14ac:dyDescent="0.25">
      <c r="A63" s="2"/>
    </row>
    <row r="64" spans="1:35" ht="21" customHeight="1" x14ac:dyDescent="0.25">
      <c r="A64" s="2">
        <v>22</v>
      </c>
      <c r="B64" s="419" t="s">
        <v>75</v>
      </c>
      <c r="C64" s="419"/>
      <c r="D64" s="419"/>
      <c r="E64" s="419"/>
      <c r="F64" s="419"/>
      <c r="G64" s="419"/>
      <c r="H64" s="419"/>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16" t="s">
        <v>76</v>
      </c>
      <c r="C66" s="416"/>
      <c r="D66" s="416"/>
      <c r="E66" s="416"/>
      <c r="F66" s="416"/>
      <c r="G66" s="416"/>
      <c r="H66" s="416"/>
      <c r="I66" s="416"/>
      <c r="J66" s="416"/>
      <c r="K66" s="416"/>
      <c r="L66" s="416"/>
      <c r="M66" s="416"/>
      <c r="N66" s="416"/>
      <c r="P66" s="402">
        <f>'DATA INPUT'!$K$51</f>
        <v>0</v>
      </c>
      <c r="Q66" s="403"/>
      <c r="R66" s="402">
        <f>'DATA INPUT'!$L$51</f>
        <v>1</v>
      </c>
      <c r="S66" s="403"/>
      <c r="T66" s="404">
        <f>'DATA INPUT'!$M$51</f>
        <v>1900</v>
      </c>
      <c r="U66" s="405"/>
      <c r="V66" s="405"/>
      <c r="W66" s="406"/>
    </row>
    <row r="67" spans="1:29" ht="3.75" customHeight="1" x14ac:dyDescent="0.25">
      <c r="A67" s="2"/>
    </row>
    <row r="68" spans="1:29" ht="15" customHeight="1" x14ac:dyDescent="0.25">
      <c r="A68" s="2">
        <v>24</v>
      </c>
      <c r="B68" s="415" t="s">
        <v>77</v>
      </c>
      <c r="C68" s="415"/>
      <c r="D68" s="415"/>
      <c r="E68" s="415"/>
      <c r="F68" s="415"/>
      <c r="G68" s="415"/>
      <c r="H68" s="415"/>
    </row>
    <row r="69" spans="1:29" ht="41.25" customHeight="1" x14ac:dyDescent="0.25">
      <c r="A69" s="5"/>
      <c r="B69" s="91" t="s">
        <v>139</v>
      </c>
      <c r="C69" s="411" t="s">
        <v>78</v>
      </c>
      <c r="D69" s="411"/>
      <c r="E69" s="411"/>
      <c r="F69" s="411"/>
      <c r="G69" s="411"/>
      <c r="H69" s="411"/>
      <c r="I69" s="411"/>
      <c r="J69" s="411"/>
      <c r="K69" s="411"/>
      <c r="L69" s="411" t="s">
        <v>79</v>
      </c>
      <c r="M69" s="411"/>
      <c r="N69" s="411"/>
      <c r="O69" s="411"/>
      <c r="P69" s="411" t="s">
        <v>80</v>
      </c>
      <c r="Q69" s="411"/>
      <c r="R69" s="411"/>
      <c r="S69" s="411"/>
      <c r="T69" s="411"/>
      <c r="U69" s="411"/>
      <c r="V69" s="411"/>
      <c r="W69" s="411"/>
      <c r="X69" s="411" t="s">
        <v>81</v>
      </c>
      <c r="Y69" s="411"/>
      <c r="Z69" s="411"/>
      <c r="AA69" s="411" t="s">
        <v>82</v>
      </c>
      <c r="AB69" s="411"/>
      <c r="AC69" s="411"/>
    </row>
    <row r="70" spans="1:29" ht="21" customHeight="1" x14ac:dyDescent="0.25">
      <c r="A70" s="1"/>
      <c r="B70" s="98">
        <v>1</v>
      </c>
      <c r="C70" s="412" t="str">
        <f>'DATA INPUT'!$H$55</f>
        <v xml:space="preserve"> </v>
      </c>
      <c r="D70" s="413"/>
      <c r="E70" s="413"/>
      <c r="F70" s="413"/>
      <c r="G70" s="413"/>
      <c r="H70" s="413"/>
      <c r="I70" s="413"/>
      <c r="J70" s="413"/>
      <c r="K70" s="414"/>
      <c r="L70" s="412" t="str">
        <f>'DATA INPUT'!$I$55</f>
        <v xml:space="preserve"> </v>
      </c>
      <c r="M70" s="413"/>
      <c r="N70" s="413"/>
      <c r="O70" s="414"/>
      <c r="P70" s="407" t="str">
        <f>'DATA INPUT'!$J$55</f>
        <v xml:space="preserve"> </v>
      </c>
      <c r="Q70" s="408"/>
      <c r="R70" s="408"/>
      <c r="S70" s="408"/>
      <c r="T70" s="408"/>
      <c r="U70" s="408"/>
      <c r="V70" s="408"/>
      <c r="W70" s="409"/>
      <c r="X70" s="449" t="str">
        <f>'DATA INPUT'!$K$55</f>
        <v xml:space="preserve"> </v>
      </c>
      <c r="Y70" s="450"/>
      <c r="Z70" s="451"/>
      <c r="AA70" s="448" t="str">
        <f>'DATA INPUT'!$L$55</f>
        <v xml:space="preserve"> </v>
      </c>
      <c r="AB70" s="408"/>
      <c r="AC70" s="409"/>
    </row>
    <row r="71" spans="1:29" ht="21" customHeight="1" x14ac:dyDescent="0.25">
      <c r="A71" s="1"/>
      <c r="B71" s="98">
        <v>2</v>
      </c>
      <c r="C71" s="412" t="str">
        <f>'DATA INPUT'!$H$56</f>
        <v xml:space="preserve"> </v>
      </c>
      <c r="D71" s="413"/>
      <c r="E71" s="413"/>
      <c r="F71" s="413"/>
      <c r="G71" s="413"/>
      <c r="H71" s="413"/>
      <c r="I71" s="413"/>
      <c r="J71" s="413"/>
      <c r="K71" s="414"/>
      <c r="L71" s="412" t="str">
        <f>'DATA INPUT'!$I$56</f>
        <v xml:space="preserve"> </v>
      </c>
      <c r="M71" s="413"/>
      <c r="N71" s="413"/>
      <c r="O71" s="414"/>
      <c r="P71" s="407" t="str">
        <f>'DATA INPUT'!$J$56</f>
        <v xml:space="preserve"> </v>
      </c>
      <c r="Q71" s="408"/>
      <c r="R71" s="408"/>
      <c r="S71" s="408"/>
      <c r="T71" s="408"/>
      <c r="U71" s="408"/>
      <c r="V71" s="408"/>
      <c r="W71" s="409"/>
      <c r="X71" s="449" t="str">
        <f>'DATA INPUT'!$K$56</f>
        <v xml:space="preserve"> </v>
      </c>
      <c r="Y71" s="450"/>
      <c r="Z71" s="451"/>
      <c r="AA71" s="448" t="str">
        <f>'DATA INPUT'!$L$56</f>
        <v xml:space="preserve"> </v>
      </c>
      <c r="AB71" s="408"/>
      <c r="AC71" s="409"/>
    </row>
    <row r="72" spans="1:29" ht="21" customHeight="1" x14ac:dyDescent="0.25">
      <c r="A72" s="1"/>
      <c r="B72" s="98">
        <v>3</v>
      </c>
      <c r="C72" s="412" t="str">
        <f>'DATA INPUT'!$H$57</f>
        <v xml:space="preserve"> </v>
      </c>
      <c r="D72" s="413"/>
      <c r="E72" s="413"/>
      <c r="F72" s="413"/>
      <c r="G72" s="413"/>
      <c r="H72" s="413"/>
      <c r="I72" s="413"/>
      <c r="J72" s="413"/>
      <c r="K72" s="414"/>
      <c r="L72" s="412" t="str">
        <f>'DATA INPUT'!$I$57</f>
        <v xml:space="preserve"> </v>
      </c>
      <c r="M72" s="413"/>
      <c r="N72" s="413"/>
      <c r="O72" s="414"/>
      <c r="P72" s="407" t="str">
        <f>'DATA INPUT'!$J$57</f>
        <v xml:space="preserve"> </v>
      </c>
      <c r="Q72" s="408"/>
      <c r="R72" s="408"/>
      <c r="S72" s="408"/>
      <c r="T72" s="408"/>
      <c r="U72" s="408"/>
      <c r="V72" s="408"/>
      <c r="W72" s="409"/>
      <c r="X72" s="449" t="str">
        <f>'DATA INPUT'!$K$57</f>
        <v xml:space="preserve"> </v>
      </c>
      <c r="Y72" s="450"/>
      <c r="Z72" s="451"/>
      <c r="AA72" s="448" t="str">
        <f>'DATA INPUT'!$L$57</f>
        <v xml:space="preserve"> </v>
      </c>
      <c r="AB72" s="408"/>
      <c r="AC72" s="409"/>
    </row>
    <row r="73" spans="1:29" ht="21" customHeight="1" x14ac:dyDescent="0.25">
      <c r="A73" s="1"/>
      <c r="B73" s="98">
        <v>4</v>
      </c>
      <c r="C73" s="412" t="str">
        <f>'DATA INPUT'!$H$58</f>
        <v xml:space="preserve"> </v>
      </c>
      <c r="D73" s="413"/>
      <c r="E73" s="413"/>
      <c r="F73" s="413"/>
      <c r="G73" s="413"/>
      <c r="H73" s="413"/>
      <c r="I73" s="413"/>
      <c r="J73" s="413"/>
      <c r="K73" s="414"/>
      <c r="L73" s="412" t="str">
        <f>'DATA INPUT'!$I$58</f>
        <v xml:space="preserve"> </v>
      </c>
      <c r="M73" s="413"/>
      <c r="N73" s="413"/>
      <c r="O73" s="414"/>
      <c r="P73" s="407" t="str">
        <f>'DATA INPUT'!$J$58</f>
        <v xml:space="preserve"> </v>
      </c>
      <c r="Q73" s="452"/>
      <c r="R73" s="452"/>
      <c r="S73" s="452"/>
      <c r="T73" s="452"/>
      <c r="U73" s="452"/>
      <c r="V73" s="452"/>
      <c r="W73" s="453"/>
      <c r="X73" s="449" t="str">
        <f>'DATA INPUT'!$K$58</f>
        <v xml:space="preserve"> </v>
      </c>
      <c r="Y73" s="450"/>
      <c r="Z73" s="451"/>
      <c r="AA73" s="448" t="str">
        <f>'DATA INPUT'!$L$58</f>
        <v xml:space="preserve"> </v>
      </c>
      <c r="AB73" s="408"/>
      <c r="AC73" s="409"/>
    </row>
    <row r="74" spans="1:29" ht="9.75" customHeight="1" x14ac:dyDescent="0.25">
      <c r="A74" s="28"/>
    </row>
    <row r="75" spans="1:29" ht="12.75" customHeight="1" x14ac:dyDescent="0.25">
      <c r="A75" s="2">
        <v>25</v>
      </c>
      <c r="B75" s="410" t="s">
        <v>83</v>
      </c>
      <c r="C75" s="410"/>
      <c r="D75" s="410"/>
      <c r="E75" s="410"/>
      <c r="F75" s="410"/>
      <c r="G75" s="410"/>
      <c r="H75" s="410"/>
      <c r="I75" s="410"/>
      <c r="J75" s="410"/>
      <c r="L75" s="2" t="s">
        <v>84</v>
      </c>
      <c r="Q75" s="9"/>
      <c r="R75" s="29" t="s">
        <v>85</v>
      </c>
      <c r="S75" s="99"/>
    </row>
    <row r="76" spans="1:29" ht="3.75" customHeight="1" x14ac:dyDescent="0.25">
      <c r="Q76" s="30"/>
    </row>
    <row r="77" spans="1:29" ht="18" customHeight="1" x14ac:dyDescent="0.25">
      <c r="A77" s="2" t="s">
        <v>395</v>
      </c>
      <c r="B77" s="410" t="s">
        <v>86</v>
      </c>
      <c r="C77" s="410"/>
      <c r="D77" s="410"/>
      <c r="E77" s="410"/>
      <c r="F77" s="410"/>
      <c r="G77" s="3"/>
      <c r="H77" s="3"/>
      <c r="I77" s="3"/>
      <c r="J77" s="399" t="str">
        <f>'DATA INPUT'!$I$61</f>
        <v xml:space="preserve"> </v>
      </c>
      <c r="K77" s="400"/>
      <c r="L77" s="400"/>
      <c r="M77" s="400"/>
      <c r="N77" s="400"/>
      <c r="O77" s="400"/>
      <c r="P77" s="400"/>
      <c r="Q77" s="401"/>
      <c r="R77" s="399" t="str">
        <f>'DATA INPUT'!$J$61</f>
        <v xml:space="preserve"> </v>
      </c>
      <c r="S77" s="400"/>
      <c r="T77" s="400"/>
      <c r="U77" s="400"/>
      <c r="V77" s="400"/>
      <c r="W77" s="400"/>
      <c r="X77" s="400"/>
      <c r="Y77" s="401"/>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410" t="s">
        <v>87</v>
      </c>
      <c r="C79" s="410"/>
      <c r="D79" s="410"/>
      <c r="E79" s="410"/>
      <c r="F79" s="410"/>
      <c r="J79" s="399" t="str">
        <f>'DATA INPUT'!$I$62</f>
        <v xml:space="preserve"> </v>
      </c>
      <c r="K79" s="400"/>
      <c r="L79" s="400"/>
      <c r="M79" s="400"/>
      <c r="N79" s="400"/>
      <c r="O79" s="400"/>
      <c r="P79" s="400"/>
      <c r="Q79" s="401"/>
      <c r="R79" s="399" t="str">
        <f>'DATA INPUT'!$J$62</f>
        <v xml:space="preserve"> </v>
      </c>
      <c r="S79" s="400"/>
      <c r="T79" s="400"/>
      <c r="U79" s="400"/>
      <c r="V79" s="400"/>
      <c r="W79" s="400"/>
      <c r="X79" s="400"/>
      <c r="Y79" s="401"/>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410" t="s">
        <v>88</v>
      </c>
      <c r="C81" s="410"/>
      <c r="D81" s="410"/>
      <c r="E81" s="410"/>
      <c r="F81" s="410"/>
      <c r="G81" s="410"/>
      <c r="J81" s="399" t="str">
        <f>'DATA INPUT'!$I$63</f>
        <v xml:space="preserve"> </v>
      </c>
      <c r="K81" s="400"/>
      <c r="L81" s="400"/>
      <c r="M81" s="400"/>
      <c r="N81" s="400"/>
      <c r="O81" s="400"/>
      <c r="P81" s="400"/>
      <c r="Q81" s="401"/>
      <c r="R81" s="399" t="str">
        <f>'DATA INPUT'!$J$63</f>
        <v xml:space="preserve"> </v>
      </c>
      <c r="S81" s="400"/>
      <c r="T81" s="400"/>
      <c r="U81" s="400"/>
      <c r="V81" s="400"/>
      <c r="W81" s="400"/>
      <c r="X81" s="400"/>
      <c r="Y81" s="401"/>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410" t="s">
        <v>89</v>
      </c>
      <c r="C83" s="410"/>
      <c r="D83" s="410"/>
      <c r="E83" s="410"/>
      <c r="F83" s="410"/>
      <c r="G83" s="410"/>
      <c r="J83" s="399" t="str">
        <f>'DATA INPUT'!$I$64</f>
        <v xml:space="preserve"> </v>
      </c>
      <c r="K83" s="400"/>
      <c r="L83" s="400"/>
      <c r="M83" s="400"/>
      <c r="N83" s="400"/>
      <c r="O83" s="400"/>
      <c r="P83" s="400"/>
      <c r="Q83" s="401"/>
      <c r="R83" s="399" t="str">
        <f>'DATA INPUT'!$J$64</f>
        <v xml:space="preserve"> </v>
      </c>
      <c r="S83" s="400"/>
      <c r="T83" s="400"/>
      <c r="U83" s="400"/>
      <c r="V83" s="400"/>
      <c r="W83" s="400"/>
      <c r="X83" s="400"/>
      <c r="Y83" s="401"/>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410" t="s">
        <v>90</v>
      </c>
      <c r="C85" s="410"/>
      <c r="D85" s="410"/>
      <c r="E85" s="410"/>
      <c r="F85" s="410"/>
      <c r="G85" s="410"/>
      <c r="J85" s="399" t="str">
        <f>'DATA INPUT'!$I$65</f>
        <v xml:space="preserve"> </v>
      </c>
      <c r="K85" s="400"/>
      <c r="L85" s="400"/>
      <c r="M85" s="400"/>
      <c r="N85" s="400"/>
      <c r="O85" s="400"/>
      <c r="P85" s="400"/>
      <c r="Q85" s="401"/>
      <c r="R85" s="399" t="str">
        <f>'DATA INPUT'!$J$65</f>
        <v xml:space="preserve"> </v>
      </c>
      <c r="S85" s="400"/>
      <c r="T85" s="400"/>
      <c r="U85" s="400"/>
      <c r="V85" s="400"/>
      <c r="W85" s="400"/>
      <c r="X85" s="400"/>
      <c r="Y85" s="401"/>
    </row>
    <row r="86" spans="1:33" ht="18" customHeight="1" x14ac:dyDescent="0.25">
      <c r="A86" s="32"/>
      <c r="B86" s="458"/>
      <c r="C86" s="459"/>
      <c r="D86" s="459"/>
      <c r="E86" s="459"/>
      <c r="F86" s="459"/>
      <c r="G86" s="459"/>
      <c r="H86" s="460"/>
    </row>
    <row r="87" spans="1:33" ht="18" customHeight="1" x14ac:dyDescent="0.25">
      <c r="A87" s="100" t="s">
        <v>91</v>
      </c>
    </row>
    <row r="88" spans="1:33" ht="12.75" customHeight="1" x14ac:dyDescent="0.25">
      <c r="A88" s="100"/>
      <c r="B88" s="1" t="s">
        <v>274</v>
      </c>
    </row>
    <row r="89" spans="1:33" ht="18" customHeight="1" x14ac:dyDescent="0.25">
      <c r="A89" s="33"/>
      <c r="B89" s="462">
        <f>'DATA INPUT'!$B$69</f>
        <v>0</v>
      </c>
      <c r="C89" s="462"/>
      <c r="D89" s="462"/>
      <c r="E89" s="462"/>
      <c r="F89" s="462"/>
      <c r="G89" s="462"/>
      <c r="H89" s="462"/>
      <c r="I89" s="462"/>
      <c r="J89" s="462"/>
      <c r="K89" s="462"/>
      <c r="L89" s="462"/>
      <c r="M89" s="462"/>
      <c r="N89" s="462"/>
      <c r="O89" s="462"/>
      <c r="P89" s="462"/>
      <c r="Q89" s="462"/>
      <c r="R89" s="461">
        <f>'DATA INPUT'!$C$69</f>
        <v>0</v>
      </c>
      <c r="S89" s="461"/>
      <c r="T89" s="461">
        <f>'DATA INPUT'!$D$69</f>
        <v>0</v>
      </c>
      <c r="U89" s="461"/>
      <c r="V89" s="461">
        <f>'DATA INPUT'!$E$69</f>
        <v>0</v>
      </c>
      <c r="W89" s="461"/>
      <c r="X89" s="461"/>
      <c r="Y89" s="461"/>
    </row>
    <row r="90" spans="1:33" ht="18" customHeight="1" x14ac:dyDescent="0.25">
      <c r="A90" s="33"/>
      <c r="B90" s="462">
        <f>'DATA INPUT'!$B$70</f>
        <v>0</v>
      </c>
      <c r="C90" s="462"/>
      <c r="D90" s="462"/>
      <c r="E90" s="462"/>
      <c r="F90" s="462"/>
      <c r="G90" s="462"/>
      <c r="H90" s="462"/>
      <c r="I90" s="462"/>
      <c r="J90" s="462"/>
      <c r="K90" s="462"/>
      <c r="L90" s="462"/>
      <c r="M90" s="462"/>
      <c r="N90" s="462"/>
      <c r="O90" s="462"/>
      <c r="P90" s="462"/>
      <c r="Q90" s="462"/>
      <c r="R90" s="461">
        <f>'DATA INPUT'!$C$70</f>
        <v>0</v>
      </c>
      <c r="S90" s="461"/>
      <c r="T90" s="461">
        <f>'DATA INPUT'!$D$70</f>
        <v>0</v>
      </c>
      <c r="U90" s="461"/>
      <c r="V90" s="461">
        <f>'DATA INPUT'!$E$70</f>
        <v>0</v>
      </c>
      <c r="W90" s="461"/>
      <c r="X90" s="461"/>
      <c r="Y90" s="461"/>
    </row>
    <row r="91" spans="1:33" ht="7.5" customHeight="1" x14ac:dyDescent="0.25">
      <c r="A91" s="1"/>
    </row>
    <row r="92" spans="1:33" ht="18" customHeight="1" x14ac:dyDescent="0.25">
      <c r="A92" s="2">
        <v>27</v>
      </c>
      <c r="B92" s="410" t="s">
        <v>92</v>
      </c>
      <c r="C92" s="410"/>
      <c r="D92" s="410"/>
      <c r="E92" s="410"/>
      <c r="F92" s="410"/>
      <c r="G92" s="410"/>
      <c r="H92" s="410"/>
      <c r="I92" s="410"/>
      <c r="J92" s="410"/>
      <c r="K92" s="410"/>
      <c r="L92" s="410"/>
      <c r="M92" s="410"/>
      <c r="N92" s="410"/>
      <c r="O92" s="410"/>
      <c r="P92" s="410"/>
      <c r="Q92" s="410"/>
      <c r="R92" s="410"/>
      <c r="S92" s="410"/>
      <c r="T92" s="410"/>
      <c r="U92" s="410"/>
      <c r="V92" s="410"/>
      <c r="W92" s="410"/>
    </row>
    <row r="93" spans="1:33" ht="12" customHeight="1" x14ac:dyDescent="0.25">
      <c r="A93" s="1"/>
      <c r="D93" s="1" t="s">
        <v>93</v>
      </c>
      <c r="S93" s="1" t="s">
        <v>93</v>
      </c>
      <c r="AB93" s="5"/>
      <c r="AC93" s="5"/>
      <c r="AD93" s="5"/>
      <c r="AE93" s="5"/>
      <c r="AF93" s="5"/>
      <c r="AG93" s="5"/>
    </row>
    <row r="94" spans="1:33" ht="18" customHeight="1" x14ac:dyDescent="0.25">
      <c r="A94" s="34"/>
      <c r="B94" s="454">
        <f>'DATA INPUT'!B74</f>
        <v>0</v>
      </c>
      <c r="C94" s="454"/>
      <c r="D94" s="454"/>
      <c r="E94" s="454"/>
      <c r="F94" s="454"/>
      <c r="G94" s="454"/>
      <c r="H94" s="455">
        <f>'DATA INPUT'!C74</f>
        <v>0</v>
      </c>
      <c r="I94" s="455"/>
      <c r="J94" s="455">
        <f>'DATA INPUT'!D74</f>
        <v>0</v>
      </c>
      <c r="K94" s="455"/>
      <c r="L94" s="455">
        <f>'DATA INPUT'!E74</f>
        <v>0</v>
      </c>
      <c r="M94" s="455"/>
      <c r="N94" s="455"/>
      <c r="P94" s="454">
        <f>'DATA INPUT'!B78</f>
        <v>0</v>
      </c>
      <c r="Q94" s="454"/>
      <c r="R94" s="454"/>
      <c r="S94" s="454"/>
      <c r="T94" s="454"/>
      <c r="U94" s="454"/>
      <c r="V94" s="454"/>
      <c r="W94" s="456">
        <f>'DATA INPUT'!C78</f>
        <v>0</v>
      </c>
      <c r="X94" s="457"/>
      <c r="Y94" s="455">
        <f>'DATA INPUT'!D78</f>
        <v>0</v>
      </c>
      <c r="Z94" s="455"/>
      <c r="AA94" s="455">
        <f>'DATA INPUT'!E78</f>
        <v>0</v>
      </c>
      <c r="AB94" s="455"/>
      <c r="AC94" s="455"/>
      <c r="AD94" s="35"/>
      <c r="AE94" s="35"/>
      <c r="AF94" s="5"/>
      <c r="AG94" s="5"/>
    </row>
    <row r="95" spans="1:33" ht="18" customHeight="1" x14ac:dyDescent="0.25">
      <c r="A95" s="34"/>
      <c r="B95" s="454">
        <f>'DATA INPUT'!B75</f>
        <v>0</v>
      </c>
      <c r="C95" s="454"/>
      <c r="D95" s="454"/>
      <c r="E95" s="454"/>
      <c r="F95" s="454"/>
      <c r="G95" s="454"/>
      <c r="H95" s="455">
        <f>'DATA INPUT'!C75</f>
        <v>0</v>
      </c>
      <c r="I95" s="455"/>
      <c r="J95" s="455">
        <f>'DATA INPUT'!D75</f>
        <v>0</v>
      </c>
      <c r="K95" s="455"/>
      <c r="L95" s="455">
        <f>'DATA INPUT'!E75</f>
        <v>0</v>
      </c>
      <c r="M95" s="455"/>
      <c r="N95" s="455"/>
      <c r="P95" s="454">
        <f>'DATA INPUT'!B79</f>
        <v>0</v>
      </c>
      <c r="Q95" s="454"/>
      <c r="R95" s="454"/>
      <c r="S95" s="454"/>
      <c r="T95" s="454"/>
      <c r="U95" s="454"/>
      <c r="V95" s="454"/>
      <c r="W95" s="456">
        <f>'DATA INPUT'!C79</f>
        <v>0</v>
      </c>
      <c r="X95" s="457"/>
      <c r="Y95" s="455">
        <f>'DATA INPUT'!D79</f>
        <v>0</v>
      </c>
      <c r="Z95" s="455"/>
      <c r="AA95" s="455">
        <f>'DATA INPUT'!E79</f>
        <v>0</v>
      </c>
      <c r="AB95" s="455"/>
      <c r="AC95" s="455"/>
      <c r="AD95" s="35"/>
      <c r="AE95" s="97"/>
      <c r="AF95" s="5"/>
      <c r="AG95" s="5"/>
    </row>
    <row r="96" spans="1:33" ht="18" customHeight="1" x14ac:dyDescent="0.25">
      <c r="A96" s="34"/>
      <c r="B96" s="454">
        <f>'DATA INPUT'!B76</f>
        <v>0</v>
      </c>
      <c r="C96" s="454"/>
      <c r="D96" s="454"/>
      <c r="E96" s="454"/>
      <c r="F96" s="454"/>
      <c r="G96" s="454"/>
      <c r="H96" s="455">
        <f>'DATA INPUT'!C76</f>
        <v>0</v>
      </c>
      <c r="I96" s="455"/>
      <c r="J96" s="455">
        <f>'DATA INPUT'!D76</f>
        <v>0</v>
      </c>
      <c r="K96" s="455"/>
      <c r="L96" s="455">
        <f>'DATA INPUT'!E76</f>
        <v>0</v>
      </c>
      <c r="M96" s="455"/>
      <c r="N96" s="455"/>
      <c r="P96" s="454">
        <f>'DATA INPUT'!B80</f>
        <v>0</v>
      </c>
      <c r="Q96" s="454"/>
      <c r="R96" s="454"/>
      <c r="S96" s="454"/>
      <c r="T96" s="454"/>
      <c r="U96" s="454"/>
      <c r="V96" s="454"/>
      <c r="W96" s="456">
        <f>'DATA INPUT'!C80</f>
        <v>0</v>
      </c>
      <c r="X96" s="457"/>
      <c r="Y96" s="455">
        <f>'DATA INPUT'!D80</f>
        <v>0</v>
      </c>
      <c r="Z96" s="455"/>
      <c r="AA96" s="455">
        <f>'DATA INPUT'!E80</f>
        <v>0</v>
      </c>
      <c r="AB96" s="455"/>
      <c r="AC96" s="455"/>
      <c r="AD96" s="35"/>
      <c r="AE96" s="97"/>
      <c r="AF96" s="5"/>
      <c r="AG96" s="5"/>
    </row>
    <row r="97" spans="1:33" ht="18" customHeight="1" x14ac:dyDescent="0.25">
      <c r="A97" s="34"/>
      <c r="B97" s="454">
        <f>'DATA INPUT'!B77</f>
        <v>0</v>
      </c>
      <c r="C97" s="454"/>
      <c r="D97" s="454"/>
      <c r="E97" s="454"/>
      <c r="F97" s="454"/>
      <c r="G97" s="454"/>
      <c r="H97" s="455">
        <f>'DATA INPUT'!C77</f>
        <v>0</v>
      </c>
      <c r="I97" s="455"/>
      <c r="J97" s="455">
        <f>'DATA INPUT'!D77</f>
        <v>0</v>
      </c>
      <c r="K97" s="455"/>
      <c r="L97" s="455">
        <f>'DATA INPUT'!E77</f>
        <v>0</v>
      </c>
      <c r="M97" s="455"/>
      <c r="N97" s="455"/>
      <c r="P97" s="454">
        <f>'DATA INPUT'!B81</f>
        <v>0</v>
      </c>
      <c r="Q97" s="454"/>
      <c r="R97" s="454"/>
      <c r="S97" s="454"/>
      <c r="T97" s="454"/>
      <c r="U97" s="454"/>
      <c r="V97" s="454"/>
      <c r="W97" s="456">
        <f>'DATA INPUT'!C81</f>
        <v>0</v>
      </c>
      <c r="X97" s="457"/>
      <c r="Y97" s="455">
        <f>'DATA INPUT'!D81</f>
        <v>0</v>
      </c>
      <c r="Z97" s="455"/>
      <c r="AA97" s="455">
        <f>'DATA INPUT'!E81</f>
        <v>0</v>
      </c>
      <c r="AB97" s="455"/>
      <c r="AC97" s="455"/>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410" t="s">
        <v>94</v>
      </c>
      <c r="B99" s="410"/>
      <c r="C99" s="410"/>
      <c r="D99" s="410"/>
      <c r="E99" s="410"/>
      <c r="F99" s="410"/>
      <c r="G99" s="410"/>
      <c r="H99" s="410"/>
      <c r="I99" s="410"/>
      <c r="J99" s="410"/>
    </row>
    <row r="100" spans="1:33" ht="18" customHeight="1" x14ac:dyDescent="0.25">
      <c r="A100" s="1"/>
      <c r="B100" s="36"/>
      <c r="D100" s="2" t="s">
        <v>95</v>
      </c>
      <c r="E100" s="410" t="s">
        <v>96</v>
      </c>
      <c r="F100" s="410"/>
      <c r="G100" s="410"/>
      <c r="H100" s="410"/>
      <c r="I100" s="410"/>
      <c r="J100" s="410"/>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410" t="s">
        <v>98</v>
      </c>
      <c r="E101" s="410"/>
      <c r="F101" s="410"/>
      <c r="G101" s="410"/>
      <c r="H101" s="410"/>
      <c r="I101" s="410"/>
      <c r="J101" s="410"/>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410" t="s">
        <v>100</v>
      </c>
      <c r="E103" s="410"/>
      <c r="F103" s="410"/>
      <c r="G103" s="410"/>
      <c r="H103" s="410"/>
      <c r="I103" s="410"/>
      <c r="J103" s="410"/>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410" t="s">
        <v>101</v>
      </c>
      <c r="B105" s="410"/>
      <c r="C105" s="410"/>
      <c r="D105" s="410"/>
      <c r="E105" s="410"/>
      <c r="F105" s="410"/>
      <c r="G105" s="410"/>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58"/>
      <c r="F113" s="459"/>
      <c r="G113" s="459"/>
      <c r="H113" s="459"/>
      <c r="I113" s="459"/>
      <c r="J113" s="460"/>
    </row>
    <row r="115" spans="5:29" ht="24.75" customHeight="1" x14ac:dyDescent="0.25">
      <c r="M115" s="463" t="s">
        <v>110</v>
      </c>
      <c r="N115" s="463"/>
      <c r="O115" s="463"/>
      <c r="P115" s="463"/>
      <c r="Q115" s="463"/>
      <c r="R115" s="463"/>
      <c r="S115" s="463"/>
      <c r="T115" s="463"/>
      <c r="U115" s="463"/>
      <c r="V115" s="463"/>
      <c r="W115" s="463"/>
      <c r="X115" s="463"/>
      <c r="Y115" s="463"/>
      <c r="Z115" s="463"/>
      <c r="AA115" s="463"/>
      <c r="AB115" s="463"/>
      <c r="AC115" s="463"/>
    </row>
  </sheetData>
  <sheetProtection password="C345" sheet="1" objects="1" scenarios="1" selectLockedCells="1"/>
  <mergeCells count="143">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 ref="AA94:AC94"/>
    <mergeCell ref="B95:G95"/>
    <mergeCell ref="H95:I95"/>
    <mergeCell ref="J95:K95"/>
    <mergeCell ref="L95:N95"/>
    <mergeCell ref="P95:V95"/>
    <mergeCell ref="W95:X95"/>
    <mergeCell ref="Y95:Z95"/>
    <mergeCell ref="AA95:AC95"/>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73:AC73"/>
    <mergeCell ref="AA72:AC72"/>
    <mergeCell ref="X72:Z72"/>
    <mergeCell ref="X73:Z73"/>
    <mergeCell ref="L72:O72"/>
    <mergeCell ref="L73:O73"/>
    <mergeCell ref="P72:W72"/>
    <mergeCell ref="P73:W73"/>
    <mergeCell ref="J77:Q77"/>
    <mergeCell ref="R77:Y77"/>
    <mergeCell ref="C72:K72"/>
    <mergeCell ref="C73:K73"/>
    <mergeCell ref="AA71:AC71"/>
    <mergeCell ref="AA69:AC69"/>
    <mergeCell ref="AA70:AC70"/>
    <mergeCell ref="X69:Z69"/>
    <mergeCell ref="X70:Z70"/>
    <mergeCell ref="X71:Z71"/>
    <mergeCell ref="P69:W69"/>
    <mergeCell ref="L69:O69"/>
    <mergeCell ref="L70:O70"/>
    <mergeCell ref="L71:O71"/>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P7:S7"/>
    <mergeCell ref="F15:G15"/>
    <mergeCell ref="H15:I15"/>
    <mergeCell ref="J15:M15"/>
    <mergeCell ref="V15:W15"/>
    <mergeCell ref="X15:Y15"/>
    <mergeCell ref="Z15:AC15"/>
    <mergeCell ref="F17:G17"/>
    <mergeCell ref="H17:I17"/>
    <mergeCell ref="J17:M17"/>
    <mergeCell ref="V17:W17"/>
    <mergeCell ref="X17:Y17"/>
    <mergeCell ref="Z17:AC17"/>
    <mergeCell ref="B66:N66"/>
    <mergeCell ref="M49:N49"/>
    <mergeCell ref="B51:E51"/>
    <mergeCell ref="B53:L53"/>
    <mergeCell ref="B57:F57"/>
    <mergeCell ref="B55:F55"/>
    <mergeCell ref="B7:K7"/>
    <mergeCell ref="B5:G5"/>
    <mergeCell ref="B9:G9"/>
    <mergeCell ref="L7:M7"/>
    <mergeCell ref="N7:O7"/>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79" t="s">
        <v>0</v>
      </c>
      <c r="B1" s="479"/>
      <c r="C1" s="479"/>
      <c r="D1" s="479"/>
      <c r="E1" s="479"/>
      <c r="F1" s="479"/>
      <c r="G1" s="479"/>
    </row>
    <row r="2" spans="1:7" s="38" customFormat="1" ht="23.25" customHeight="1" x14ac:dyDescent="0.25">
      <c r="A2" s="479" t="s">
        <v>1</v>
      </c>
      <c r="B2" s="479"/>
      <c r="C2" s="479"/>
      <c r="D2" s="479"/>
      <c r="E2" s="479"/>
      <c r="F2" s="479"/>
      <c r="G2" s="479"/>
    </row>
    <row r="3" spans="1:7" ht="51" customHeight="1" x14ac:dyDescent="0.25">
      <c r="A3" s="272">
        <v>1</v>
      </c>
      <c r="B3" s="462" t="s">
        <v>147</v>
      </c>
      <c r="C3" s="462"/>
      <c r="D3" s="462"/>
      <c r="E3" s="467" t="str">
        <f>'DATA INPUT'!$I$6</f>
        <v/>
      </c>
      <c r="F3" s="468"/>
      <c r="G3" s="469"/>
    </row>
    <row r="4" spans="1:7" ht="44.25" customHeight="1" x14ac:dyDescent="0.25">
      <c r="A4" s="272">
        <v>2</v>
      </c>
      <c r="B4" s="464" t="s">
        <v>200</v>
      </c>
      <c r="C4" s="464"/>
      <c r="D4" s="464"/>
      <c r="E4" s="470">
        <f>'DATA INPUT'!$C$97</f>
        <v>0</v>
      </c>
      <c r="F4" s="470"/>
      <c r="G4" s="470"/>
    </row>
    <row r="5" spans="1:7" ht="103.5" customHeight="1" x14ac:dyDescent="0.25">
      <c r="A5" s="272">
        <v>3</v>
      </c>
      <c r="B5" s="464" t="s">
        <v>199</v>
      </c>
      <c r="C5" s="464"/>
      <c r="D5" s="464"/>
      <c r="E5" s="467" t="str">
        <f>'DATA INPUT'!$I$17</f>
        <v>, , , , -</v>
      </c>
      <c r="F5" s="468"/>
      <c r="G5" s="469"/>
    </row>
    <row r="6" spans="1:7" ht="48.75" customHeight="1" x14ac:dyDescent="0.25">
      <c r="A6" s="272">
        <v>4</v>
      </c>
      <c r="B6" s="464" t="s">
        <v>2</v>
      </c>
      <c r="C6" s="464"/>
      <c r="D6" s="464"/>
      <c r="E6" s="471">
        <f>'DATA INPUT'!$C$98</f>
        <v>0</v>
      </c>
      <c r="F6" s="472"/>
      <c r="G6" s="473"/>
    </row>
    <row r="7" spans="1:7" ht="38.25" customHeight="1" x14ac:dyDescent="0.25">
      <c r="A7" s="272">
        <v>5</v>
      </c>
      <c r="B7" s="464" t="s">
        <v>3</v>
      </c>
      <c r="C7" s="464"/>
      <c r="D7" s="464"/>
      <c r="E7" s="470">
        <f>'DATA INPUT'!$C$99</f>
        <v>0</v>
      </c>
      <c r="F7" s="470"/>
      <c r="G7" s="470"/>
    </row>
    <row r="8" spans="1:7" ht="33" customHeight="1" x14ac:dyDescent="0.25">
      <c r="A8" s="272">
        <v>6</v>
      </c>
      <c r="B8" s="464" t="s">
        <v>4</v>
      </c>
      <c r="C8" s="464"/>
      <c r="D8" s="464"/>
      <c r="E8" s="474" t="str">
        <f>'FORM 7'!D9</f>
        <v>ELIGIBLE</v>
      </c>
      <c r="F8" s="474"/>
      <c r="G8" s="474"/>
    </row>
    <row r="9" spans="1:7" ht="38.25" customHeight="1" x14ac:dyDescent="0.25">
      <c r="A9" s="272">
        <v>7</v>
      </c>
      <c r="B9" s="464" t="s">
        <v>284</v>
      </c>
      <c r="C9" s="464"/>
      <c r="D9" s="464"/>
      <c r="E9" s="474" t="str">
        <f>'FORM 7'!$D$10</f>
        <v>Karnataka State Government</v>
      </c>
      <c r="F9" s="474"/>
      <c r="G9" s="474"/>
    </row>
    <row r="10" spans="1:7" ht="18" customHeight="1" x14ac:dyDescent="0.25">
      <c r="A10" s="480">
        <v>8</v>
      </c>
      <c r="B10" s="464" t="s">
        <v>116</v>
      </c>
      <c r="C10" s="464"/>
      <c r="D10" s="464"/>
      <c r="E10" s="271" t="s">
        <v>254</v>
      </c>
      <c r="F10" s="271" t="s">
        <v>255</v>
      </c>
      <c r="G10" s="271" t="s">
        <v>256</v>
      </c>
    </row>
    <row r="11" spans="1:7" ht="18" customHeight="1" x14ac:dyDescent="0.25">
      <c r="A11" s="481"/>
      <c r="B11" s="464" t="s">
        <v>117</v>
      </c>
      <c r="C11" s="464"/>
      <c r="D11" s="464"/>
      <c r="E11" s="290">
        <f>Psh!$F$6</f>
        <v>0</v>
      </c>
      <c r="F11" s="290">
        <f>Psh!$J$6</f>
        <v>0</v>
      </c>
      <c r="G11" s="290">
        <f>Psh!$K$6</f>
        <v>0</v>
      </c>
    </row>
    <row r="12" spans="1:7" ht="18" customHeight="1" x14ac:dyDescent="0.25">
      <c r="A12" s="481"/>
      <c r="B12" s="464" t="s">
        <v>118</v>
      </c>
      <c r="C12" s="464"/>
      <c r="D12" s="464"/>
      <c r="E12" s="291"/>
      <c r="F12" s="291"/>
      <c r="G12" s="291"/>
    </row>
    <row r="13" spans="1:7" ht="35.25" customHeight="1" x14ac:dyDescent="0.25">
      <c r="A13" s="481"/>
      <c r="B13" s="464" t="s">
        <v>257</v>
      </c>
      <c r="C13" s="464"/>
      <c r="D13" s="464"/>
      <c r="E13" s="458"/>
      <c r="F13" s="459"/>
      <c r="G13" s="460"/>
    </row>
    <row r="14" spans="1:7" ht="35.25" customHeight="1" x14ac:dyDescent="0.25">
      <c r="A14" s="482"/>
      <c r="B14" s="464" t="s">
        <v>119</v>
      </c>
      <c r="C14" s="464"/>
      <c r="D14" s="464"/>
      <c r="E14" s="458"/>
      <c r="F14" s="459"/>
      <c r="G14" s="460"/>
    </row>
    <row r="15" spans="1:7" ht="29.25" customHeight="1" x14ac:dyDescent="0.25">
      <c r="A15" s="480">
        <v>9</v>
      </c>
      <c r="B15" s="464" t="s">
        <v>120</v>
      </c>
      <c r="C15" s="464"/>
      <c r="D15" s="464"/>
      <c r="E15" s="495" t="s">
        <v>316</v>
      </c>
      <c r="F15" s="496"/>
      <c r="G15" s="497"/>
    </row>
    <row r="16" spans="1:7" ht="29.25" customHeight="1" x14ac:dyDescent="0.25">
      <c r="A16" s="482"/>
      <c r="B16" s="464" t="s">
        <v>121</v>
      </c>
      <c r="C16" s="464"/>
      <c r="D16" s="464"/>
      <c r="E16" s="498"/>
      <c r="F16" s="499"/>
      <c r="G16" s="500"/>
    </row>
    <row r="17" spans="1:10" ht="29.25" customHeight="1" x14ac:dyDescent="0.25">
      <c r="A17" s="40">
        <v>10</v>
      </c>
      <c r="B17" s="464" t="s">
        <v>128</v>
      </c>
      <c r="C17" s="464"/>
      <c r="D17" s="483"/>
      <c r="E17" s="198" t="s">
        <v>245</v>
      </c>
      <c r="F17" s="348">
        <f>IF('DATA INPUT'!$I$83="STATE SCALE",Psh!$A$6,Psh!$A$9)</f>
        <v>0</v>
      </c>
      <c r="G17" s="292"/>
    </row>
    <row r="18" spans="1:10" ht="29.25" customHeight="1" x14ac:dyDescent="0.25">
      <c r="A18" s="40">
        <v>11</v>
      </c>
      <c r="B18" s="464" t="s">
        <v>111</v>
      </c>
      <c r="C18" s="464"/>
      <c r="D18" s="483"/>
      <c r="E18" s="198" t="s">
        <v>245</v>
      </c>
      <c r="F18" s="348">
        <f>IF('DATA INPUT'!$I$83="STATE SCALE",Psh!$AW$6,Psh!$AW$9)</f>
        <v>8500</v>
      </c>
      <c r="G18" s="292"/>
      <c r="J18" s="179"/>
    </row>
    <row r="19" spans="1:10" ht="29.25" customHeight="1" x14ac:dyDescent="0.25">
      <c r="A19" s="40">
        <v>12</v>
      </c>
      <c r="B19" s="464" t="s">
        <v>112</v>
      </c>
      <c r="C19" s="464"/>
      <c r="D19" s="483"/>
      <c r="E19" s="198" t="s">
        <v>245</v>
      </c>
      <c r="F19" s="348">
        <f>IF('DATA INPUT'!$I$83="STATE SCALE",Psh!$AQ$6,Psh!$AQ$9)</f>
        <v>0</v>
      </c>
      <c r="G19" s="292"/>
    </row>
    <row r="20" spans="1:10" ht="88.5" customHeight="1" x14ac:dyDescent="0.25">
      <c r="A20" s="40">
        <v>13</v>
      </c>
      <c r="B20" s="464" t="s">
        <v>258</v>
      </c>
      <c r="C20" s="464"/>
      <c r="D20" s="464"/>
      <c r="E20" s="476" t="s">
        <v>315</v>
      </c>
      <c r="F20" s="477"/>
      <c r="G20" s="478"/>
    </row>
    <row r="21" spans="1:10" ht="34.5" customHeight="1" x14ac:dyDescent="0.25">
      <c r="A21" s="40">
        <v>14</v>
      </c>
      <c r="B21" s="464" t="s">
        <v>5</v>
      </c>
      <c r="C21" s="464"/>
      <c r="D21" s="464"/>
      <c r="E21" s="475">
        <f>'DATA INPUT'!$I$10</f>
        <v>1</v>
      </c>
      <c r="F21" s="470"/>
      <c r="G21" s="470"/>
    </row>
    <row r="22" spans="1:10" ht="15.75" x14ac:dyDescent="0.25">
      <c r="A22" s="480">
        <v>15</v>
      </c>
      <c r="B22" s="464" t="s">
        <v>201</v>
      </c>
      <c r="C22" s="464"/>
      <c r="D22" s="464"/>
      <c r="E22" s="470">
        <f>'DATA INPUT'!$C$33</f>
        <v>0</v>
      </c>
      <c r="F22" s="470"/>
      <c r="G22" s="470"/>
    </row>
    <row r="23" spans="1:10" ht="24" customHeight="1" x14ac:dyDescent="0.25">
      <c r="A23" s="481"/>
      <c r="B23" s="464" t="s">
        <v>122</v>
      </c>
      <c r="C23" s="464"/>
      <c r="D23" s="464"/>
      <c r="E23" s="470"/>
      <c r="F23" s="470"/>
      <c r="G23" s="470"/>
    </row>
    <row r="24" spans="1:10" ht="24" customHeight="1" x14ac:dyDescent="0.25">
      <c r="A24" s="482"/>
      <c r="B24" s="484" t="s">
        <v>123</v>
      </c>
      <c r="C24" s="484"/>
      <c r="D24" s="484"/>
      <c r="E24" s="470"/>
      <c r="F24" s="470"/>
      <c r="G24" s="470"/>
    </row>
    <row r="25" spans="1:10" ht="20.25" customHeight="1" x14ac:dyDescent="0.25">
      <c r="A25" s="480">
        <v>16</v>
      </c>
      <c r="B25" s="464" t="s">
        <v>202</v>
      </c>
      <c r="C25" s="464"/>
      <c r="D25" s="464"/>
      <c r="E25" s="490"/>
      <c r="F25" s="491"/>
      <c r="G25" s="492"/>
    </row>
    <row r="26" spans="1:10" ht="35.25" customHeight="1" x14ac:dyDescent="0.25">
      <c r="A26" s="481"/>
      <c r="B26" s="464" t="s">
        <v>124</v>
      </c>
      <c r="C26" s="464"/>
      <c r="D26" s="464"/>
      <c r="E26" s="494">
        <f>IF('DATA INPUT'!H104="APPLICABLE",'FORM 7'!Q27,"  ")</f>
        <v>8500</v>
      </c>
      <c r="F26" s="494"/>
      <c r="G26" s="494"/>
    </row>
    <row r="27" spans="1:10" ht="33.75" customHeight="1" x14ac:dyDescent="0.25">
      <c r="A27" s="482"/>
      <c r="B27" s="464" t="s">
        <v>125</v>
      </c>
      <c r="C27" s="464"/>
      <c r="D27" s="464"/>
      <c r="E27" s="494">
        <f>'FORM 7'!$D$28</f>
        <v>0</v>
      </c>
      <c r="F27" s="494"/>
      <c r="G27" s="494"/>
    </row>
    <row r="28" spans="1:10" ht="37.5" customHeight="1" x14ac:dyDescent="0.25">
      <c r="A28" s="40">
        <v>17</v>
      </c>
      <c r="B28" s="464" t="s">
        <v>6</v>
      </c>
      <c r="C28" s="464"/>
      <c r="D28" s="464"/>
      <c r="E28" s="487" t="s">
        <v>317</v>
      </c>
      <c r="F28" s="487"/>
      <c r="G28" s="487"/>
    </row>
    <row r="29" spans="1:10" ht="18" customHeight="1" x14ac:dyDescent="0.25">
      <c r="A29" s="480">
        <v>18</v>
      </c>
      <c r="B29" s="464" t="s">
        <v>126</v>
      </c>
      <c r="C29" s="464"/>
      <c r="D29" s="483"/>
      <c r="E29" s="490"/>
      <c r="F29" s="491"/>
      <c r="G29" s="492"/>
    </row>
    <row r="30" spans="1:10" ht="25.5" customHeight="1" x14ac:dyDescent="0.25">
      <c r="A30" s="481"/>
      <c r="B30" s="464" t="s">
        <v>261</v>
      </c>
      <c r="C30" s="464"/>
      <c r="D30" s="483"/>
      <c r="E30" s="493">
        <f>'DATA INPUT'!$C$7</f>
        <v>0</v>
      </c>
      <c r="F30" s="487"/>
      <c r="G30" s="487"/>
    </row>
    <row r="31" spans="1:10" ht="25.5" customHeight="1" x14ac:dyDescent="0.25">
      <c r="A31" s="482"/>
      <c r="B31" s="464" t="s">
        <v>127</v>
      </c>
      <c r="C31" s="464"/>
      <c r="D31" s="464"/>
      <c r="E31" s="475">
        <f>'DATA INPUT'!$C$51</f>
        <v>0</v>
      </c>
      <c r="F31" s="470"/>
      <c r="G31" s="470"/>
    </row>
    <row r="32" spans="1:10" ht="25.5" customHeight="1" x14ac:dyDescent="0.25">
      <c r="A32" s="40">
        <v>19</v>
      </c>
      <c r="B32" s="464" t="s">
        <v>7</v>
      </c>
      <c r="C32" s="464"/>
      <c r="D32" s="464"/>
      <c r="E32" s="488">
        <f>'DATA INPUT'!$C$101</f>
        <v>0</v>
      </c>
      <c r="F32" s="488"/>
      <c r="G32" s="488"/>
    </row>
    <row r="33" spans="1:7" ht="27" customHeight="1" x14ac:dyDescent="0.25">
      <c r="A33" s="40">
        <v>20</v>
      </c>
      <c r="B33" s="464" t="s">
        <v>8</v>
      </c>
      <c r="C33" s="464"/>
      <c r="D33" s="464"/>
      <c r="E33" s="470">
        <f>'DATA INPUT'!$C$102</f>
        <v>0</v>
      </c>
      <c r="F33" s="470"/>
      <c r="G33" s="470"/>
    </row>
    <row r="34" spans="1:7" s="57" customFormat="1" ht="15.75" x14ac:dyDescent="0.25">
      <c r="A34" s="285">
        <v>21</v>
      </c>
      <c r="B34" s="489" t="s">
        <v>9</v>
      </c>
      <c r="C34" s="489"/>
      <c r="D34" s="489"/>
      <c r="E34" s="489"/>
      <c r="F34" s="489"/>
      <c r="G34" s="489"/>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6" t="s">
        <v>14</v>
      </c>
      <c r="F42" s="486"/>
      <c r="G42" s="486"/>
    </row>
    <row r="43" spans="1:7" s="41" customFormat="1" ht="15.75" customHeight="1" x14ac:dyDescent="0.25">
      <c r="A43" s="286"/>
      <c r="C43" s="43"/>
      <c r="D43" s="25"/>
      <c r="E43" s="485" t="s">
        <v>15</v>
      </c>
      <c r="F43" s="485"/>
      <c r="G43" s="485"/>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65" t="s">
        <v>16</v>
      </c>
      <c r="B46" s="465"/>
      <c r="C46" s="465"/>
      <c r="D46" s="465"/>
      <c r="E46" s="465"/>
      <c r="F46" s="465"/>
      <c r="G46" s="465"/>
    </row>
    <row r="47" spans="1:7" ht="3.75" customHeight="1" x14ac:dyDescent="0.25">
      <c r="B47" s="274"/>
      <c r="C47" s="1"/>
      <c r="D47" s="1"/>
    </row>
    <row r="48" spans="1:7" ht="14.45" customHeight="1" x14ac:dyDescent="0.25">
      <c r="A48" s="179" t="s">
        <v>17</v>
      </c>
      <c r="B48" s="466" t="s">
        <v>18</v>
      </c>
      <c r="C48" s="466"/>
      <c r="D48" s="466"/>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E13:G13"/>
    <mergeCell ref="E14:G14"/>
    <mergeCell ref="E29:G29"/>
    <mergeCell ref="E30:G30"/>
    <mergeCell ref="E31:G31"/>
    <mergeCell ref="E25:G25"/>
    <mergeCell ref="E26:G26"/>
    <mergeCell ref="E27:G27"/>
    <mergeCell ref="E15:G16"/>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B23:D23"/>
    <mergeCell ref="E22:G24"/>
    <mergeCell ref="B15:D15"/>
    <mergeCell ref="B17:D17"/>
    <mergeCell ref="B18:D18"/>
    <mergeCell ref="B19:D19"/>
    <mergeCell ref="B21:D21"/>
    <mergeCell ref="B22:D22"/>
    <mergeCell ref="B24:D24"/>
    <mergeCell ref="B20:D20"/>
    <mergeCell ref="B14:D14"/>
    <mergeCell ref="A10:A14"/>
    <mergeCell ref="B10:D10"/>
    <mergeCell ref="B16:D16"/>
    <mergeCell ref="A15:A16"/>
    <mergeCell ref="A1:G1"/>
    <mergeCell ref="B6:D6"/>
    <mergeCell ref="B7:D7"/>
    <mergeCell ref="B8:D8"/>
    <mergeCell ref="B9:D9"/>
    <mergeCell ref="B3:D3"/>
    <mergeCell ref="B4:D4"/>
    <mergeCell ref="A2:G2"/>
    <mergeCell ref="B5:D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topLeftCell="A7"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42" t="s">
        <v>20</v>
      </c>
      <c r="B1" s="542"/>
      <c r="C1" s="542"/>
      <c r="D1" s="542"/>
      <c r="E1" s="542"/>
      <c r="F1" s="542"/>
      <c r="G1" s="542"/>
      <c r="H1" s="542"/>
      <c r="I1" s="542"/>
      <c r="J1" s="542"/>
      <c r="K1" s="542"/>
      <c r="L1" s="542"/>
      <c r="M1" s="542"/>
      <c r="N1" s="542"/>
    </row>
    <row r="2" spans="1:18" ht="21.75" customHeight="1" x14ac:dyDescent="0.2">
      <c r="P2" s="52"/>
    </row>
    <row r="3" spans="1:18" ht="18" customHeight="1" x14ac:dyDescent="0.2">
      <c r="B3" s="543" t="s">
        <v>352</v>
      </c>
      <c r="C3" s="543"/>
      <c r="D3" s="543"/>
      <c r="E3" s="543"/>
      <c r="F3" s="535" t="str">
        <f>GRATUITY!$E$3</f>
        <v/>
      </c>
      <c r="G3" s="535"/>
      <c r="H3" s="535"/>
      <c r="I3" s="535"/>
      <c r="J3" s="535"/>
      <c r="K3" s="535"/>
      <c r="L3" s="535"/>
      <c r="M3" s="535"/>
      <c r="N3" s="535"/>
    </row>
    <row r="4" spans="1:18" ht="18" customHeight="1" x14ac:dyDescent="0.2">
      <c r="A4" s="508" t="s">
        <v>410</v>
      </c>
      <c r="B4" s="508"/>
      <c r="C4" s="508"/>
      <c r="D4" s="508"/>
      <c r="E4" s="508"/>
      <c r="F4" s="508"/>
      <c r="G4" s="508"/>
      <c r="H4" s="545" t="str">
        <f>'FORM 7'!$D$8</f>
        <v>SUPERANNUATION</v>
      </c>
      <c r="I4" s="545"/>
      <c r="J4" s="545"/>
      <c r="K4" s="545"/>
      <c r="L4" s="289" t="s">
        <v>411</v>
      </c>
      <c r="M4" s="544">
        <f>PROFORMA!$C$5</f>
        <v>0</v>
      </c>
      <c r="N4" s="544"/>
    </row>
    <row r="5" spans="1:18" ht="16.5" customHeight="1" x14ac:dyDescent="0.2">
      <c r="P5" s="205"/>
      <c r="Q5" s="205"/>
      <c r="R5" s="205"/>
    </row>
    <row r="6" spans="1:18" ht="42" customHeight="1" x14ac:dyDescent="0.2">
      <c r="A6" s="514" t="s">
        <v>364</v>
      </c>
      <c r="B6" s="514"/>
      <c r="C6" s="514"/>
      <c r="D6" s="514"/>
      <c r="E6" s="514"/>
      <c r="F6" s="514"/>
      <c r="G6" s="514"/>
      <c r="H6" s="514"/>
      <c r="I6" s="514"/>
      <c r="J6" s="514"/>
      <c r="K6" s="514"/>
      <c r="L6" s="514"/>
      <c r="M6" s="514"/>
      <c r="N6" s="514"/>
    </row>
    <row r="7" spans="1:18" ht="41.25" customHeight="1" x14ac:dyDescent="0.2">
      <c r="P7" s="53"/>
    </row>
    <row r="8" spans="1:18" ht="19.5" customHeight="1" x14ac:dyDescent="0.2">
      <c r="H8" s="508" t="s">
        <v>353</v>
      </c>
      <c r="I8" s="508"/>
      <c r="J8" s="508"/>
      <c r="K8" s="508"/>
      <c r="L8" s="508"/>
    </row>
    <row r="9" spans="1:18" ht="21" customHeight="1" x14ac:dyDescent="0.2">
      <c r="P9" s="53"/>
      <c r="Q9" s="205"/>
    </row>
    <row r="10" spans="1:18" ht="16.5" customHeight="1" x14ac:dyDescent="0.2">
      <c r="D10" s="533" t="s">
        <v>204</v>
      </c>
      <c r="E10" s="533"/>
      <c r="F10" s="533"/>
      <c r="G10" s="533"/>
      <c r="H10" s="533"/>
      <c r="I10" s="533"/>
      <c r="J10" s="533"/>
      <c r="K10" s="533"/>
    </row>
    <row r="11" spans="1:18" ht="15" customHeight="1" x14ac:dyDescent="0.2">
      <c r="D11" s="204"/>
    </row>
    <row r="12" spans="1:18" ht="15" customHeight="1" x14ac:dyDescent="0.2">
      <c r="D12" s="204"/>
    </row>
    <row r="13" spans="1:18" ht="18.75" customHeight="1" x14ac:dyDescent="0.2">
      <c r="D13" s="508" t="s">
        <v>203</v>
      </c>
      <c r="E13" s="508"/>
      <c r="F13" s="508"/>
      <c r="G13" s="508"/>
      <c r="H13" s="508"/>
      <c r="I13" s="508"/>
      <c r="J13" s="508"/>
      <c r="K13" s="508"/>
    </row>
    <row r="14" spans="1:18" x14ac:dyDescent="0.2">
      <c r="P14" s="53"/>
    </row>
    <row r="15" spans="1:18" ht="15" customHeight="1" x14ac:dyDescent="0.2">
      <c r="P15" s="53"/>
    </row>
    <row r="16" spans="1:18" x14ac:dyDescent="0.2">
      <c r="P16" s="53"/>
    </row>
    <row r="17" spans="1:18" ht="27.6" customHeight="1" x14ac:dyDescent="0.2">
      <c r="A17" s="534" t="s">
        <v>205</v>
      </c>
      <c r="B17" s="534"/>
      <c r="C17" s="534"/>
      <c r="D17" s="534"/>
      <c r="E17" s="534"/>
      <c r="F17" s="534"/>
      <c r="G17" s="534"/>
      <c r="H17" s="534"/>
      <c r="I17" s="534"/>
      <c r="J17" s="534"/>
      <c r="K17" s="534"/>
      <c r="L17" s="534"/>
      <c r="M17" s="534"/>
      <c r="N17" s="534"/>
    </row>
    <row r="18" spans="1:18" ht="17.45" customHeight="1" x14ac:dyDescent="0.2">
      <c r="P18" s="55"/>
    </row>
    <row r="19" spans="1:18" ht="18" customHeight="1" x14ac:dyDescent="0.2">
      <c r="A19" s="13"/>
      <c r="B19" s="546" t="s">
        <v>354</v>
      </c>
      <c r="C19" s="546"/>
      <c r="D19" s="546"/>
      <c r="E19" s="546"/>
      <c r="F19" s="546"/>
      <c r="G19" s="512" t="str">
        <f>F3</f>
        <v/>
      </c>
      <c r="H19" s="512"/>
      <c r="I19" s="512"/>
      <c r="J19" s="512"/>
      <c r="K19" s="512"/>
      <c r="L19" s="512"/>
      <c r="M19" s="512"/>
      <c r="N19" s="512"/>
    </row>
    <row r="20" spans="1:18" ht="18" customHeight="1" x14ac:dyDescent="0.2">
      <c r="A20" s="512">
        <f>SERVICE!$C$3</f>
        <v>0</v>
      </c>
      <c r="B20" s="512"/>
      <c r="C20" s="512"/>
      <c r="D20" s="512"/>
      <c r="E20" s="512"/>
      <c r="F20" s="512">
        <f>'DATA INPUT'!$C$13</f>
        <v>0</v>
      </c>
      <c r="G20" s="512"/>
      <c r="H20" s="512"/>
      <c r="I20" s="512"/>
      <c r="J20" s="546" t="s">
        <v>412</v>
      </c>
      <c r="K20" s="546"/>
    </row>
    <row r="21" spans="1:18" ht="18" customHeight="1" x14ac:dyDescent="0.2">
      <c r="A21" s="551" t="str">
        <f t="shared" ref="A21" si="0">$H$4</f>
        <v>SUPERANNUATION</v>
      </c>
      <c r="B21" s="551"/>
      <c r="C21" s="551"/>
      <c r="D21" s="551"/>
      <c r="E21" s="551"/>
      <c r="F21" s="508" t="s">
        <v>413</v>
      </c>
      <c r="G21" s="508"/>
      <c r="H21" s="508"/>
      <c r="I21" s="508"/>
      <c r="J21" s="508"/>
      <c r="K21" s="508"/>
      <c r="L21" s="547">
        <f>M4</f>
        <v>0</v>
      </c>
      <c r="M21" s="547"/>
    </row>
    <row r="22" spans="1:18" ht="24" customHeight="1" x14ac:dyDescent="0.2">
      <c r="P22" s="280"/>
      <c r="Q22" s="280"/>
      <c r="R22" s="296"/>
    </row>
    <row r="23" spans="1:18" ht="54.75" customHeight="1" x14ac:dyDescent="0.2">
      <c r="B23" s="288">
        <v>1</v>
      </c>
      <c r="C23" s="552"/>
      <c r="D23" s="552"/>
      <c r="E23" s="552"/>
      <c r="F23" s="552"/>
      <c r="G23" s="552"/>
      <c r="H23" s="552"/>
      <c r="I23" s="552"/>
      <c r="J23" s="552"/>
      <c r="K23" s="552"/>
      <c r="L23" s="552"/>
      <c r="M23" s="552"/>
    </row>
    <row r="24" spans="1:18" ht="54.75" customHeight="1" x14ac:dyDescent="0.2">
      <c r="B24" s="288">
        <v>2</v>
      </c>
      <c r="C24" s="552"/>
      <c r="D24" s="552"/>
      <c r="E24" s="552"/>
      <c r="F24" s="552"/>
      <c r="G24" s="552"/>
      <c r="H24" s="552"/>
      <c r="I24" s="552"/>
      <c r="J24" s="552"/>
      <c r="K24" s="552"/>
      <c r="L24" s="552"/>
      <c r="M24" s="552"/>
    </row>
    <row r="25" spans="1:18" ht="54.75" customHeight="1" x14ac:dyDescent="0.2">
      <c r="B25" s="288">
        <v>3</v>
      </c>
      <c r="C25" s="552"/>
      <c r="D25" s="552"/>
      <c r="E25" s="552"/>
      <c r="F25" s="552"/>
      <c r="G25" s="552"/>
      <c r="H25" s="552"/>
      <c r="I25" s="552"/>
      <c r="J25" s="552"/>
      <c r="K25" s="552"/>
      <c r="L25" s="552"/>
      <c r="M25" s="552"/>
    </row>
    <row r="26" spans="1:18" ht="30.75" customHeight="1" x14ac:dyDescent="0.2">
      <c r="P26" s="53"/>
    </row>
    <row r="27" spans="1:18" ht="46.5" customHeight="1" x14ac:dyDescent="0.2">
      <c r="H27" s="508" t="s">
        <v>365</v>
      </c>
      <c r="I27" s="508"/>
      <c r="J27" s="508"/>
      <c r="K27" s="508"/>
      <c r="L27" s="508"/>
    </row>
    <row r="28" spans="1:18" ht="34.5" customHeight="1" x14ac:dyDescent="0.2">
      <c r="E28" s="511" t="s">
        <v>21</v>
      </c>
      <c r="F28" s="511"/>
      <c r="G28" s="511"/>
      <c r="H28" s="511"/>
      <c r="I28" s="511"/>
      <c r="J28" s="511"/>
    </row>
    <row r="29" spans="1:18" ht="28.5" customHeight="1" x14ac:dyDescent="0.2">
      <c r="E29" s="56"/>
    </row>
    <row r="30" spans="1:18" ht="32.25" customHeight="1" x14ac:dyDescent="0.2">
      <c r="E30" s="553" t="s">
        <v>359</v>
      </c>
      <c r="F30" s="553"/>
      <c r="G30" s="553"/>
      <c r="H30" s="553"/>
      <c r="I30" s="553"/>
      <c r="J30" s="553"/>
    </row>
    <row r="32" spans="1:18" ht="15.75" x14ac:dyDescent="0.2">
      <c r="A32" s="548" t="s">
        <v>249</v>
      </c>
      <c r="B32" s="548"/>
      <c r="C32" s="548"/>
      <c r="D32" s="548"/>
      <c r="E32" s="548"/>
      <c r="F32" s="548"/>
      <c r="G32" s="548"/>
      <c r="H32" s="548"/>
      <c r="I32" s="548"/>
      <c r="J32" s="548"/>
      <c r="K32" s="548"/>
      <c r="L32" s="548"/>
      <c r="M32" s="548"/>
      <c r="N32" s="548"/>
    </row>
    <row r="34" spans="1:16" ht="19.5" customHeight="1" x14ac:dyDescent="0.2">
      <c r="B34" s="278" t="s">
        <v>355</v>
      </c>
      <c r="C34" s="517" t="str">
        <f>G19</f>
        <v/>
      </c>
      <c r="D34" s="517"/>
      <c r="E34" s="517"/>
      <c r="F34" s="517"/>
      <c r="G34" s="517"/>
      <c r="H34" s="517"/>
      <c r="I34" s="517"/>
      <c r="J34" s="517"/>
      <c r="K34" s="517"/>
      <c r="L34" s="517"/>
      <c r="M34" s="517"/>
      <c r="N34" s="517"/>
    </row>
    <row r="35" spans="1:16" ht="19.5" customHeight="1" x14ac:dyDescent="0.2">
      <c r="A35" s="535">
        <f>A20</f>
        <v>0</v>
      </c>
      <c r="B35" s="535"/>
      <c r="C35" s="535"/>
      <c r="D35" s="535"/>
      <c r="E35" s="535"/>
      <c r="F35" s="512">
        <f>F20</f>
        <v>0</v>
      </c>
      <c r="G35" s="512"/>
      <c r="H35" s="512"/>
      <c r="I35" s="512"/>
      <c r="J35" s="512"/>
      <c r="K35" s="512"/>
      <c r="L35" s="513" t="s">
        <v>366</v>
      </c>
      <c r="M35" s="513"/>
      <c r="N35" s="513"/>
    </row>
    <row r="36" spans="1:16" s="53" customFormat="1" ht="37.5" customHeight="1" x14ac:dyDescent="0.25">
      <c r="A36" s="514" t="s">
        <v>367</v>
      </c>
      <c r="B36" s="514"/>
      <c r="C36" s="514"/>
      <c r="D36" s="514"/>
      <c r="E36" s="514"/>
      <c r="F36" s="514"/>
      <c r="G36" s="514"/>
      <c r="H36" s="514"/>
      <c r="I36" s="514"/>
      <c r="J36" s="514"/>
      <c r="K36" s="514"/>
      <c r="L36" s="514"/>
      <c r="M36" s="514"/>
      <c r="N36" s="514"/>
    </row>
    <row r="37" spans="1:16" s="53" customFormat="1" x14ac:dyDescent="0.25">
      <c r="P37" s="281"/>
    </row>
    <row r="38" spans="1:16" s="53" customFormat="1" ht="41.25" customHeight="1" x14ac:dyDescent="0.25"/>
    <row r="39" spans="1:16" s="53" customFormat="1" ht="15.75" customHeight="1" x14ac:dyDescent="0.25">
      <c r="A39" s="538">
        <f>'DATA INPUT'!$C$21</f>
        <v>0</v>
      </c>
      <c r="B39" s="538"/>
      <c r="C39" s="538"/>
      <c r="H39" s="541" t="s">
        <v>356</v>
      </c>
      <c r="I39" s="541"/>
      <c r="J39" s="541"/>
      <c r="K39" s="541"/>
      <c r="L39" s="541"/>
    </row>
    <row r="40" spans="1:16" s="53" customFormat="1" ht="15.75" customHeight="1" x14ac:dyDescent="0.25">
      <c r="A40" s="554">
        <f>'DATA INPUT'!$C$3</f>
        <v>0</v>
      </c>
      <c r="B40" s="554"/>
      <c r="C40" s="554"/>
      <c r="H40" s="541">
        <f>A20</f>
        <v>0</v>
      </c>
      <c r="I40" s="541"/>
      <c r="J40" s="541"/>
      <c r="K40" s="541"/>
      <c r="L40" s="541"/>
    </row>
    <row r="41" spans="1:16" s="53" customFormat="1" ht="15.75" customHeight="1" x14ac:dyDescent="0.25">
      <c r="H41" s="541">
        <f>F20</f>
        <v>0</v>
      </c>
      <c r="I41" s="541"/>
      <c r="J41" s="541"/>
      <c r="K41" s="541"/>
      <c r="L41" s="541"/>
    </row>
    <row r="42" spans="1:16" s="53" customFormat="1" ht="30.75" customHeight="1" x14ac:dyDescent="0.25"/>
    <row r="43" spans="1:16" s="53" customFormat="1" ht="24" customHeight="1" x14ac:dyDescent="0.25">
      <c r="A43" s="508" t="s">
        <v>22</v>
      </c>
      <c r="B43" s="508"/>
      <c r="C43" s="508"/>
      <c r="D43" s="508"/>
      <c r="E43" s="508"/>
      <c r="F43" s="508"/>
      <c r="G43" s="508"/>
      <c r="H43" s="508"/>
      <c r="I43" s="508"/>
      <c r="J43" s="508"/>
      <c r="K43" s="508"/>
      <c r="L43" s="508"/>
      <c r="M43" s="508"/>
      <c r="N43" s="508"/>
    </row>
    <row r="44" spans="1:16" s="53" customFormat="1" ht="174" customHeight="1" x14ac:dyDescent="0.25"/>
    <row r="45" spans="1:16" s="53" customFormat="1" ht="32.25" customHeight="1" x14ac:dyDescent="0.25"/>
    <row r="46" spans="1:16" s="53" customFormat="1" ht="18.75" customHeight="1" x14ac:dyDescent="0.25">
      <c r="A46" s="549" t="s">
        <v>368</v>
      </c>
      <c r="B46" s="549"/>
      <c r="C46" s="549"/>
      <c r="D46" s="549"/>
      <c r="E46" s="549"/>
      <c r="F46" s="549"/>
      <c r="G46" s="549"/>
      <c r="H46" s="549"/>
      <c r="I46" s="549"/>
      <c r="J46" s="549"/>
      <c r="K46" s="549"/>
      <c r="L46" s="549"/>
      <c r="M46" s="549"/>
      <c r="N46" s="549"/>
    </row>
    <row r="47" spans="1:16" s="53" customFormat="1" ht="18.75" customHeight="1" x14ac:dyDescent="0.25">
      <c r="A47" s="550" t="str">
        <f>F3</f>
        <v/>
      </c>
      <c r="B47" s="550"/>
      <c r="C47" s="550"/>
      <c r="D47" s="550"/>
      <c r="E47" s="550"/>
      <c r="F47" s="550"/>
      <c r="G47" s="550"/>
      <c r="H47" s="550"/>
      <c r="I47" s="550"/>
      <c r="J47" s="550"/>
      <c r="K47" s="550"/>
      <c r="L47" s="514" t="s">
        <v>358</v>
      </c>
      <c r="M47" s="514"/>
      <c r="N47" s="514"/>
    </row>
    <row r="48" spans="1:16" s="53" customFormat="1" ht="18.75" customHeight="1" x14ac:dyDescent="0.25">
      <c r="A48" s="514" t="s">
        <v>357</v>
      </c>
      <c r="B48" s="514"/>
      <c r="C48" s="514"/>
      <c r="D48" s="514"/>
      <c r="E48" s="536">
        <f>'FORM 7'!$E$21</f>
        <v>0</v>
      </c>
      <c r="F48" s="536"/>
      <c r="G48" s="536"/>
      <c r="H48" s="536"/>
      <c r="I48" s="536"/>
      <c r="J48" s="536"/>
      <c r="K48" s="536"/>
      <c r="L48" s="536"/>
      <c r="M48" s="536"/>
      <c r="N48" s="536"/>
    </row>
    <row r="49" spans="1:18" s="53" customFormat="1" ht="63" customHeight="1" x14ac:dyDescent="0.25"/>
    <row r="50" spans="1:18" s="53" customFormat="1" ht="17.25" customHeight="1" x14ac:dyDescent="0.25">
      <c r="A50" s="514">
        <f>A39</f>
        <v>0</v>
      </c>
      <c r="B50" s="514"/>
      <c r="C50" s="514"/>
      <c r="G50" s="508" t="s">
        <v>359</v>
      </c>
      <c r="H50" s="508"/>
      <c r="I50" s="508"/>
      <c r="J50" s="508"/>
      <c r="K50" s="508"/>
      <c r="L50" s="508"/>
    </row>
    <row r="51" spans="1:18" s="53" customFormat="1" ht="17.25" customHeight="1" x14ac:dyDescent="0.25">
      <c r="A51" s="540">
        <f>A40</f>
        <v>0</v>
      </c>
      <c r="B51" s="540"/>
      <c r="C51" s="540"/>
      <c r="G51" s="541">
        <f>H40</f>
        <v>0</v>
      </c>
      <c r="H51" s="541"/>
      <c r="I51" s="541"/>
      <c r="J51" s="541"/>
      <c r="K51" s="541"/>
      <c r="L51" s="541"/>
    </row>
    <row r="52" spans="1:18" s="53" customFormat="1" ht="28.5" customHeight="1" x14ac:dyDescent="0.25"/>
    <row r="53" spans="1:18" s="53" customFormat="1" ht="21.75" customHeight="1" x14ac:dyDescent="0.25">
      <c r="A53" s="533" t="s">
        <v>144</v>
      </c>
      <c r="B53" s="533"/>
      <c r="C53" s="533"/>
      <c r="D53" s="533"/>
      <c r="E53" s="533"/>
      <c r="F53" s="533"/>
      <c r="G53" s="533"/>
      <c r="H53" s="533"/>
      <c r="I53" s="533"/>
      <c r="J53" s="533"/>
      <c r="K53" s="533"/>
      <c r="L53" s="533"/>
      <c r="M53" s="533"/>
      <c r="N53" s="533"/>
    </row>
    <row r="54" spans="1:18" s="53" customFormat="1" ht="24" customHeight="1" x14ac:dyDescent="0.25">
      <c r="P54" s="281"/>
    </row>
    <row r="55" spans="1:18" s="53" customFormat="1" ht="21.75" customHeight="1" x14ac:dyDescent="0.25">
      <c r="A55" s="508" t="s">
        <v>145</v>
      </c>
      <c r="B55" s="508"/>
      <c r="C55" s="508"/>
      <c r="D55" s="508"/>
      <c r="E55" s="508"/>
      <c r="F55" s="508"/>
      <c r="G55" s="508"/>
      <c r="H55" s="508"/>
      <c r="I55" s="508"/>
      <c r="J55" s="508"/>
      <c r="K55" s="508"/>
      <c r="L55" s="508"/>
      <c r="M55" s="508"/>
      <c r="N55" s="508"/>
    </row>
    <row r="56" spans="1:18" s="53" customFormat="1" x14ac:dyDescent="0.25"/>
    <row r="57" spans="1:18" s="53" customFormat="1" x14ac:dyDescent="0.25"/>
    <row r="58" spans="1:18" s="53" customFormat="1" ht="28.5" customHeight="1" x14ac:dyDescent="0.25">
      <c r="A58" s="548" t="s">
        <v>23</v>
      </c>
      <c r="B58" s="548"/>
      <c r="C58" s="548"/>
      <c r="D58" s="548"/>
      <c r="E58" s="548"/>
      <c r="F58" s="548"/>
      <c r="G58" s="548"/>
      <c r="H58" s="548"/>
      <c r="I58" s="548"/>
      <c r="J58" s="548"/>
      <c r="K58" s="548"/>
      <c r="L58" s="548"/>
      <c r="M58" s="548"/>
      <c r="N58" s="548"/>
      <c r="Q58" s="210"/>
      <c r="R58" s="210"/>
    </row>
    <row r="59" spans="1:18" s="53" customFormat="1" ht="20.25" customHeight="1" x14ac:dyDescent="0.25"/>
    <row r="60" spans="1:18" s="53" customFormat="1" ht="18" customHeight="1" x14ac:dyDescent="0.25">
      <c r="A60" s="514" t="s">
        <v>369</v>
      </c>
      <c r="B60" s="514"/>
      <c r="C60" s="514"/>
      <c r="D60" s="514"/>
      <c r="E60" s="514"/>
      <c r="F60" s="514"/>
      <c r="G60" s="514"/>
      <c r="H60" s="514"/>
      <c r="I60" s="514"/>
      <c r="J60" s="514"/>
      <c r="K60" s="514"/>
      <c r="L60" s="514"/>
      <c r="M60" s="514"/>
      <c r="N60" s="514"/>
    </row>
    <row r="61" spans="1:18" s="53" customFormat="1" ht="18" customHeight="1" x14ac:dyDescent="0.25">
      <c r="A61" s="514" t="s">
        <v>363</v>
      </c>
      <c r="B61" s="514"/>
      <c r="C61" s="536" t="str">
        <f>F3</f>
        <v/>
      </c>
      <c r="D61" s="536"/>
      <c r="E61" s="536"/>
      <c r="F61" s="536"/>
      <c r="G61" s="536"/>
      <c r="H61" s="536"/>
      <c r="I61" s="536"/>
      <c r="J61" s="536"/>
      <c r="K61" s="536"/>
      <c r="L61" s="536"/>
      <c r="M61" s="536"/>
      <c r="N61" s="536"/>
    </row>
    <row r="62" spans="1:18" s="53" customFormat="1" ht="18" customHeight="1" x14ac:dyDescent="0.25">
      <c r="A62" s="514" t="s">
        <v>360</v>
      </c>
      <c r="B62" s="514"/>
      <c r="C62" s="514"/>
      <c r="D62" s="539">
        <f>M4</f>
        <v>0</v>
      </c>
      <c r="E62" s="539"/>
      <c r="F62" s="508" t="s">
        <v>412</v>
      </c>
      <c r="G62" s="508"/>
      <c r="H62" s="514" t="str">
        <f t="shared" ref="H62" si="1">$A$21</f>
        <v>SUPERANNUATION</v>
      </c>
      <c r="I62" s="514"/>
      <c r="J62" s="514"/>
      <c r="K62" s="514"/>
      <c r="L62" s="514"/>
      <c r="M62" s="514"/>
      <c r="N62" s="514"/>
    </row>
    <row r="63" spans="1:18" s="53" customFormat="1" ht="27" customHeight="1" x14ac:dyDescent="0.25"/>
    <row r="64" spans="1:18" s="53" customFormat="1" ht="28.5" customHeight="1" x14ac:dyDescent="0.25"/>
    <row r="65" spans="1:18" s="53" customFormat="1" ht="15.75" customHeight="1" x14ac:dyDescent="0.25">
      <c r="G65" s="508" t="s">
        <v>25</v>
      </c>
      <c r="H65" s="508"/>
      <c r="I65" s="508"/>
      <c r="J65" s="508"/>
      <c r="K65" s="508"/>
    </row>
    <row r="66" spans="1:18" s="53" customFormat="1" ht="21.75" customHeight="1" x14ac:dyDescent="0.25">
      <c r="Q66" s="209"/>
      <c r="R66" s="209"/>
    </row>
    <row r="67" spans="1:18" s="53" customFormat="1" ht="21.75" customHeight="1" x14ac:dyDescent="0.25">
      <c r="A67" s="533" t="s">
        <v>144</v>
      </c>
      <c r="B67" s="533"/>
      <c r="C67" s="533"/>
      <c r="D67" s="533"/>
      <c r="E67" s="533"/>
      <c r="F67" s="533"/>
      <c r="G67" s="533"/>
      <c r="H67" s="533"/>
      <c r="I67" s="533"/>
      <c r="J67" s="533"/>
      <c r="K67" s="533"/>
      <c r="L67" s="533"/>
      <c r="M67" s="533"/>
      <c r="N67" s="533"/>
      <c r="P67" s="281"/>
    </row>
    <row r="68" spans="1:18" s="53" customFormat="1" ht="21.75" customHeight="1" x14ac:dyDescent="0.25">
      <c r="A68" s="204"/>
    </row>
    <row r="69" spans="1:18" s="53" customFormat="1" ht="21.75" customHeight="1" x14ac:dyDescent="0.25">
      <c r="A69" s="508" t="s">
        <v>145</v>
      </c>
      <c r="B69" s="508"/>
      <c r="C69" s="508"/>
      <c r="D69" s="508"/>
      <c r="E69" s="508"/>
      <c r="F69" s="508"/>
      <c r="G69" s="508"/>
      <c r="H69" s="508"/>
      <c r="I69" s="508"/>
      <c r="J69" s="508"/>
      <c r="K69" s="508"/>
      <c r="L69" s="508"/>
      <c r="M69" s="508"/>
      <c r="N69" s="508"/>
      <c r="P69" s="281"/>
    </row>
    <row r="70" spans="1:18" s="53" customFormat="1" ht="21.75" customHeight="1" x14ac:dyDescent="0.25">
      <c r="P70" s="281"/>
    </row>
    <row r="71" spans="1:18" s="53" customFormat="1" ht="30" customHeight="1" x14ac:dyDescent="0.25"/>
    <row r="72" spans="1:18" s="53" customFormat="1" ht="25.5" customHeight="1" x14ac:dyDescent="0.25">
      <c r="A72" s="534" t="s">
        <v>24</v>
      </c>
      <c r="B72" s="534"/>
      <c r="C72" s="534"/>
      <c r="D72" s="534"/>
      <c r="E72" s="534"/>
      <c r="F72" s="534"/>
      <c r="G72" s="534"/>
      <c r="H72" s="534"/>
      <c r="I72" s="534"/>
      <c r="J72" s="534"/>
      <c r="K72" s="534"/>
      <c r="L72" s="534"/>
      <c r="M72" s="534"/>
      <c r="N72" s="534"/>
      <c r="Q72" s="211"/>
      <c r="R72" s="211"/>
    </row>
    <row r="73" spans="1:18" s="53" customFormat="1" ht="14.25" customHeight="1" x14ac:dyDescent="0.25">
      <c r="P73" s="54"/>
    </row>
    <row r="74" spans="1:18" s="53" customFormat="1" ht="21" customHeight="1" x14ac:dyDescent="0.25">
      <c r="A74" s="538" t="s">
        <v>362</v>
      </c>
      <c r="B74" s="538"/>
      <c r="C74" s="538"/>
      <c r="D74" s="538"/>
      <c r="E74" s="538"/>
      <c r="F74" s="538"/>
      <c r="G74" s="535" t="str">
        <f>F3</f>
        <v/>
      </c>
      <c r="H74" s="535"/>
      <c r="I74" s="535"/>
      <c r="J74" s="535"/>
      <c r="K74" s="535"/>
      <c r="L74" s="535"/>
      <c r="M74" s="535"/>
      <c r="N74" s="535"/>
    </row>
    <row r="75" spans="1:18" s="53" customFormat="1" ht="21" customHeight="1" x14ac:dyDescent="0.25">
      <c r="A75" s="535">
        <f>H40</f>
        <v>0</v>
      </c>
      <c r="B75" s="535"/>
      <c r="C75" s="535"/>
      <c r="D75" s="535"/>
      <c r="E75" s="535"/>
      <c r="F75" s="536">
        <f>F20</f>
        <v>0</v>
      </c>
      <c r="G75" s="536"/>
      <c r="H75" s="536"/>
      <c r="I75" s="536"/>
      <c r="J75" s="536"/>
      <c r="K75" s="536"/>
      <c r="L75" s="514" t="s">
        <v>370</v>
      </c>
      <c r="M75" s="514"/>
      <c r="N75" s="514"/>
    </row>
    <row r="76" spans="1:18" s="53" customFormat="1" ht="21" customHeight="1" x14ac:dyDescent="0.25">
      <c r="A76" s="537" t="s">
        <v>371</v>
      </c>
      <c r="B76" s="537"/>
      <c r="C76" s="537"/>
      <c r="D76" s="547">
        <f>M4</f>
        <v>0</v>
      </c>
      <c r="E76" s="547"/>
      <c r="F76" s="508" t="s">
        <v>412</v>
      </c>
      <c r="G76" s="508"/>
      <c r="H76" s="533" t="str">
        <f t="shared" ref="H76" si="2">$H$62</f>
        <v>SUPERANNUATION</v>
      </c>
      <c r="I76" s="533"/>
      <c r="J76" s="533"/>
      <c r="K76" s="533"/>
      <c r="L76" s="533"/>
      <c r="M76" s="514" t="s">
        <v>415</v>
      </c>
      <c r="N76" s="514"/>
    </row>
    <row r="77" spans="1:18" s="53" customFormat="1" ht="14.25" customHeight="1" x14ac:dyDescent="0.25">
      <c r="P77" s="508"/>
      <c r="Q77" s="508"/>
      <c r="R77" s="508"/>
    </row>
    <row r="78" spans="1:18" s="53" customFormat="1" ht="14.25" customHeight="1" thickBot="1" x14ac:dyDescent="0.3">
      <c r="D78" s="514" t="s">
        <v>361</v>
      </c>
      <c r="E78" s="514"/>
      <c r="F78" s="514"/>
      <c r="G78" s="514"/>
      <c r="P78" s="278"/>
      <c r="Q78" s="278"/>
      <c r="R78" s="278"/>
    </row>
    <row r="79" spans="1:18" s="53" customFormat="1" ht="116.25" customHeight="1" thickBot="1" x14ac:dyDescent="0.3">
      <c r="D79" s="529" t="str">
        <f>GRATUITY!$E$5</f>
        <v>, , , , -</v>
      </c>
      <c r="E79" s="530"/>
      <c r="F79" s="530"/>
      <c r="G79" s="530"/>
      <c r="H79" s="530"/>
      <c r="I79" s="530"/>
      <c r="J79" s="531"/>
      <c r="P79" s="297"/>
    </row>
    <row r="80" spans="1:18" s="53" customFormat="1" ht="21" customHeight="1" thickBot="1" x14ac:dyDescent="0.3">
      <c r="P80" s="298"/>
      <c r="Q80" s="206"/>
    </row>
    <row r="81" spans="1:18" s="53" customFormat="1" ht="21" customHeight="1" x14ac:dyDescent="0.25">
      <c r="I81" s="514" t="s">
        <v>25</v>
      </c>
      <c r="J81" s="514"/>
      <c r="K81" s="514"/>
      <c r="L81" s="514"/>
    </row>
    <row r="82" spans="1:18" s="53" customFormat="1" x14ac:dyDescent="0.25"/>
    <row r="83" spans="1:18" s="53" customFormat="1" ht="12.75" customHeight="1" x14ac:dyDescent="0.25"/>
    <row r="84" spans="1:18" s="53" customFormat="1" ht="25.15" customHeight="1" x14ac:dyDescent="0.25">
      <c r="A84" s="511" t="s">
        <v>21</v>
      </c>
      <c r="B84" s="511"/>
      <c r="C84" s="511"/>
      <c r="D84" s="511"/>
      <c r="E84" s="511"/>
      <c r="F84" s="511"/>
      <c r="G84" s="511"/>
      <c r="H84" s="511"/>
      <c r="I84" s="511"/>
      <c r="J84" s="511"/>
      <c r="K84" s="511"/>
      <c r="L84" s="511"/>
      <c r="M84" s="511"/>
      <c r="N84" s="511"/>
      <c r="Q84" s="209"/>
      <c r="R84" s="209"/>
    </row>
    <row r="85" spans="1:18" s="53" customFormat="1" ht="38.25" customHeight="1" x14ac:dyDescent="0.25">
      <c r="P85" s="56"/>
    </row>
    <row r="86" spans="1:18" s="53" customFormat="1" ht="14.25" customHeight="1" x14ac:dyDescent="0.25">
      <c r="A86" s="511" t="s">
        <v>26</v>
      </c>
      <c r="B86" s="511"/>
      <c r="C86" s="511"/>
      <c r="D86" s="511"/>
      <c r="E86" s="511"/>
      <c r="F86" s="511"/>
      <c r="G86" s="511"/>
      <c r="H86" s="511"/>
      <c r="I86" s="511"/>
      <c r="J86" s="511"/>
      <c r="K86" s="511"/>
      <c r="L86" s="511"/>
      <c r="M86" s="511"/>
      <c r="N86" s="511"/>
      <c r="Q86" s="209"/>
      <c r="R86" s="209"/>
    </row>
    <row r="87" spans="1:18" s="53" customFormat="1" ht="18" customHeight="1" x14ac:dyDescent="0.25"/>
    <row r="88" spans="1:18" s="53" customFormat="1" ht="9" customHeight="1" x14ac:dyDescent="0.25"/>
    <row r="89" spans="1:18" s="53" customFormat="1" ht="16.5" customHeight="1" x14ac:dyDescent="0.25">
      <c r="A89" s="532" t="s">
        <v>250</v>
      </c>
      <c r="B89" s="532"/>
      <c r="C89" s="532"/>
      <c r="D89" s="532"/>
      <c r="E89" s="532"/>
      <c r="F89" s="532"/>
      <c r="G89" s="532"/>
      <c r="H89" s="532"/>
      <c r="I89" s="532"/>
      <c r="J89" s="532"/>
      <c r="K89" s="532"/>
      <c r="L89" s="532"/>
      <c r="M89" s="532"/>
      <c r="N89" s="532"/>
    </row>
    <row r="90" spans="1:18" s="53" customFormat="1" ht="18" customHeight="1" x14ac:dyDescent="0.25"/>
    <row r="91" spans="1:18" s="53" customFormat="1" ht="24.75" customHeight="1" x14ac:dyDescent="0.25">
      <c r="A91" s="524" t="s">
        <v>374</v>
      </c>
      <c r="B91" s="524"/>
      <c r="C91" s="524"/>
      <c r="D91" s="522" t="str">
        <f>F3</f>
        <v/>
      </c>
      <c r="E91" s="522"/>
      <c r="F91" s="522"/>
      <c r="G91" s="522"/>
      <c r="H91" s="522"/>
      <c r="I91" s="522"/>
      <c r="J91" s="522"/>
      <c r="K91" s="522"/>
      <c r="L91" s="522"/>
      <c r="M91" s="522"/>
      <c r="N91" s="522"/>
    </row>
    <row r="92" spans="1:18" s="53" customFormat="1" ht="24.75" customHeight="1" x14ac:dyDescent="0.25">
      <c r="A92" s="524" t="s">
        <v>375</v>
      </c>
      <c r="B92" s="524"/>
      <c r="C92" s="524"/>
      <c r="D92" s="522">
        <f>A20</f>
        <v>0</v>
      </c>
      <c r="E92" s="522"/>
      <c r="F92" s="522"/>
      <c r="G92" s="522"/>
      <c r="H92" s="522"/>
      <c r="I92" s="522"/>
      <c r="J92" s="522"/>
      <c r="K92" s="522"/>
      <c r="L92" s="522"/>
      <c r="M92" s="522"/>
      <c r="N92" s="522"/>
    </row>
    <row r="93" spans="1:18" s="53" customFormat="1" ht="24.75" customHeight="1" x14ac:dyDescent="0.25">
      <c r="A93" s="525" t="s">
        <v>376</v>
      </c>
      <c r="B93" s="525"/>
      <c r="C93" s="525"/>
      <c r="D93" s="523">
        <f>F20</f>
        <v>0</v>
      </c>
      <c r="E93" s="523"/>
      <c r="F93" s="523"/>
      <c r="G93" s="523"/>
      <c r="H93" s="523"/>
      <c r="I93" s="523"/>
      <c r="J93" s="523"/>
      <c r="K93" s="523"/>
      <c r="L93" s="523"/>
      <c r="M93" s="523"/>
      <c r="N93" s="523"/>
    </row>
    <row r="94" spans="1:18" s="53" customFormat="1" ht="24.75" customHeight="1" x14ac:dyDescent="0.25">
      <c r="A94" s="525" t="s">
        <v>377</v>
      </c>
      <c r="B94" s="525"/>
      <c r="C94" s="525"/>
      <c r="D94" s="523">
        <f>GRATUITY!$E$32</f>
        <v>0</v>
      </c>
      <c r="E94" s="523"/>
      <c r="F94" s="523"/>
      <c r="G94" s="523"/>
      <c r="H94" s="523"/>
      <c r="I94" s="523"/>
      <c r="J94" s="523"/>
      <c r="K94" s="523"/>
      <c r="L94" s="523"/>
      <c r="M94" s="523"/>
      <c r="N94" s="523"/>
    </row>
    <row r="95" spans="1:18" s="53" customFormat="1" ht="20.25" customHeight="1" x14ac:dyDescent="0.25">
      <c r="A95" s="203"/>
      <c r="B95" s="203"/>
      <c r="C95" s="203"/>
      <c r="D95" s="203"/>
      <c r="E95" s="204"/>
    </row>
    <row r="96" spans="1:18" s="53" customFormat="1" ht="33.75" customHeight="1" x14ac:dyDescent="0.25">
      <c r="A96" s="509" t="s">
        <v>372</v>
      </c>
      <c r="B96" s="509"/>
      <c r="C96" s="509"/>
      <c r="D96" s="299">
        <v>1</v>
      </c>
      <c r="E96" s="526">
        <f>GRATUITY!$E$33</f>
        <v>0</v>
      </c>
      <c r="F96" s="527"/>
      <c r="G96" s="527"/>
      <c r="H96" s="527"/>
      <c r="I96" s="527"/>
      <c r="J96" s="527"/>
      <c r="K96" s="527"/>
      <c r="L96" s="527"/>
      <c r="M96" s="528"/>
    </row>
    <row r="97" spans="1:16" s="53" customFormat="1" ht="33.75" customHeight="1" x14ac:dyDescent="0.25">
      <c r="A97" s="204"/>
      <c r="B97" s="204"/>
      <c r="C97" s="204"/>
      <c r="D97" s="299">
        <v>2</v>
      </c>
      <c r="E97" s="518"/>
      <c r="F97" s="519"/>
      <c r="G97" s="519"/>
      <c r="H97" s="519"/>
      <c r="I97" s="519"/>
      <c r="J97" s="519"/>
      <c r="K97" s="519"/>
      <c r="L97" s="519"/>
      <c r="M97" s="520"/>
    </row>
    <row r="98" spans="1:16" s="53" customFormat="1" ht="33.75" customHeight="1" x14ac:dyDescent="0.25">
      <c r="A98" s="204"/>
      <c r="B98" s="204"/>
      <c r="C98" s="204"/>
      <c r="D98" s="299">
        <v>3</v>
      </c>
      <c r="E98" s="518"/>
      <c r="F98" s="519"/>
      <c r="G98" s="519"/>
      <c r="H98" s="519"/>
      <c r="I98" s="519"/>
      <c r="J98" s="519"/>
      <c r="K98" s="519"/>
      <c r="L98" s="519"/>
      <c r="M98" s="520"/>
    </row>
    <row r="99" spans="1:16" s="53" customFormat="1" ht="20.25" customHeight="1" x14ac:dyDescent="0.25"/>
    <row r="100" spans="1:16" s="53" customFormat="1" ht="38.25" customHeight="1" x14ac:dyDescent="0.25"/>
    <row r="101" spans="1:16" s="53" customFormat="1" ht="17.25" customHeight="1" x14ac:dyDescent="0.25">
      <c r="A101" s="508">
        <f>A50</f>
        <v>0</v>
      </c>
      <c r="B101" s="508"/>
      <c r="G101" s="509" t="s">
        <v>373</v>
      </c>
      <c r="H101" s="509"/>
      <c r="I101" s="509"/>
      <c r="J101" s="509"/>
      <c r="K101" s="509"/>
    </row>
    <row r="102" spans="1:16" ht="17.25" customHeight="1" x14ac:dyDescent="0.2">
      <c r="A102" s="510">
        <f>A40</f>
        <v>0</v>
      </c>
      <c r="B102" s="510"/>
      <c r="C102" s="510"/>
    </row>
    <row r="103" spans="1:16" ht="9" customHeight="1" x14ac:dyDescent="0.2"/>
    <row r="104" spans="1:16" s="53" customFormat="1" ht="25.15" customHeight="1" x14ac:dyDescent="0.25">
      <c r="A104" s="511" t="s">
        <v>21</v>
      </c>
      <c r="B104" s="511"/>
      <c r="C104" s="511"/>
      <c r="D104" s="511"/>
      <c r="E104" s="511"/>
      <c r="F104" s="511"/>
      <c r="G104" s="511"/>
      <c r="H104" s="511"/>
      <c r="I104" s="511"/>
      <c r="J104" s="511"/>
      <c r="K104" s="511"/>
      <c r="L104" s="511"/>
      <c r="M104" s="511"/>
      <c r="N104" s="511"/>
    </row>
    <row r="105" spans="1:16" s="53" customFormat="1" ht="26.25" customHeight="1" x14ac:dyDescent="0.25">
      <c r="P105" s="56"/>
    </row>
    <row r="106" spans="1:16" s="53" customFormat="1" ht="25.5" customHeight="1" x14ac:dyDescent="0.25">
      <c r="A106" s="511" t="s">
        <v>26</v>
      </c>
      <c r="B106" s="511"/>
      <c r="C106" s="511"/>
      <c r="D106" s="511"/>
      <c r="E106" s="511"/>
      <c r="F106" s="511"/>
      <c r="G106" s="511"/>
      <c r="H106" s="511"/>
      <c r="I106" s="511"/>
      <c r="J106" s="511"/>
      <c r="K106" s="511"/>
      <c r="L106" s="511"/>
      <c r="M106" s="511"/>
      <c r="N106" s="511"/>
    </row>
    <row r="108" spans="1:16" ht="27.75" customHeight="1" x14ac:dyDescent="0.2"/>
    <row r="110" spans="1:16" ht="35.25" customHeight="1" x14ac:dyDescent="0.2">
      <c r="A110" s="515" t="s">
        <v>251</v>
      </c>
      <c r="B110" s="515"/>
      <c r="C110" s="515"/>
      <c r="D110" s="515"/>
      <c r="E110" s="515"/>
      <c r="F110" s="515"/>
      <c r="G110" s="515"/>
      <c r="H110" s="515"/>
      <c r="I110" s="515"/>
      <c r="J110" s="515"/>
      <c r="K110" s="515"/>
      <c r="L110" s="515"/>
      <c r="M110" s="515"/>
      <c r="N110" s="515"/>
    </row>
    <row r="111" spans="1:16" ht="15" customHeight="1" x14ac:dyDescent="0.2"/>
    <row r="112" spans="1:16" ht="21" customHeight="1" x14ac:dyDescent="0.2">
      <c r="A112" s="205"/>
      <c r="B112" s="207" t="s">
        <v>355</v>
      </c>
      <c r="C112" s="517" t="str">
        <f>D91</f>
        <v/>
      </c>
      <c r="D112" s="517"/>
      <c r="E112" s="517"/>
      <c r="F112" s="517"/>
      <c r="G112" s="517"/>
      <c r="H112" s="517"/>
      <c r="I112" s="517"/>
      <c r="J112" s="517"/>
      <c r="K112" s="517"/>
      <c r="L112" s="517"/>
      <c r="M112" s="517"/>
      <c r="N112" s="517"/>
    </row>
    <row r="113" spans="1:16" ht="15.75" customHeight="1" x14ac:dyDescent="0.2">
      <c r="A113" s="512">
        <f>SERVICE!$C$3</f>
        <v>0</v>
      </c>
      <c r="B113" s="512"/>
      <c r="C113" s="512"/>
      <c r="D113" s="512"/>
      <c r="E113" s="512"/>
      <c r="F113" s="512">
        <f>'DATA INPUT'!$C$13</f>
        <v>0</v>
      </c>
      <c r="G113" s="512"/>
      <c r="H113" s="512"/>
      <c r="I113" s="512"/>
      <c r="J113" s="512"/>
      <c r="K113" s="513" t="s">
        <v>378</v>
      </c>
      <c r="L113" s="513"/>
      <c r="M113" s="513"/>
      <c r="N113" s="513"/>
    </row>
    <row r="114" spans="1:16" ht="33.75" customHeight="1" x14ac:dyDescent="0.2">
      <c r="A114" s="514" t="s">
        <v>379</v>
      </c>
      <c r="B114" s="514"/>
      <c r="C114" s="514"/>
      <c r="D114" s="514"/>
      <c r="E114" s="514"/>
      <c r="F114" s="514"/>
      <c r="G114" s="514"/>
      <c r="H114" s="514"/>
      <c r="I114" s="514"/>
      <c r="J114" s="514"/>
      <c r="K114" s="514"/>
      <c r="L114" s="514"/>
      <c r="M114" s="514"/>
      <c r="N114" s="514"/>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08">
        <f>A101</f>
        <v>0</v>
      </c>
      <c r="B117" s="508"/>
      <c r="G117" s="509" t="s">
        <v>373</v>
      </c>
      <c r="H117" s="509"/>
      <c r="I117" s="509"/>
      <c r="J117" s="509"/>
      <c r="K117" s="509"/>
    </row>
    <row r="118" spans="1:16" ht="17.25" customHeight="1" x14ac:dyDescent="0.2">
      <c r="A118" s="510">
        <f>A102</f>
        <v>0</v>
      </c>
      <c r="B118" s="510"/>
      <c r="C118" s="510"/>
    </row>
    <row r="119" spans="1:16" ht="7.5" customHeight="1" x14ac:dyDescent="0.2"/>
    <row r="120" spans="1:16" s="53" customFormat="1" ht="25.15" customHeight="1" x14ac:dyDescent="0.25">
      <c r="A120" s="511" t="s">
        <v>21</v>
      </c>
      <c r="B120" s="511"/>
      <c r="C120" s="511"/>
      <c r="D120" s="511"/>
      <c r="E120" s="511"/>
      <c r="F120" s="511"/>
      <c r="G120" s="511"/>
      <c r="H120" s="511"/>
      <c r="I120" s="511"/>
      <c r="J120" s="511"/>
      <c r="K120" s="511"/>
      <c r="L120" s="511"/>
      <c r="M120" s="511"/>
      <c r="N120" s="511"/>
    </row>
    <row r="121" spans="1:16" s="53" customFormat="1" ht="26.25" customHeight="1" x14ac:dyDescent="0.25">
      <c r="P121" s="56"/>
    </row>
    <row r="122" spans="1:16" s="53" customFormat="1" ht="25.5" customHeight="1" x14ac:dyDescent="0.25">
      <c r="A122" s="511" t="s">
        <v>26</v>
      </c>
      <c r="B122" s="511"/>
      <c r="C122" s="511"/>
      <c r="D122" s="511"/>
      <c r="E122" s="511"/>
      <c r="F122" s="511"/>
      <c r="G122" s="511"/>
      <c r="H122" s="511"/>
      <c r="I122" s="511"/>
      <c r="J122" s="511"/>
      <c r="K122" s="511"/>
      <c r="L122" s="511"/>
      <c r="M122" s="511"/>
      <c r="N122" s="511"/>
    </row>
    <row r="124" spans="1:16" s="53" customFormat="1" ht="25.15" customHeight="1" x14ac:dyDescent="0.25">
      <c r="A124" s="521" t="s">
        <v>252</v>
      </c>
      <c r="B124" s="521"/>
      <c r="C124" s="521"/>
      <c r="D124" s="521"/>
      <c r="E124" s="521"/>
      <c r="F124" s="521"/>
      <c r="G124" s="521"/>
      <c r="H124" s="521"/>
      <c r="I124" s="521"/>
      <c r="J124" s="521"/>
      <c r="K124" s="521"/>
      <c r="L124" s="521"/>
      <c r="M124" s="521"/>
      <c r="N124" s="521"/>
      <c r="P124" s="279"/>
    </row>
    <row r="125" spans="1:16" s="53" customFormat="1" ht="21.75" customHeight="1" x14ac:dyDescent="0.25">
      <c r="P125" s="56"/>
    </row>
    <row r="126" spans="1:16" s="53" customFormat="1" ht="18" customHeight="1" x14ac:dyDescent="0.25">
      <c r="A126" s="208"/>
      <c r="B126" s="207" t="s">
        <v>355</v>
      </c>
      <c r="C126" s="517" t="str">
        <f>C112</f>
        <v/>
      </c>
      <c r="D126" s="517"/>
      <c r="E126" s="517"/>
      <c r="F126" s="517"/>
      <c r="G126" s="517"/>
      <c r="H126" s="517"/>
      <c r="I126" s="517"/>
      <c r="J126" s="517"/>
      <c r="K126" s="517"/>
      <c r="L126" s="517"/>
      <c r="M126" s="517"/>
      <c r="N126" s="517"/>
      <c r="P126" s="279"/>
    </row>
    <row r="127" spans="1:16" s="202" customFormat="1" ht="18" customHeight="1" x14ac:dyDescent="0.25">
      <c r="A127" s="512">
        <f>A113</f>
        <v>0</v>
      </c>
      <c r="B127" s="512"/>
      <c r="C127" s="512"/>
      <c r="D127" s="512"/>
      <c r="E127" s="512"/>
      <c r="F127" s="512">
        <f>F113</f>
        <v>0</v>
      </c>
      <c r="G127" s="512"/>
      <c r="H127" s="512"/>
      <c r="I127" s="512"/>
      <c r="J127" s="512"/>
      <c r="K127" s="513" t="s">
        <v>380</v>
      </c>
      <c r="L127" s="513"/>
      <c r="M127" s="513"/>
      <c r="N127" s="513"/>
    </row>
    <row r="128" spans="1:16" s="202" customFormat="1" ht="18" customHeight="1" x14ac:dyDescent="0.25">
      <c r="A128" s="513" t="s">
        <v>381</v>
      </c>
      <c r="B128" s="513"/>
      <c r="C128" s="513"/>
      <c r="D128" s="513"/>
      <c r="E128" s="513"/>
      <c r="F128" s="513"/>
      <c r="G128" s="513"/>
      <c r="H128" s="513"/>
      <c r="I128" s="513"/>
      <c r="J128" s="513"/>
      <c r="K128" s="513"/>
      <c r="L128" s="513"/>
      <c r="M128" s="513"/>
      <c r="N128" s="513"/>
    </row>
    <row r="129" spans="1:16" s="202" customFormat="1" ht="18" customHeight="1" x14ac:dyDescent="0.25">
      <c r="A129" s="513" t="s">
        <v>382</v>
      </c>
      <c r="B129" s="513"/>
      <c r="C129" s="513"/>
      <c r="D129" s="513"/>
      <c r="E129" s="513"/>
      <c r="F129" s="513"/>
      <c r="G129" s="513"/>
      <c r="H129" s="513"/>
      <c r="I129" s="513"/>
      <c r="J129" s="513"/>
      <c r="K129" s="513"/>
      <c r="L129" s="513"/>
      <c r="M129" s="513"/>
      <c r="N129" s="513"/>
    </row>
    <row r="130" spans="1:16" s="202" customFormat="1" ht="18" customHeight="1" x14ac:dyDescent="0.25">
      <c r="A130" s="514" t="s">
        <v>383</v>
      </c>
      <c r="B130" s="514"/>
      <c r="C130" s="514"/>
      <c r="D130" s="514"/>
      <c r="E130" s="514"/>
      <c r="F130" s="514"/>
      <c r="G130" s="514"/>
      <c r="H130" s="514"/>
      <c r="I130" s="514"/>
      <c r="J130" s="514"/>
      <c r="K130" s="514"/>
      <c r="L130" s="514"/>
      <c r="M130" s="514"/>
      <c r="N130" s="514"/>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08">
        <f>A117</f>
        <v>0</v>
      </c>
      <c r="B134" s="508"/>
      <c r="G134" s="509" t="s">
        <v>373</v>
      </c>
      <c r="H134" s="509"/>
      <c r="I134" s="509"/>
      <c r="J134" s="509"/>
      <c r="K134" s="509"/>
    </row>
    <row r="135" spans="1:16" ht="17.25" customHeight="1" x14ac:dyDescent="0.2">
      <c r="A135" s="510">
        <f>A118</f>
        <v>0</v>
      </c>
      <c r="B135" s="510"/>
      <c r="C135" s="510"/>
    </row>
    <row r="136" spans="1:16" ht="13.5" customHeight="1" x14ac:dyDescent="0.2"/>
    <row r="137" spans="1:16" s="53" customFormat="1" ht="25.15" customHeight="1" x14ac:dyDescent="0.25">
      <c r="A137" s="511" t="s">
        <v>21</v>
      </c>
      <c r="B137" s="511"/>
      <c r="C137" s="511"/>
      <c r="D137" s="511"/>
      <c r="E137" s="511"/>
      <c r="F137" s="511"/>
      <c r="G137" s="511"/>
      <c r="H137" s="511"/>
      <c r="I137" s="511"/>
      <c r="J137" s="511"/>
      <c r="K137" s="511"/>
      <c r="L137" s="511"/>
      <c r="M137" s="511"/>
      <c r="N137" s="511"/>
    </row>
    <row r="138" spans="1:16" s="53" customFormat="1" ht="26.25" customHeight="1" x14ac:dyDescent="0.25">
      <c r="P138" s="56"/>
    </row>
    <row r="139" spans="1:16" s="53" customFormat="1" ht="25.5" customHeight="1" x14ac:dyDescent="0.25">
      <c r="A139" s="511" t="s">
        <v>26</v>
      </c>
      <c r="B139" s="511"/>
      <c r="C139" s="511"/>
      <c r="D139" s="511"/>
      <c r="E139" s="511"/>
      <c r="F139" s="511"/>
      <c r="G139" s="511"/>
      <c r="H139" s="511"/>
      <c r="I139" s="511"/>
      <c r="J139" s="511"/>
      <c r="K139" s="511"/>
      <c r="L139" s="511"/>
      <c r="M139" s="511"/>
      <c r="N139" s="511"/>
    </row>
    <row r="140" spans="1:16" s="53" customFormat="1" ht="34.5" customHeight="1" x14ac:dyDescent="0.25"/>
    <row r="141" spans="1:16" ht="24" customHeight="1" x14ac:dyDescent="0.2"/>
    <row r="142" spans="1:16" ht="27" customHeight="1" x14ac:dyDescent="0.2"/>
    <row r="143" spans="1:16" ht="42.75" customHeight="1" x14ac:dyDescent="0.2">
      <c r="A143" s="515" t="s">
        <v>253</v>
      </c>
      <c r="B143" s="515"/>
      <c r="C143" s="515"/>
      <c r="D143" s="515"/>
      <c r="E143" s="515"/>
      <c r="F143" s="515"/>
      <c r="G143" s="515"/>
      <c r="H143" s="515"/>
      <c r="I143" s="515"/>
      <c r="J143" s="515"/>
      <c r="K143" s="515"/>
      <c r="L143" s="515"/>
      <c r="M143" s="515"/>
      <c r="N143" s="515"/>
    </row>
    <row r="144" spans="1:16" ht="10.5" customHeight="1" x14ac:dyDescent="0.2"/>
    <row r="145" spans="1:17" ht="19.5" customHeight="1" x14ac:dyDescent="0.2">
      <c r="A145" s="208"/>
      <c r="B145" s="207" t="s">
        <v>355</v>
      </c>
      <c r="C145" s="517" t="str">
        <f>C126</f>
        <v/>
      </c>
      <c r="D145" s="517"/>
      <c r="E145" s="517"/>
      <c r="F145" s="517"/>
      <c r="G145" s="517"/>
      <c r="H145" s="517"/>
      <c r="I145" s="517"/>
      <c r="J145" s="517"/>
      <c r="K145" s="517"/>
      <c r="L145" s="517"/>
      <c r="M145" s="517"/>
      <c r="N145" s="517"/>
      <c r="P145" s="516"/>
      <c r="Q145" s="516"/>
    </row>
    <row r="146" spans="1:17" ht="19.5" customHeight="1" x14ac:dyDescent="0.2">
      <c r="A146" s="512">
        <f>A127</f>
        <v>0</v>
      </c>
      <c r="B146" s="512"/>
      <c r="C146" s="512"/>
      <c r="D146" s="512"/>
      <c r="E146" s="512"/>
      <c r="F146" s="512">
        <f>F127</f>
        <v>0</v>
      </c>
      <c r="G146" s="512"/>
      <c r="H146" s="512"/>
      <c r="I146" s="512"/>
      <c r="J146" s="512"/>
      <c r="K146" s="513" t="s">
        <v>380</v>
      </c>
      <c r="L146" s="513"/>
      <c r="M146" s="513"/>
      <c r="N146" s="513"/>
    </row>
    <row r="147" spans="1:17" ht="19.5" customHeight="1" x14ac:dyDescent="0.2">
      <c r="A147" s="513" t="s">
        <v>385</v>
      </c>
      <c r="B147" s="513"/>
      <c r="C147" s="513"/>
      <c r="D147" s="513"/>
      <c r="E147" s="513"/>
      <c r="F147" s="513"/>
      <c r="G147" s="513"/>
      <c r="H147" s="513"/>
      <c r="I147" s="513"/>
      <c r="J147" s="513"/>
      <c r="K147" s="513"/>
      <c r="L147" s="513"/>
      <c r="M147" s="513"/>
      <c r="N147" s="513"/>
    </row>
    <row r="148" spans="1:17" ht="19.5" customHeight="1" x14ac:dyDescent="0.2">
      <c r="A148" s="513" t="s">
        <v>386</v>
      </c>
      <c r="B148" s="513"/>
      <c r="C148" s="513"/>
      <c r="D148" s="513"/>
      <c r="E148" s="513"/>
      <c r="F148" s="513"/>
      <c r="G148" s="513"/>
      <c r="H148" s="513"/>
      <c r="I148" s="513"/>
      <c r="J148" s="513"/>
      <c r="K148" s="513"/>
      <c r="L148" s="513"/>
      <c r="M148" s="513"/>
      <c r="N148" s="513"/>
    </row>
    <row r="149" spans="1:17" s="53" customFormat="1" ht="12.75" customHeight="1" x14ac:dyDescent="0.25">
      <c r="A149" s="514"/>
      <c r="B149" s="514"/>
      <c r="C149" s="514"/>
      <c r="D149" s="514"/>
      <c r="E149" s="514"/>
      <c r="F149" s="514"/>
      <c r="G149" s="514"/>
      <c r="H149" s="514"/>
      <c r="I149" s="514"/>
      <c r="J149" s="514"/>
      <c r="K149" s="514"/>
      <c r="L149" s="514"/>
      <c r="M149" s="514"/>
      <c r="N149" s="514"/>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08">
        <f>A134</f>
        <v>0</v>
      </c>
      <c r="B153" s="508"/>
      <c r="G153" s="509" t="s">
        <v>373</v>
      </c>
      <c r="H153" s="509"/>
      <c r="I153" s="509"/>
      <c r="J153" s="509"/>
      <c r="K153" s="509"/>
      <c r="P153" s="56"/>
    </row>
    <row r="154" spans="1:17" s="53" customFormat="1" ht="18" customHeight="1" x14ac:dyDescent="0.2">
      <c r="A154" s="510">
        <f>A135</f>
        <v>0</v>
      </c>
      <c r="B154" s="510"/>
      <c r="C154" s="510"/>
      <c r="D154" s="51"/>
      <c r="E154" s="51"/>
      <c r="F154" s="51"/>
      <c r="G154" s="51"/>
      <c r="H154" s="51"/>
      <c r="I154" s="51"/>
      <c r="J154" s="51"/>
      <c r="K154" s="51"/>
      <c r="L154" s="51"/>
      <c r="M154" s="51"/>
      <c r="N154" s="51"/>
      <c r="P154" s="279"/>
    </row>
    <row r="155" spans="1:17" ht="16.5" customHeight="1" x14ac:dyDescent="0.2"/>
    <row r="156" spans="1:17" ht="15" x14ac:dyDescent="0.2">
      <c r="A156" s="511" t="s">
        <v>21</v>
      </c>
      <c r="B156" s="511"/>
      <c r="C156" s="511"/>
      <c r="D156" s="511"/>
      <c r="E156" s="511"/>
      <c r="F156" s="511"/>
      <c r="G156" s="511"/>
      <c r="H156" s="511"/>
      <c r="I156" s="511"/>
      <c r="J156" s="511"/>
      <c r="K156" s="511"/>
      <c r="L156" s="511"/>
      <c r="M156" s="511"/>
      <c r="N156" s="511"/>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1" t="s">
        <v>26</v>
      </c>
      <c r="B158" s="511"/>
      <c r="C158" s="511"/>
      <c r="D158" s="511"/>
      <c r="E158" s="511"/>
      <c r="F158" s="511"/>
      <c r="G158" s="511"/>
      <c r="H158" s="511"/>
      <c r="I158" s="511"/>
      <c r="J158" s="511"/>
      <c r="K158" s="511"/>
      <c r="L158" s="511"/>
      <c r="M158" s="511"/>
      <c r="N158" s="511"/>
    </row>
  </sheetData>
  <sheetProtection password="C345" sheet="1" objects="1" scenarios="1" selectLockedCells="1"/>
  <mergeCells count="132">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17:N17"/>
    <mergeCell ref="A20:E20"/>
    <mergeCell ref="A1:N1"/>
    <mergeCell ref="B3:E3"/>
    <mergeCell ref="F3:N3"/>
    <mergeCell ref="M4:N4"/>
    <mergeCell ref="A6:N6"/>
    <mergeCell ref="H8:L8"/>
    <mergeCell ref="D13:K13"/>
    <mergeCell ref="D10:K10"/>
    <mergeCell ref="H4:K4"/>
    <mergeCell ref="A4:G4"/>
    <mergeCell ref="F20:I20"/>
    <mergeCell ref="J20:K20"/>
    <mergeCell ref="A43:N43"/>
    <mergeCell ref="A62:C62"/>
    <mergeCell ref="D62:E62"/>
    <mergeCell ref="C61:N61"/>
    <mergeCell ref="A50:C50"/>
    <mergeCell ref="A51:C51"/>
    <mergeCell ref="G50:L50"/>
    <mergeCell ref="G51:L51"/>
    <mergeCell ref="A55:N55"/>
    <mergeCell ref="A53:N53"/>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D91:N91"/>
    <mergeCell ref="D92:N92"/>
    <mergeCell ref="D93:N93"/>
    <mergeCell ref="A91:C91"/>
    <mergeCell ref="A92:C92"/>
    <mergeCell ref="A93:C93"/>
    <mergeCell ref="A94:C94"/>
    <mergeCell ref="A96:C96"/>
    <mergeCell ref="D94:N94"/>
    <mergeCell ref="E96:M96"/>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A135:C135"/>
    <mergeCell ref="A137:N137"/>
    <mergeCell ref="A139:N139"/>
    <mergeCell ref="A143:N143"/>
    <mergeCell ref="P145:Q145"/>
    <mergeCell ref="C145:N145"/>
    <mergeCell ref="A128:N128"/>
    <mergeCell ref="A129:N129"/>
    <mergeCell ref="A130:N130"/>
    <mergeCell ref="A134:B134"/>
    <mergeCell ref="G134:K134"/>
    <mergeCell ref="A153:B153"/>
    <mergeCell ref="G153:K153"/>
    <mergeCell ref="A154:C154"/>
    <mergeCell ref="A156:N156"/>
    <mergeCell ref="A158:N158"/>
    <mergeCell ref="A146:E146"/>
    <mergeCell ref="F146:J146"/>
    <mergeCell ref="K146:N146"/>
    <mergeCell ref="A147:N147"/>
    <mergeCell ref="A148:N148"/>
    <mergeCell ref="A149:N149"/>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68" t="s">
        <v>146</v>
      </c>
      <c r="B1" s="568"/>
      <c r="C1" s="568"/>
      <c r="D1" s="568"/>
      <c r="E1" s="568"/>
      <c r="F1" s="568"/>
      <c r="G1" s="568"/>
    </row>
    <row r="2" spans="1:7" ht="24.75" customHeight="1" x14ac:dyDescent="0.25">
      <c r="A2" s="569" t="s">
        <v>167</v>
      </c>
      <c r="B2" s="569"/>
      <c r="C2" s="569"/>
      <c r="D2" s="569"/>
      <c r="E2" s="569"/>
      <c r="F2" s="569"/>
      <c r="G2" s="569"/>
    </row>
    <row r="3" spans="1:7" ht="38.25" customHeight="1" x14ac:dyDescent="0.25">
      <c r="A3" s="285">
        <v>1</v>
      </c>
      <c r="B3" s="489" t="s">
        <v>147</v>
      </c>
      <c r="C3" s="489"/>
      <c r="D3" s="583" t="str">
        <f>'FORM 7A'!$C$3</f>
        <v/>
      </c>
      <c r="E3" s="584"/>
      <c r="F3" s="584"/>
      <c r="G3" s="585"/>
    </row>
    <row r="4" spans="1:7" ht="47.25" customHeight="1" x14ac:dyDescent="0.25">
      <c r="A4" s="285">
        <v>2</v>
      </c>
      <c r="B4" s="489" t="s">
        <v>207</v>
      </c>
      <c r="C4" s="489"/>
      <c r="D4" s="586">
        <f>'FORM 7A'!$C$4</f>
        <v>0</v>
      </c>
      <c r="E4" s="587"/>
      <c r="F4" s="587"/>
      <c r="G4" s="588"/>
    </row>
    <row r="5" spans="1:7" ht="30" customHeight="1" x14ac:dyDescent="0.25">
      <c r="A5" s="285">
        <v>3</v>
      </c>
      <c r="B5" s="489" t="s">
        <v>148</v>
      </c>
      <c r="C5" s="489"/>
      <c r="D5" s="474">
        <f>'DATA INPUT'!$C$103</f>
        <v>0</v>
      </c>
      <c r="E5" s="474"/>
      <c r="F5" s="474"/>
      <c r="G5" s="474"/>
    </row>
    <row r="6" spans="1:7" ht="84.75" customHeight="1" x14ac:dyDescent="0.25">
      <c r="A6" s="285">
        <v>4</v>
      </c>
      <c r="B6" s="489" t="s">
        <v>208</v>
      </c>
      <c r="C6" s="489"/>
      <c r="D6" s="583" t="str">
        <f>GRATUITY!$E$5</f>
        <v>, , , , -</v>
      </c>
      <c r="E6" s="584"/>
      <c r="F6" s="584"/>
      <c r="G6" s="585"/>
    </row>
    <row r="7" spans="1:7" ht="73.5" customHeight="1" x14ac:dyDescent="0.25">
      <c r="A7" s="283">
        <v>5</v>
      </c>
      <c r="B7" s="489" t="s">
        <v>206</v>
      </c>
      <c r="C7" s="489"/>
      <c r="D7" s="589">
        <f>'DATA INPUT'!$C$98</f>
        <v>0</v>
      </c>
      <c r="E7" s="590"/>
      <c r="F7" s="590"/>
      <c r="G7" s="591"/>
    </row>
    <row r="8" spans="1:7" ht="34.5" customHeight="1" x14ac:dyDescent="0.25">
      <c r="A8" s="283">
        <v>6</v>
      </c>
      <c r="B8" s="489" t="s">
        <v>209</v>
      </c>
      <c r="C8" s="489"/>
      <c r="D8" s="578" t="str">
        <f>'DATA INPUT'!$C$100</f>
        <v>SUPERANNUATION</v>
      </c>
      <c r="E8" s="578"/>
      <c r="F8" s="578"/>
      <c r="G8" s="578"/>
    </row>
    <row r="9" spans="1:7" ht="21" customHeight="1" x14ac:dyDescent="0.25">
      <c r="A9" s="283">
        <v>7</v>
      </c>
      <c r="B9" s="489" t="s">
        <v>180</v>
      </c>
      <c r="C9" s="489"/>
      <c r="D9" s="578" t="s">
        <v>318</v>
      </c>
      <c r="E9" s="578"/>
      <c r="F9" s="578"/>
      <c r="G9" s="578"/>
    </row>
    <row r="10" spans="1:7" ht="47.25" customHeight="1" x14ac:dyDescent="0.25">
      <c r="A10" s="283">
        <v>8</v>
      </c>
      <c r="B10" s="489" t="s">
        <v>181</v>
      </c>
      <c r="C10" s="489"/>
      <c r="D10" s="582" t="s">
        <v>313</v>
      </c>
      <c r="E10" s="582"/>
      <c r="F10" s="582"/>
      <c r="G10" s="582"/>
    </row>
    <row r="11" spans="1:7" x14ac:dyDescent="0.25">
      <c r="A11" s="561">
        <v>9</v>
      </c>
      <c r="B11" s="489" t="s">
        <v>149</v>
      </c>
      <c r="C11" s="489"/>
      <c r="D11" s="283" t="s">
        <v>254</v>
      </c>
      <c r="E11" s="283" t="s">
        <v>255</v>
      </c>
      <c r="F11" s="283" t="s">
        <v>256</v>
      </c>
      <c r="G11" s="558"/>
    </row>
    <row r="12" spans="1:7" ht="26.25" customHeight="1" x14ac:dyDescent="0.25">
      <c r="A12" s="562"/>
      <c r="B12" s="489" t="s">
        <v>150</v>
      </c>
      <c r="C12" s="489"/>
      <c r="D12" s="290">
        <f>GRATUITY!E11</f>
        <v>0</v>
      </c>
      <c r="E12" s="290">
        <f>GRATUITY!F11</f>
        <v>0</v>
      </c>
      <c r="F12" s="290">
        <f>GRATUITY!G11</f>
        <v>0</v>
      </c>
      <c r="G12" s="559"/>
    </row>
    <row r="13" spans="1:7" ht="26.25" customHeight="1" x14ac:dyDescent="0.25">
      <c r="A13" s="562"/>
      <c r="B13" s="489" t="s">
        <v>151</v>
      </c>
      <c r="C13" s="489"/>
      <c r="D13" s="300"/>
      <c r="E13" s="300"/>
      <c r="F13" s="300"/>
      <c r="G13" s="560"/>
    </row>
    <row r="14" spans="1:7" ht="36" customHeight="1" x14ac:dyDescent="0.25">
      <c r="A14" s="562"/>
      <c r="B14" s="489" t="s">
        <v>174</v>
      </c>
      <c r="C14" s="489"/>
      <c r="D14" s="578" t="s">
        <v>315</v>
      </c>
      <c r="E14" s="578"/>
      <c r="F14" s="578"/>
      <c r="G14" s="578"/>
    </row>
    <row r="15" spans="1:7" ht="36" customHeight="1" x14ac:dyDescent="0.25">
      <c r="A15" s="563"/>
      <c r="B15" s="489" t="s">
        <v>175</v>
      </c>
      <c r="C15" s="489"/>
      <c r="D15" s="578" t="s">
        <v>315</v>
      </c>
      <c r="E15" s="578"/>
      <c r="F15" s="578"/>
      <c r="G15" s="578"/>
    </row>
    <row r="16" spans="1:7" ht="24.75" customHeight="1" x14ac:dyDescent="0.25">
      <c r="A16" s="561">
        <v>10</v>
      </c>
      <c r="B16" s="489" t="s">
        <v>152</v>
      </c>
      <c r="C16" s="489"/>
      <c r="D16" s="578" t="s">
        <v>316</v>
      </c>
      <c r="E16" s="578"/>
      <c r="F16" s="578"/>
      <c r="G16" s="578"/>
    </row>
    <row r="17" spans="1:17" ht="24.75" customHeight="1" x14ac:dyDescent="0.25">
      <c r="A17" s="563"/>
      <c r="B17" s="489" t="s">
        <v>153</v>
      </c>
      <c r="C17" s="489"/>
      <c r="D17" s="578" t="s">
        <v>316</v>
      </c>
      <c r="E17" s="578"/>
      <c r="F17" s="578"/>
      <c r="G17" s="578"/>
    </row>
    <row r="18" spans="1:17" ht="28.5" customHeight="1" x14ac:dyDescent="0.25">
      <c r="A18" s="285">
        <v>11</v>
      </c>
      <c r="B18" s="489" t="s">
        <v>154</v>
      </c>
      <c r="C18" s="489"/>
      <c r="D18" s="198" t="s">
        <v>245</v>
      </c>
      <c r="E18" s="349">
        <f>GRATUITY!F17</f>
        <v>0</v>
      </c>
      <c r="F18" s="301"/>
      <c r="G18" s="292"/>
    </row>
    <row r="19" spans="1:17" ht="28.5" customHeight="1" x14ac:dyDescent="0.25">
      <c r="A19" s="285">
        <v>12</v>
      </c>
      <c r="B19" s="489" t="s">
        <v>155</v>
      </c>
      <c r="C19" s="489"/>
      <c r="D19" s="198" t="s">
        <v>245</v>
      </c>
      <c r="E19" s="349">
        <f>GRATUITY!F18</f>
        <v>8500</v>
      </c>
      <c r="F19" s="301"/>
      <c r="G19" s="292"/>
    </row>
    <row r="20" spans="1:17" ht="28.5" customHeight="1" x14ac:dyDescent="0.25">
      <c r="A20" s="285">
        <v>13</v>
      </c>
      <c r="B20" s="489" t="s">
        <v>156</v>
      </c>
      <c r="C20" s="489"/>
      <c r="D20" s="198" t="s">
        <v>245</v>
      </c>
      <c r="E20" s="349">
        <f>GRATUITY!F19</f>
        <v>0</v>
      </c>
      <c r="F20" s="301"/>
      <c r="G20" s="292"/>
    </row>
    <row r="21" spans="1:17" ht="81" customHeight="1" x14ac:dyDescent="0.25">
      <c r="A21" s="285">
        <v>14</v>
      </c>
      <c r="B21" s="601" t="s">
        <v>157</v>
      </c>
      <c r="C21" s="601"/>
      <c r="D21" s="367" t="str">
        <f>'DATA INPUT'!$H$104</f>
        <v>APPLICABLE</v>
      </c>
      <c r="E21" s="567">
        <f t="shared" ref="E21" si="0">$E$27</f>
        <v>0</v>
      </c>
      <c r="F21" s="567"/>
      <c r="G21" s="359">
        <f>IF($D$21="APPLICABLE",$Q$27,0)</f>
        <v>8500</v>
      </c>
    </row>
    <row r="22" spans="1:17" ht="39" customHeight="1" x14ac:dyDescent="0.25">
      <c r="A22" s="285">
        <v>15</v>
      </c>
      <c r="B22" s="489" t="s">
        <v>158</v>
      </c>
      <c r="C22" s="489"/>
      <c r="D22" s="475">
        <f>'DATA INPUT'!$C$105</f>
        <v>0</v>
      </c>
      <c r="E22" s="470"/>
      <c r="F22" s="470"/>
      <c r="G22" s="470"/>
    </row>
    <row r="23" spans="1:17" x14ac:dyDescent="0.25">
      <c r="A23" s="561">
        <v>16</v>
      </c>
      <c r="B23" s="489" t="s">
        <v>159</v>
      </c>
      <c r="C23" s="489"/>
      <c r="D23" s="555"/>
      <c r="E23" s="556"/>
      <c r="F23" s="556"/>
      <c r="G23" s="557"/>
    </row>
    <row r="24" spans="1:17" ht="31.5" customHeight="1" x14ac:dyDescent="0.25">
      <c r="A24" s="562"/>
      <c r="B24" s="489" t="s">
        <v>182</v>
      </c>
      <c r="C24" s="489"/>
      <c r="D24" s="564">
        <f>'DATA INPUT'!$C$33</f>
        <v>0</v>
      </c>
      <c r="E24" s="565"/>
      <c r="F24" s="565"/>
      <c r="G24" s="566"/>
    </row>
    <row r="25" spans="1:17" ht="35.25" customHeight="1" x14ac:dyDescent="0.25">
      <c r="A25" s="563"/>
      <c r="B25" s="489" t="s">
        <v>178</v>
      </c>
      <c r="C25" s="489"/>
      <c r="D25" s="600">
        <f>$D$24</f>
        <v>0</v>
      </c>
      <c r="E25" s="600"/>
      <c r="F25" s="600"/>
      <c r="G25" s="600"/>
    </row>
    <row r="26" spans="1:17" x14ac:dyDescent="0.25">
      <c r="A26" s="561">
        <v>17</v>
      </c>
      <c r="B26" s="489" t="s">
        <v>160</v>
      </c>
      <c r="C26" s="489"/>
      <c r="D26" s="555"/>
      <c r="E26" s="556"/>
      <c r="F26" s="556"/>
      <c r="G26" s="557"/>
    </row>
    <row r="27" spans="1:17" ht="45.75" customHeight="1" x14ac:dyDescent="0.25">
      <c r="A27" s="562"/>
      <c r="B27" s="489" t="s">
        <v>183</v>
      </c>
      <c r="C27" s="489"/>
      <c r="D27" s="350" t="str">
        <f>IF($D$21="APPLICABLE","YES","NA")</f>
        <v>YES</v>
      </c>
      <c r="E27" s="567">
        <f>IF(D27="YES",'DATA INPUT'!$C$50," ")</f>
        <v>0</v>
      </c>
      <c r="F27" s="567"/>
      <c r="G27" s="351">
        <f>IF($D$21="APPLICABLE",$Q$27,0)</f>
        <v>8500</v>
      </c>
      <c r="Q27" s="354">
        <f>IF('DATA INPUT'!$I$83="STATE SCALE",Psh!$BC$6,Psh!$BC$9)</f>
        <v>8500</v>
      </c>
    </row>
    <row r="28" spans="1:17" ht="45.75" customHeight="1" x14ac:dyDescent="0.25">
      <c r="A28" s="563"/>
      <c r="B28" s="489" t="s">
        <v>161</v>
      </c>
      <c r="C28" s="489"/>
      <c r="D28" s="592">
        <f>IF('DATA INPUT'!$I$83="STATE SCALE",Psh!$AQ$6,Psh!$AQ$9)</f>
        <v>0</v>
      </c>
      <c r="E28" s="592"/>
      <c r="F28" s="592"/>
      <c r="G28" s="592"/>
    </row>
    <row r="29" spans="1:17" ht="37.5" customHeight="1" x14ac:dyDescent="0.25">
      <c r="A29" s="285">
        <v>18</v>
      </c>
      <c r="B29" s="489" t="s">
        <v>176</v>
      </c>
      <c r="C29" s="489"/>
      <c r="D29" s="593" t="s">
        <v>317</v>
      </c>
      <c r="E29" s="593"/>
      <c r="F29" s="593"/>
      <c r="G29" s="593"/>
    </row>
    <row r="30" spans="1:17" x14ac:dyDescent="0.25">
      <c r="A30" s="558">
        <v>19</v>
      </c>
      <c r="B30" s="489" t="s">
        <v>162</v>
      </c>
      <c r="C30" s="489"/>
      <c r="D30" s="597"/>
      <c r="E30" s="598"/>
      <c r="F30" s="598"/>
      <c r="G30" s="599"/>
    </row>
    <row r="31" spans="1:17" ht="25.5" customHeight="1" x14ac:dyDescent="0.25">
      <c r="A31" s="559"/>
      <c r="B31" s="489" t="s">
        <v>163</v>
      </c>
      <c r="C31" s="489"/>
      <c r="D31" s="594">
        <f>'DATA INPUT'!$C$7</f>
        <v>0</v>
      </c>
      <c r="E31" s="595"/>
      <c r="F31" s="595"/>
      <c r="G31" s="596"/>
    </row>
    <row r="32" spans="1:17" ht="31.5" customHeight="1" x14ac:dyDescent="0.25">
      <c r="A32" s="560"/>
      <c r="B32" s="489" t="s">
        <v>210</v>
      </c>
      <c r="C32" s="489"/>
      <c r="D32" s="579">
        <f>'DATA INPUT'!$C$51</f>
        <v>0</v>
      </c>
      <c r="E32" s="580"/>
      <c r="F32" s="580"/>
      <c r="G32" s="581"/>
    </row>
    <row r="33" spans="1:7" ht="27" customHeight="1" x14ac:dyDescent="0.25">
      <c r="A33" s="285">
        <v>20</v>
      </c>
      <c r="B33" s="489" t="s">
        <v>164</v>
      </c>
      <c r="C33" s="489"/>
      <c r="D33" s="572">
        <f>'DATA INPUT'!$C$101</f>
        <v>0</v>
      </c>
      <c r="E33" s="573"/>
      <c r="F33" s="573"/>
      <c r="G33" s="574"/>
    </row>
    <row r="34" spans="1:7" ht="37.5" customHeight="1" x14ac:dyDescent="0.25">
      <c r="A34" s="285">
        <v>21</v>
      </c>
      <c r="B34" s="489" t="s">
        <v>260</v>
      </c>
      <c r="C34" s="489"/>
      <c r="D34" s="575">
        <f>'DATA INPUT'!$C$102</f>
        <v>0</v>
      </c>
      <c r="E34" s="576"/>
      <c r="F34" s="576"/>
      <c r="G34" s="577"/>
    </row>
    <row r="35" spans="1:7" ht="19.5" customHeight="1" x14ac:dyDescent="0.25">
      <c r="A35" s="285">
        <v>22</v>
      </c>
      <c r="B35" s="489" t="s">
        <v>169</v>
      </c>
      <c r="C35" s="489"/>
      <c r="D35" s="489"/>
      <c r="E35" s="489"/>
      <c r="F35" s="489"/>
      <c r="G35" s="489"/>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71" t="s">
        <v>179</v>
      </c>
      <c r="B40" s="571"/>
      <c r="C40" s="571"/>
      <c r="D40" s="571"/>
      <c r="E40" s="571"/>
      <c r="F40" s="571"/>
      <c r="G40" s="571"/>
    </row>
    <row r="41" spans="1:7" ht="39" customHeight="1" x14ac:dyDescent="0.25">
      <c r="A41" s="61">
        <v>23</v>
      </c>
      <c r="B41" s="489" t="s">
        <v>165</v>
      </c>
      <c r="C41" s="489"/>
      <c r="D41" s="579">
        <f>'DATA INPUT'!$C$3</f>
        <v>0</v>
      </c>
      <c r="E41" s="580"/>
      <c r="F41" s="580"/>
      <c r="G41" s="581"/>
    </row>
    <row r="44" spans="1:7" x14ac:dyDescent="0.25">
      <c r="A44" s="62"/>
    </row>
    <row r="45" spans="1:7" x14ac:dyDescent="0.25">
      <c r="A45" s="62"/>
    </row>
    <row r="46" spans="1:7" x14ac:dyDescent="0.25">
      <c r="C46" s="65"/>
      <c r="D46" s="431" t="s">
        <v>14</v>
      </c>
      <c r="E46" s="431"/>
      <c r="F46" s="431"/>
      <c r="G46" s="431"/>
    </row>
    <row r="47" spans="1:7" x14ac:dyDescent="0.25">
      <c r="C47" s="65"/>
      <c r="D47" s="570" t="s">
        <v>166</v>
      </c>
      <c r="E47" s="570"/>
      <c r="F47" s="570"/>
      <c r="G47" s="570"/>
    </row>
  </sheetData>
  <sheetProtection password="C345" sheet="1" objects="1" scenarios="1" selectLockedCells="1"/>
  <mergeCells count="72">
    <mergeCell ref="B11:C11"/>
    <mergeCell ref="D22:G22"/>
    <mergeCell ref="D25:G25"/>
    <mergeCell ref="B24:C24"/>
    <mergeCell ref="G11:G13"/>
    <mergeCell ref="B18:C18"/>
    <mergeCell ref="B19:C19"/>
    <mergeCell ref="B20:C20"/>
    <mergeCell ref="B21:C21"/>
    <mergeCell ref="B22:C22"/>
    <mergeCell ref="E21:F21"/>
    <mergeCell ref="B41:C41"/>
    <mergeCell ref="D28:G28"/>
    <mergeCell ref="D29:G29"/>
    <mergeCell ref="D32:G32"/>
    <mergeCell ref="B28:C28"/>
    <mergeCell ref="B29:C29"/>
    <mergeCell ref="B30:C30"/>
    <mergeCell ref="B32:C32"/>
    <mergeCell ref="B31:C31"/>
    <mergeCell ref="D31:G31"/>
    <mergeCell ref="D30:G30"/>
    <mergeCell ref="D8:G8"/>
    <mergeCell ref="D9:G9"/>
    <mergeCell ref="D10:G10"/>
    <mergeCell ref="D3:G3"/>
    <mergeCell ref="D4:G4"/>
    <mergeCell ref="D5:G5"/>
    <mergeCell ref="D6:G6"/>
    <mergeCell ref="D7:G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D26:G26"/>
    <mergeCell ref="A30:A32"/>
    <mergeCell ref="A23:A25"/>
    <mergeCell ref="A26:A28"/>
    <mergeCell ref="B26:C26"/>
    <mergeCell ref="B25:C25"/>
    <mergeCell ref="B27:C27"/>
    <mergeCell ref="D24:G24"/>
    <mergeCell ref="D23:G23"/>
    <mergeCell ref="E27:F27"/>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4" t="s">
        <v>31</v>
      </c>
      <c r="B1" s="605"/>
      <c r="C1" s="606"/>
    </row>
    <row r="2" spans="1:8" ht="24.75" customHeight="1" x14ac:dyDescent="0.25">
      <c r="A2" s="607" t="s">
        <v>32</v>
      </c>
      <c r="B2" s="608"/>
      <c r="C2" s="609"/>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19"/>
      <c r="B14" s="615" t="s">
        <v>418</v>
      </c>
      <c r="C14" s="616"/>
    </row>
    <row r="15" spans="1:8" s="57" customFormat="1" ht="21" customHeight="1" x14ac:dyDescent="0.25">
      <c r="A15" s="620"/>
      <c r="B15" s="617" t="str">
        <f>$C$3</f>
        <v/>
      </c>
      <c r="C15" s="618"/>
    </row>
    <row r="16" spans="1:8" s="57" customFormat="1" ht="51.75" customHeight="1" x14ac:dyDescent="0.25">
      <c r="A16" s="621"/>
      <c r="B16" s="610" t="s">
        <v>401</v>
      </c>
      <c r="C16" s="611"/>
    </row>
    <row r="17" spans="1:8" s="57" customFormat="1" ht="18.75" x14ac:dyDescent="0.25">
      <c r="A17" s="67"/>
      <c r="B17" s="612" t="s">
        <v>33</v>
      </c>
      <c r="C17" s="612"/>
    </row>
    <row r="18" spans="1:8" s="57" customFormat="1" ht="78.75" customHeight="1" x14ac:dyDescent="0.25">
      <c r="A18" s="67"/>
      <c r="B18" s="613" t="s">
        <v>211</v>
      </c>
      <c r="C18" s="614"/>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2" t="s">
        <v>422</v>
      </c>
      <c r="C25" s="603"/>
      <c r="H25" s="360"/>
    </row>
    <row r="26" spans="1:8" s="57" customFormat="1" ht="64.5" customHeight="1" x14ac:dyDescent="0.25">
      <c r="A26" s="67"/>
      <c r="B26" s="623" t="s">
        <v>402</v>
      </c>
      <c r="C26" s="623"/>
    </row>
    <row r="27" spans="1:8" s="57" customFormat="1" ht="43.5" customHeight="1" x14ac:dyDescent="0.25">
      <c r="A27" s="67"/>
      <c r="B27" s="623" t="s">
        <v>194</v>
      </c>
      <c r="C27" s="623"/>
    </row>
    <row r="28" spans="1:8" s="57" customFormat="1" ht="41.25" customHeight="1" x14ac:dyDescent="0.25">
      <c r="A28" s="67"/>
      <c r="B28" s="623" t="s">
        <v>195</v>
      </c>
      <c r="C28" s="62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24" t="s">
        <v>212</v>
      </c>
      <c r="C33" s="62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22" t="s">
        <v>215</v>
      </c>
      <c r="C36" s="62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36:C36"/>
    <mergeCell ref="B26:C26"/>
    <mergeCell ref="B33:C33"/>
    <mergeCell ref="B27:C27"/>
    <mergeCell ref="B28:C28"/>
    <mergeCell ref="B25:C25"/>
    <mergeCell ref="A1:C1"/>
    <mergeCell ref="A2:C2"/>
    <mergeCell ref="B16:C16"/>
    <mergeCell ref="B17:C17"/>
    <mergeCell ref="B18:C18"/>
    <mergeCell ref="B14:C14"/>
    <mergeCell ref="B15:C15"/>
    <mergeCell ref="A14:A16"/>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2" customHeight="1" x14ac:dyDescent="0.3">
      <c r="A2" s="648" t="s">
        <v>221</v>
      </c>
      <c r="B2" s="648"/>
      <c r="C2" s="583" t="str">
        <f>'FORM 7A'!$C$3</f>
        <v/>
      </c>
      <c r="D2" s="584"/>
      <c r="E2" s="585"/>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29.25" customHeight="1" x14ac:dyDescent="0.25">
      <c r="B20" s="644" t="s">
        <v>26</v>
      </c>
      <c r="C20" s="644"/>
      <c r="D20" s="17" t="s">
        <v>222</v>
      </c>
    </row>
  </sheetData>
  <sheetProtection password="C345" sheet="1" objects="1" scenarios="1"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56" t="s">
        <v>324</v>
      </c>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8"/>
      <c r="AC3" s="659" t="s">
        <v>325</v>
      </c>
      <c r="AD3" s="660"/>
      <c r="AE3" s="660"/>
      <c r="AF3" s="660"/>
      <c r="AG3" s="660"/>
      <c r="AH3" s="660"/>
      <c r="AI3" s="660"/>
      <c r="AJ3" s="660"/>
      <c r="AK3" s="660"/>
      <c r="AL3" s="660"/>
      <c r="AM3" s="660"/>
      <c r="AN3" s="660"/>
      <c r="AO3" s="660"/>
      <c r="AP3" s="660"/>
      <c r="AQ3" s="660"/>
      <c r="AR3" s="660"/>
      <c r="AS3" s="660"/>
      <c r="AT3" s="660"/>
      <c r="AU3" s="660"/>
      <c r="AV3" s="660"/>
      <c r="AW3" s="660"/>
      <c r="AX3" s="660"/>
      <c r="AY3" s="660"/>
      <c r="AZ3" s="660"/>
      <c r="BA3" s="660"/>
      <c r="BB3" s="660"/>
      <c r="BC3" s="661"/>
    </row>
    <row r="4" spans="1:65" ht="49.5" customHeight="1" x14ac:dyDescent="0.25">
      <c r="A4" s="667" t="s">
        <v>326</v>
      </c>
      <c r="B4" s="669" t="s">
        <v>80</v>
      </c>
      <c r="C4" s="669" t="s">
        <v>327</v>
      </c>
      <c r="D4" s="670" t="s">
        <v>328</v>
      </c>
      <c r="E4" s="670" t="s">
        <v>329</v>
      </c>
      <c r="F4" s="662" t="str">
        <f>IF(F6&gt;=2,"Years","Year")</f>
        <v>Year</v>
      </c>
      <c r="G4" s="663" t="str">
        <f>IF(G6&gt;=2,"Years","Year")</f>
        <v>Year</v>
      </c>
      <c r="H4" s="663" t="s">
        <v>330</v>
      </c>
      <c r="I4" s="663" t="str">
        <f>IF(I6&gt;=2,"Months","Month")</f>
        <v>Month</v>
      </c>
      <c r="J4" s="662" t="str">
        <f>IF(J6&gt;=2,"Months","Month")</f>
        <v>Month</v>
      </c>
      <c r="K4" s="662" t="s">
        <v>346</v>
      </c>
      <c r="L4" s="664" t="s">
        <v>331</v>
      </c>
      <c r="M4" s="653" t="s">
        <v>332</v>
      </c>
      <c r="N4" s="653" t="s">
        <v>332</v>
      </c>
      <c r="O4" s="655" t="s">
        <v>333</v>
      </c>
      <c r="P4" s="655" t="s">
        <v>334</v>
      </c>
      <c r="Q4" s="664" t="s">
        <v>335</v>
      </c>
      <c r="R4" s="665" t="s">
        <v>336</v>
      </c>
      <c r="S4" s="654" t="s">
        <v>337</v>
      </c>
      <c r="T4" s="654" t="s">
        <v>338</v>
      </c>
      <c r="U4" s="654" t="s">
        <v>321</v>
      </c>
      <c r="V4" s="654"/>
      <c r="W4" s="654"/>
      <c r="X4" s="654"/>
      <c r="Y4" s="654" t="s">
        <v>339</v>
      </c>
      <c r="Z4" s="654" t="s">
        <v>339</v>
      </c>
      <c r="AA4" s="654" t="s">
        <v>308</v>
      </c>
      <c r="AB4" s="689" t="s">
        <v>308</v>
      </c>
      <c r="AC4" s="691" t="s">
        <v>340</v>
      </c>
      <c r="AD4" s="685" t="str">
        <f>IF(AD6&gt;=2,"Years","Year")</f>
        <v>Year</v>
      </c>
      <c r="AE4" s="685" t="str">
        <f>IF(AE6&gt;=2,"Years","Year")</f>
        <v>Year</v>
      </c>
      <c r="AF4" s="687" t="s">
        <v>330</v>
      </c>
      <c r="AG4" s="687" t="str">
        <f>IF(AG6&gt;=2,"Months","Month")</f>
        <v>Month</v>
      </c>
      <c r="AH4" s="687" t="str">
        <f>IF(AH6&gt;=2,"Months","Month")</f>
        <v>Month</v>
      </c>
      <c r="AI4" s="671" t="s">
        <v>331</v>
      </c>
      <c r="AJ4" s="673" t="s">
        <v>332</v>
      </c>
      <c r="AK4" s="673" t="s">
        <v>332</v>
      </c>
      <c r="AL4" s="671" t="s">
        <v>341</v>
      </c>
      <c r="AM4" s="675" t="s">
        <v>342</v>
      </c>
      <c r="AN4" s="675" t="s">
        <v>343</v>
      </c>
      <c r="AO4" s="675" t="s">
        <v>343</v>
      </c>
      <c r="AP4" s="677" t="s">
        <v>333</v>
      </c>
      <c r="AQ4" s="681" t="s">
        <v>334</v>
      </c>
      <c r="AR4" s="671" t="s">
        <v>335</v>
      </c>
      <c r="AS4" s="683" t="s">
        <v>336</v>
      </c>
      <c r="AT4" s="679" t="s">
        <v>337</v>
      </c>
      <c r="AU4" s="671" t="s">
        <v>344</v>
      </c>
      <c r="AV4" s="671" t="s">
        <v>321</v>
      </c>
      <c r="AW4" s="671"/>
      <c r="AX4" s="671"/>
      <c r="AY4" s="671"/>
      <c r="AZ4" s="671" t="s">
        <v>339</v>
      </c>
      <c r="BA4" s="693" t="s">
        <v>339</v>
      </c>
      <c r="BB4" s="671" t="s">
        <v>308</v>
      </c>
      <c r="BC4" s="695" t="s">
        <v>308</v>
      </c>
      <c r="BD4" s="697" t="s">
        <v>345</v>
      </c>
    </row>
    <row r="5" spans="1:65" ht="49.5" customHeight="1" thickBot="1" x14ac:dyDescent="0.3">
      <c r="A5" s="668"/>
      <c r="B5" s="669"/>
      <c r="C5" s="669"/>
      <c r="D5" s="670"/>
      <c r="E5" s="670"/>
      <c r="F5" s="662"/>
      <c r="G5" s="663"/>
      <c r="H5" s="663"/>
      <c r="I5" s="663"/>
      <c r="J5" s="662"/>
      <c r="K5" s="662"/>
      <c r="L5" s="664"/>
      <c r="M5" s="653"/>
      <c r="N5" s="653"/>
      <c r="O5" s="655"/>
      <c r="P5" s="655"/>
      <c r="Q5" s="664"/>
      <c r="R5" s="665"/>
      <c r="S5" s="666"/>
      <c r="T5" s="666"/>
      <c r="U5" s="131" t="s">
        <v>322</v>
      </c>
      <c r="V5" s="132" t="s">
        <v>322</v>
      </c>
      <c r="W5" s="132" t="s">
        <v>320</v>
      </c>
      <c r="X5" s="132" t="s">
        <v>323</v>
      </c>
      <c r="Y5" s="666"/>
      <c r="Z5" s="666"/>
      <c r="AA5" s="666"/>
      <c r="AB5" s="690"/>
      <c r="AC5" s="692"/>
      <c r="AD5" s="686"/>
      <c r="AE5" s="686"/>
      <c r="AF5" s="688"/>
      <c r="AG5" s="688"/>
      <c r="AH5" s="688"/>
      <c r="AI5" s="672"/>
      <c r="AJ5" s="674"/>
      <c r="AK5" s="674"/>
      <c r="AL5" s="672"/>
      <c r="AM5" s="676"/>
      <c r="AN5" s="676"/>
      <c r="AO5" s="676"/>
      <c r="AP5" s="678"/>
      <c r="AQ5" s="682"/>
      <c r="AR5" s="672"/>
      <c r="AS5" s="684"/>
      <c r="AT5" s="680"/>
      <c r="AU5" s="672"/>
      <c r="AV5" s="133" t="s">
        <v>322</v>
      </c>
      <c r="AW5" s="190" t="s">
        <v>322</v>
      </c>
      <c r="AX5" s="134" t="s">
        <v>320</v>
      </c>
      <c r="AY5" s="134" t="s">
        <v>323</v>
      </c>
      <c r="AZ5" s="672"/>
      <c r="BA5" s="694"/>
      <c r="BB5" s="672"/>
      <c r="BC5" s="696"/>
      <c r="BD5" s="697"/>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AZ4:AZ5"/>
    <mergeCell ref="BA4:BA5"/>
    <mergeCell ref="BB4:BB5"/>
    <mergeCell ref="BC4:BC5"/>
    <mergeCell ref="BD4:BD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T4:T5"/>
    <mergeCell ref="AU4:AU5"/>
    <mergeCell ref="AV4:AY4"/>
    <mergeCell ref="AK4:AK5"/>
    <mergeCell ref="AL4:AL5"/>
    <mergeCell ref="AM4:AM5"/>
    <mergeCell ref="AN4:AN5"/>
    <mergeCell ref="AO4:AO5"/>
    <mergeCell ref="AP4:AP5"/>
    <mergeCell ref="AT4:AT5"/>
    <mergeCell ref="A4:A5"/>
    <mergeCell ref="B4:B5"/>
    <mergeCell ref="C4:C5"/>
    <mergeCell ref="D4:D5"/>
    <mergeCell ref="E4:E5"/>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2022-03-11T14:14:21Z</cp:lastPrinted>
  <dcterms:created xsi:type="dcterms:W3CDTF">2011-01-21T05:36:39Z</dcterms:created>
  <dcterms:modified xsi:type="dcterms:W3CDTF">2022-03-11T14:15:02Z</dcterms:modified>
</cp:coreProperties>
</file>