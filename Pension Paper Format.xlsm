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C345" lockStructure="1"/>
  <bookViews>
    <workbookView xWindow="195" yWindow="150" windowWidth="13380" windowHeight="6825" tabRatio="756"/>
  </bookViews>
  <sheets>
    <sheet name="DATA INPUT" sheetId="11" r:id="rId1"/>
    <sheet name="PENSION" sheetId="6" r:id="rId2"/>
    <sheet name="GRATUITY" sheetId="1" r:id="rId3"/>
    <sheet name="PROFORMA" sheetId="2" r:id="rId4"/>
    <sheet name="DECLARATION" sheetId="3" r:id="rId5"/>
    <sheet name="FORM 7" sheetId="7" r:id="rId6"/>
    <sheet name="FORM 7A" sheetId="5" r:id="rId7"/>
    <sheet name="GIS" sheetId="9" r:id="rId8"/>
    <sheet name="SERVICE" sheetId="4" r:id="rId9"/>
    <sheet name="CHECKLIST" sheetId="12" r:id="rId10"/>
    <sheet name="UNDERTAKING" sheetId="8" r:id="rId11"/>
    <sheet name="Psh" sheetId="14" state="hidden" r:id="rId12"/>
  </sheets>
  <definedNames>
    <definedName name="_xlnm.Print_Area" localSheetId="9">CHECKLIST!$A$1:$C$38</definedName>
    <definedName name="_xlnm.Print_Area" localSheetId="4">DECLARATION!$A$1:$N$162</definedName>
    <definedName name="_xlnm.Print_Area" localSheetId="6">'FORM 7A'!$A$1:$C$43</definedName>
    <definedName name="_xlnm.Print_Area" localSheetId="10">UNDERTAKING!$A$1:$D$20</definedName>
  </definedNames>
  <calcPr calcId="144525"/>
</workbook>
</file>

<file path=xl/calcChain.xml><?xml version="1.0" encoding="utf-8"?>
<calcChain xmlns="http://schemas.openxmlformats.org/spreadsheetml/2006/main">
  <c r="I6" i="11" l="1"/>
  <c r="C4" i="9" l="1"/>
  <c r="F113" i="3"/>
  <c r="F20" i="3"/>
  <c r="H104" i="11" l="1"/>
  <c r="D21" i="7" l="1"/>
  <c r="D27" i="7" s="1"/>
  <c r="I24" i="11"/>
  <c r="I17" i="11"/>
  <c r="D6" i="14"/>
  <c r="C6" i="14"/>
  <c r="B6" i="14"/>
  <c r="E27" i="7" l="1"/>
  <c r="K6" i="14"/>
  <c r="E6" i="14"/>
  <c r="F6" i="14"/>
  <c r="I6" i="14"/>
  <c r="J6" i="14" s="1"/>
  <c r="E21" i="7" l="1"/>
  <c r="E48" i="3" s="1"/>
  <c r="C24" i="5"/>
  <c r="G6" i="14"/>
  <c r="H6" i="14" s="1"/>
  <c r="R77" i="6" l="1"/>
  <c r="J79" i="6"/>
  <c r="R79" i="6"/>
  <c r="J83" i="6"/>
  <c r="R83" i="6"/>
  <c r="L3" i="11"/>
  <c r="L13" i="11"/>
  <c r="M13" i="11"/>
  <c r="N13" i="11"/>
  <c r="O13" i="11"/>
  <c r="P13" i="11"/>
  <c r="Q13" i="11"/>
  <c r="R13" i="11"/>
  <c r="S13" i="11"/>
  <c r="T13" i="11"/>
  <c r="U13" i="11"/>
  <c r="V13" i="11"/>
  <c r="W13" i="11"/>
  <c r="X13" i="11"/>
  <c r="Y13" i="11"/>
  <c r="Z13" i="11"/>
  <c r="AA13" i="11"/>
  <c r="AB13" i="11"/>
  <c r="AC13" i="11"/>
  <c r="AD13" i="11"/>
  <c r="AE13" i="11"/>
  <c r="AF13" i="11"/>
  <c r="AG13" i="11"/>
  <c r="AH13" i="11"/>
  <c r="AI13" i="11"/>
  <c r="AJ13" i="11"/>
  <c r="AK13" i="11"/>
  <c r="AL13" i="11"/>
  <c r="AM13" i="11"/>
  <c r="AN13" i="11"/>
  <c r="AO13" i="11"/>
  <c r="L12" i="11"/>
  <c r="M12" i="11"/>
  <c r="N12" i="11"/>
  <c r="O12" i="11"/>
  <c r="P12" i="11"/>
  <c r="Q12" i="11"/>
  <c r="R12" i="11"/>
  <c r="S12" i="11"/>
  <c r="T12" i="11"/>
  <c r="U12" i="11"/>
  <c r="K3" i="11"/>
  <c r="M3" i="11"/>
  <c r="Q3" i="11" s="1"/>
  <c r="H3" i="11"/>
  <c r="I61" i="11"/>
  <c r="J77" i="6" s="1"/>
  <c r="I62" i="11"/>
  <c r="J62" i="11"/>
  <c r="I63" i="11"/>
  <c r="J81" i="6" s="1"/>
  <c r="J63" i="11"/>
  <c r="R81" i="6" s="1"/>
  <c r="I64" i="11"/>
  <c r="J64" i="11"/>
  <c r="I65" i="11"/>
  <c r="J85" i="6" s="1"/>
  <c r="J65" i="11"/>
  <c r="R85" i="6" s="1"/>
  <c r="J61" i="11"/>
  <c r="I58" i="11"/>
  <c r="L73" i="6" s="1"/>
  <c r="H56" i="11"/>
  <c r="C71" i="6" s="1"/>
  <c r="I56" i="11"/>
  <c r="L71" i="6" s="1"/>
  <c r="J56" i="11"/>
  <c r="P71" i="6" s="1"/>
  <c r="K56" i="11"/>
  <c r="X71" i="6" s="1"/>
  <c r="L56" i="11"/>
  <c r="AA71" i="6" s="1"/>
  <c r="H57" i="11"/>
  <c r="C72" i="6" s="1"/>
  <c r="I57" i="11"/>
  <c r="L72" i="6" s="1"/>
  <c r="J57" i="11"/>
  <c r="P72" i="6" s="1"/>
  <c r="K57" i="11"/>
  <c r="X72" i="6" s="1"/>
  <c r="L57" i="11"/>
  <c r="AA72" i="6" s="1"/>
  <c r="H58" i="11"/>
  <c r="C73" i="6" s="1"/>
  <c r="J58" i="11"/>
  <c r="P73" i="6" s="1"/>
  <c r="K58" i="11"/>
  <c r="X73" i="6" s="1"/>
  <c r="L58" i="11"/>
  <c r="AA73" i="6" s="1"/>
  <c r="L55" i="11"/>
  <c r="AA70" i="6" s="1"/>
  <c r="K55" i="11"/>
  <c r="X70" i="6" s="1"/>
  <c r="J55" i="11"/>
  <c r="P70" i="6" s="1"/>
  <c r="I55" i="11"/>
  <c r="L70" i="6" s="1"/>
  <c r="H55" i="11"/>
  <c r="C70" i="6" s="1"/>
  <c r="L11" i="11"/>
  <c r="M11" i="11"/>
  <c r="N11" i="11"/>
  <c r="O11" i="11"/>
  <c r="P11" i="11"/>
  <c r="Q11" i="11"/>
  <c r="R11" i="11"/>
  <c r="S11" i="11"/>
  <c r="T11" i="11"/>
  <c r="U11" i="11"/>
  <c r="V11" i="11"/>
  <c r="W11" i="11"/>
  <c r="X11" i="11"/>
  <c r="Y11" i="11"/>
  <c r="Z11" i="11"/>
  <c r="AA11" i="11"/>
  <c r="AB11" i="11"/>
  <c r="AC11" i="11"/>
  <c r="AD11" i="11"/>
  <c r="F127" i="3" l="1"/>
  <c r="F146" i="3" s="1"/>
  <c r="A40" i="3"/>
  <c r="A51" i="3" s="1"/>
  <c r="A39" i="3"/>
  <c r="A50" i="3" s="1"/>
  <c r="A101" i="3" s="1"/>
  <c r="A117" i="3" s="1"/>
  <c r="A134" i="3" s="1"/>
  <c r="A153" i="3" s="1"/>
  <c r="F35" i="3"/>
  <c r="AT6" i="14"/>
  <c r="AT9" i="14"/>
  <c r="D93" i="3" l="1"/>
  <c r="A102" i="3"/>
  <c r="A118" i="3" s="1"/>
  <c r="A135" i="3" s="1"/>
  <c r="A154" i="3" s="1"/>
  <c r="F75" i="3"/>
  <c r="H41" i="3"/>
  <c r="I83" i="11"/>
  <c r="D9" i="14"/>
  <c r="AC9" i="14" s="1"/>
  <c r="C9" i="14"/>
  <c r="B9" i="14"/>
  <c r="A9" i="14" l="1"/>
  <c r="AA9" i="14" s="1"/>
  <c r="A6" i="14"/>
  <c r="F17" i="1" s="1"/>
  <c r="E18" i="7" s="1"/>
  <c r="E9" i="14"/>
  <c r="K9" i="14"/>
  <c r="F9" i="14"/>
  <c r="G45" i="11"/>
  <c r="P62" i="6" s="1"/>
  <c r="G46" i="11"/>
  <c r="S62" i="6" s="1"/>
  <c r="G47" i="11"/>
  <c r="V62" i="6" s="1"/>
  <c r="G48" i="11"/>
  <c r="Y62" i="6" s="1"/>
  <c r="G49" i="11"/>
  <c r="AC62" i="6" s="1"/>
  <c r="G44" i="11"/>
  <c r="M62" i="6" s="1"/>
  <c r="G39" i="11"/>
  <c r="L60" i="6" s="1"/>
  <c r="G40" i="11"/>
  <c r="R60" i="6" s="1"/>
  <c r="G41" i="11"/>
  <c r="W60" i="6" s="1"/>
  <c r="G42" i="11"/>
  <c r="G38" i="11"/>
  <c r="G60" i="6" s="1"/>
  <c r="AC6" i="14" l="1"/>
  <c r="D8" i="7" l="1"/>
  <c r="H4" i="3" s="1"/>
  <c r="A21" i="3" s="1"/>
  <c r="H62" i="3" s="1"/>
  <c r="H76" i="3" s="1"/>
  <c r="BB9" i="14" l="1"/>
  <c r="S6" i="14" l="1"/>
  <c r="AA6" i="14"/>
  <c r="AG9" i="14"/>
  <c r="AH9" i="14" s="1"/>
  <c r="BE9" i="14"/>
  <c r="BD9" i="14" s="1"/>
  <c r="S9" i="14"/>
  <c r="AD9" i="14"/>
  <c r="BC9" i="14"/>
  <c r="BB6" i="14"/>
  <c r="BC6" i="14" s="1"/>
  <c r="AG6" i="14"/>
  <c r="Q27" i="7" l="1"/>
  <c r="I9" i="14"/>
  <c r="J9" i="14" s="1"/>
  <c r="AH6" i="14"/>
  <c r="AH4" i="14" s="1"/>
  <c r="AG4" i="14"/>
  <c r="BE6" i="14"/>
  <c r="BD6" i="14" s="1"/>
  <c r="AD6" i="14"/>
  <c r="G11" i="1"/>
  <c r="F12" i="7" s="1"/>
  <c r="G9" i="14"/>
  <c r="H9" i="14" s="1"/>
  <c r="AE9" i="14"/>
  <c r="AF9" i="14" s="1"/>
  <c r="AJ9" i="14" s="1"/>
  <c r="AK9" i="14" s="1"/>
  <c r="AM9" i="14" s="1"/>
  <c r="E26" i="1" l="1"/>
  <c r="G27" i="7"/>
  <c r="G21" i="7"/>
  <c r="C23" i="5" s="1"/>
  <c r="M9" i="14"/>
  <c r="N9" i="14" s="1"/>
  <c r="U9" i="14" s="1"/>
  <c r="F4" i="14"/>
  <c r="E11" i="1"/>
  <c r="D12" i="7" s="1"/>
  <c r="AE6" i="14"/>
  <c r="AD4" i="14"/>
  <c r="I4" i="14"/>
  <c r="AN9" i="14"/>
  <c r="AP9" i="14" s="1"/>
  <c r="AQ9" i="14" s="1"/>
  <c r="AO9" i="14"/>
  <c r="AU9" i="14" l="1"/>
  <c r="AB9" i="14"/>
  <c r="V9" i="14"/>
  <c r="Y9" i="14" s="1"/>
  <c r="Z9" i="14" s="1"/>
  <c r="J4" i="14"/>
  <c r="F11" i="1"/>
  <c r="E12" i="7" s="1"/>
  <c r="AV9" i="14"/>
  <c r="AW9" i="14" s="1"/>
  <c r="G4" i="14"/>
  <c r="AF6" i="14"/>
  <c r="AJ6" i="14" s="1"/>
  <c r="AK6" i="14" s="1"/>
  <c r="AM6" i="14" s="1"/>
  <c r="AE4" i="14"/>
  <c r="M6" i="14"/>
  <c r="AB6" i="14" s="1"/>
  <c r="O9" i="14"/>
  <c r="L6" i="14" l="1"/>
  <c r="C30" i="5" s="1"/>
  <c r="L9" i="14"/>
  <c r="X9" i="14"/>
  <c r="AI6" i="14"/>
  <c r="AY9" i="14"/>
  <c r="AZ9" i="14"/>
  <c r="BA9" i="14" s="1"/>
  <c r="AI9" i="14"/>
  <c r="P9" i="14"/>
  <c r="T9" i="14" s="1"/>
  <c r="N6" i="14"/>
  <c r="U6" i="14" s="1"/>
  <c r="V6" i="14" s="1"/>
  <c r="AN6" i="14"/>
  <c r="AP6" i="14" s="1"/>
  <c r="AQ6" i="14" s="1"/>
  <c r="AO6" i="14"/>
  <c r="AV6" i="14" s="1"/>
  <c r="F19" i="1" l="1"/>
  <c r="E20" i="7" s="1"/>
  <c r="D28" i="7"/>
  <c r="E27" i="1" s="1"/>
  <c r="AW6" i="14"/>
  <c r="AU6" i="14"/>
  <c r="O6" i="14"/>
  <c r="P6" i="14" s="1"/>
  <c r="T6" i="14" s="1"/>
  <c r="X6" i="14"/>
  <c r="Y6" i="14"/>
  <c r="Z6" i="14" s="1"/>
  <c r="F18" i="1" l="1"/>
  <c r="E19" i="7" s="1"/>
  <c r="AY6" i="14"/>
  <c r="AZ6" i="14"/>
  <c r="BA6" i="14" s="1"/>
  <c r="D22" i="7"/>
  <c r="D34" i="7" l="1"/>
  <c r="D33" i="7"/>
  <c r="D5" i="7"/>
  <c r="C32" i="5"/>
  <c r="C31" i="5"/>
  <c r="C29" i="5"/>
  <c r="E33" i="1"/>
  <c r="E96" i="3" s="1"/>
  <c r="E32" i="1"/>
  <c r="D94" i="3" s="1"/>
  <c r="E31" i="1"/>
  <c r="E30" i="1"/>
  <c r="E9" i="1"/>
  <c r="E8" i="1"/>
  <c r="D24" i="7" l="1"/>
  <c r="D25" i="7" s="1"/>
  <c r="D7" i="7"/>
  <c r="C5" i="5"/>
  <c r="D32" i="7" l="1"/>
  <c r="D31" i="7"/>
  <c r="D41" i="7"/>
  <c r="C11" i="2"/>
  <c r="AP13" i="11" l="1"/>
  <c r="V12" i="11"/>
  <c r="W12" i="11"/>
  <c r="X12" i="11"/>
  <c r="Y12" i="11"/>
  <c r="Z12" i="11"/>
  <c r="AA12" i="11"/>
  <c r="AB12" i="11"/>
  <c r="AC12" i="11"/>
  <c r="AD12" i="11"/>
  <c r="AE12" i="11"/>
  <c r="AF12" i="11"/>
  <c r="AG12" i="11"/>
  <c r="AH12" i="11"/>
  <c r="AI12" i="11"/>
  <c r="AJ12" i="11"/>
  <c r="AK12" i="11"/>
  <c r="AL12" i="11"/>
  <c r="AM12" i="11"/>
  <c r="AN12" i="11"/>
  <c r="AO12" i="11"/>
  <c r="AP12" i="11"/>
  <c r="L50" i="11"/>
  <c r="M50" i="11"/>
  <c r="N50" i="11"/>
  <c r="O50" i="11"/>
  <c r="P50" i="11"/>
  <c r="Q50" i="11"/>
  <c r="R50" i="11"/>
  <c r="S50" i="11"/>
  <c r="T50" i="11"/>
  <c r="U50" i="11"/>
  <c r="V50" i="11"/>
  <c r="W50" i="11"/>
  <c r="X50" i="11"/>
  <c r="Y50" i="11"/>
  <c r="Z50" i="11"/>
  <c r="AA50" i="11"/>
  <c r="AB50" i="11"/>
  <c r="AC50" i="11"/>
  <c r="AD50" i="11"/>
  <c r="AE50" i="11"/>
  <c r="AF50" i="11"/>
  <c r="AG50" i="11"/>
  <c r="AH50" i="11"/>
  <c r="AI50" i="11"/>
  <c r="AJ50" i="11"/>
  <c r="AK50" i="11"/>
  <c r="AL50" i="11"/>
  <c r="AM50" i="11"/>
  <c r="AN50" i="11"/>
  <c r="AO50" i="11"/>
  <c r="L35"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L34"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Q34" i="11"/>
  <c r="AA33" i="11"/>
  <c r="AB33" i="11"/>
  <c r="AC33" i="11"/>
  <c r="AD33" i="11"/>
  <c r="AE33" i="11"/>
  <c r="AF33" i="11"/>
  <c r="AG33" i="11"/>
  <c r="AH33" i="11"/>
  <c r="O33" i="11"/>
  <c r="P33" i="11"/>
  <c r="Q33" i="11"/>
  <c r="R33" i="11"/>
  <c r="S33" i="11"/>
  <c r="T33" i="11"/>
  <c r="U33" i="11"/>
  <c r="V33" i="11"/>
  <c r="W33" i="11"/>
  <c r="X33" i="11"/>
  <c r="Y33" i="11"/>
  <c r="Z33" i="11"/>
  <c r="L33" i="11"/>
  <c r="M33" i="11"/>
  <c r="N33" i="11"/>
  <c r="L32" i="11"/>
  <c r="M32" i="11"/>
  <c r="N32" i="11"/>
  <c r="O32" i="11"/>
  <c r="P32" i="11"/>
  <c r="Q32" i="11"/>
  <c r="R32" i="11"/>
  <c r="S32" i="11"/>
  <c r="T32" i="11"/>
  <c r="U32" i="11"/>
  <c r="V32" i="11"/>
  <c r="W32" i="11"/>
  <c r="X32" i="11"/>
  <c r="Y32" i="11"/>
  <c r="Z32" i="11"/>
  <c r="AA32" i="11"/>
  <c r="AB32" i="11"/>
  <c r="AC32" i="11"/>
  <c r="AD32" i="11"/>
  <c r="AE32" i="11"/>
  <c r="AF32" i="11"/>
  <c r="AG32" i="11"/>
  <c r="AH32" i="11"/>
  <c r="AI32" i="11"/>
  <c r="AJ32" i="11"/>
  <c r="L31" i="11"/>
  <c r="M31" i="11"/>
  <c r="N31" i="11"/>
  <c r="O31" i="11"/>
  <c r="P31" i="11"/>
  <c r="Q31" i="11"/>
  <c r="R31" i="11"/>
  <c r="S31" i="11"/>
  <c r="T31" i="11"/>
  <c r="U31" i="11"/>
  <c r="V31" i="11"/>
  <c r="W31" i="11"/>
  <c r="X31" i="11"/>
  <c r="Y31" i="11"/>
  <c r="Z31" i="11"/>
  <c r="AA31" i="11"/>
  <c r="AB31" i="11"/>
  <c r="AC31" i="11"/>
  <c r="AD31" i="11"/>
  <c r="L30" i="11"/>
  <c r="M30" i="11"/>
  <c r="N30" i="11"/>
  <c r="O30" i="11"/>
  <c r="P30" i="11"/>
  <c r="Q30" i="11"/>
  <c r="R30" i="11"/>
  <c r="S30" i="11"/>
  <c r="T30" i="11"/>
  <c r="U30" i="11"/>
  <c r="V30" i="11"/>
  <c r="W30" i="11"/>
  <c r="X30" i="11"/>
  <c r="Y30" i="11"/>
  <c r="Z30" i="11"/>
  <c r="AA30" i="11"/>
  <c r="AB30" i="11"/>
  <c r="L29" i="11"/>
  <c r="M29" i="11"/>
  <c r="N29" i="11"/>
  <c r="O29" i="11"/>
  <c r="P29" i="11"/>
  <c r="Q29" i="11"/>
  <c r="R29" i="11"/>
  <c r="S29" i="11"/>
  <c r="T29" i="11"/>
  <c r="U29" i="11"/>
  <c r="V29" i="11"/>
  <c r="W29" i="11"/>
  <c r="X29" i="11"/>
  <c r="Y29" i="11"/>
  <c r="Z29" i="11"/>
  <c r="AA29" i="11"/>
  <c r="L28" i="11"/>
  <c r="M28" i="11"/>
  <c r="N28" i="11"/>
  <c r="O28" i="11"/>
  <c r="P28" i="11"/>
  <c r="Q28" i="11"/>
  <c r="R28" i="11"/>
  <c r="S28" i="11"/>
  <c r="T28" i="11"/>
  <c r="U28" i="11"/>
  <c r="V28" i="11"/>
  <c r="W28" i="11"/>
  <c r="X28" i="11"/>
  <c r="Y28" i="11"/>
  <c r="Z28" i="11"/>
  <c r="AA28" i="11"/>
  <c r="AB28" i="11"/>
  <c r="AC28" i="11"/>
  <c r="AD28" i="11"/>
  <c r="AE28" i="11"/>
  <c r="AF28" i="11"/>
  <c r="AG28" i="11"/>
  <c r="L27" i="11"/>
  <c r="M27" i="11"/>
  <c r="N27" i="11"/>
  <c r="O27" i="11"/>
  <c r="P27" i="11"/>
  <c r="Q27" i="11"/>
  <c r="R27" i="11"/>
  <c r="S27" i="11"/>
  <c r="T27" i="11"/>
  <c r="U27" i="11"/>
  <c r="V27" i="11"/>
  <c r="W27" i="11"/>
  <c r="X27" i="11"/>
  <c r="Y27" i="11"/>
  <c r="Z27" i="11"/>
  <c r="AA27" i="11"/>
  <c r="AB27" i="11"/>
  <c r="AC27" i="11"/>
  <c r="AD27" i="11"/>
  <c r="AE27" i="11"/>
  <c r="AF27" i="11"/>
  <c r="AG27" i="11"/>
  <c r="AH27" i="11"/>
  <c r="AI27" i="11"/>
  <c r="AJ27" i="11"/>
  <c r="AK27" i="11"/>
  <c r="AL27" i="11"/>
  <c r="AM27" i="11"/>
  <c r="AN27" i="11"/>
  <c r="AO27" i="11"/>
  <c r="AP27" i="11"/>
  <c r="AQ27" i="11"/>
  <c r="L26"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L25" i="11"/>
  <c r="M25" i="11"/>
  <c r="N25" i="11"/>
  <c r="O25" i="11"/>
  <c r="P25" i="11"/>
  <c r="Q25" i="11"/>
  <c r="R25" i="11"/>
  <c r="S25" i="11"/>
  <c r="T25" i="11"/>
  <c r="U25" i="11"/>
  <c r="V25" i="11"/>
  <c r="W25" i="11"/>
  <c r="X25" i="11"/>
  <c r="Y25" i="11"/>
  <c r="Z25" i="11"/>
  <c r="AA25" i="11"/>
  <c r="AB25" i="11"/>
  <c r="AC25" i="11"/>
  <c r="AD25" i="11"/>
  <c r="AE25" i="11"/>
  <c r="AF25" i="11"/>
  <c r="AG25" i="11"/>
  <c r="AH25" i="11"/>
  <c r="AI25" i="11"/>
  <c r="AJ25" i="11"/>
  <c r="AK25" i="11"/>
  <c r="AL25" i="11"/>
  <c r="L24" i="11"/>
  <c r="M24" i="11"/>
  <c r="N24" i="11"/>
  <c r="O24" i="11"/>
  <c r="P24" i="11"/>
  <c r="Q24" i="11"/>
  <c r="R24" i="11"/>
  <c r="S24" i="11"/>
  <c r="T24" i="11"/>
  <c r="U24" i="11"/>
  <c r="V24" i="11"/>
  <c r="W24" i="11"/>
  <c r="X24" i="11"/>
  <c r="Y24" i="11"/>
  <c r="Z24" i="11"/>
  <c r="AA24" i="11"/>
  <c r="AB24" i="11"/>
  <c r="AC24" i="11"/>
  <c r="AD24" i="11"/>
  <c r="AE24" i="11"/>
  <c r="AF24" i="11"/>
  <c r="AG24" i="11"/>
  <c r="AH24"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L18" i="11"/>
  <c r="M18" i="11"/>
  <c r="N18" i="11"/>
  <c r="O18" i="11"/>
  <c r="P18" i="11"/>
  <c r="Q18" i="11"/>
  <c r="R18" i="11"/>
  <c r="S18" i="11"/>
  <c r="T18" i="11"/>
  <c r="U18" i="11"/>
  <c r="V18" i="11"/>
  <c r="W18" i="11"/>
  <c r="X18" i="11"/>
  <c r="Y18" i="11"/>
  <c r="Z18" i="11"/>
  <c r="AA18" i="11"/>
  <c r="AB18" i="11"/>
  <c r="AC18" i="11"/>
  <c r="AD18" i="11"/>
  <c r="AE18" i="11"/>
  <c r="AF18" i="11"/>
  <c r="AG18" i="11"/>
  <c r="AH18" i="11"/>
  <c r="AI18" i="11"/>
  <c r="AJ18" i="11"/>
  <c r="AK18" i="11"/>
  <c r="AL18" i="11"/>
  <c r="AA17" i="11"/>
  <c r="AB17" i="11"/>
  <c r="L17" i="11"/>
  <c r="M17" i="11"/>
  <c r="N17" i="11"/>
  <c r="O17" i="11"/>
  <c r="P17" i="11"/>
  <c r="Q17" i="11"/>
  <c r="R17" i="11"/>
  <c r="S17" i="11"/>
  <c r="T17" i="11"/>
  <c r="U17" i="11"/>
  <c r="V17" i="11"/>
  <c r="W17" i="11"/>
  <c r="X17" i="11"/>
  <c r="Y17" i="11"/>
  <c r="Z17" i="11"/>
  <c r="L15" i="11"/>
  <c r="M15" i="11"/>
  <c r="N15" i="11"/>
  <c r="O15" i="11"/>
  <c r="P15" i="11"/>
  <c r="Q15" i="11"/>
  <c r="R15" i="11"/>
  <c r="S15" i="11"/>
  <c r="T15" i="11"/>
  <c r="U15" i="11"/>
  <c r="V15" i="11"/>
  <c r="W15" i="11"/>
  <c r="U14" i="11"/>
  <c r="V14" i="11"/>
  <c r="W14" i="11"/>
  <c r="L14" i="11"/>
  <c r="M14" i="11"/>
  <c r="N14" i="11"/>
  <c r="O14" i="11"/>
  <c r="P14" i="11"/>
  <c r="Q14" i="11"/>
  <c r="R14" i="11"/>
  <c r="S14" i="11"/>
  <c r="T14" i="11"/>
  <c r="O25" i="6" s="1"/>
  <c r="AS6" i="11"/>
  <c r="AT6" i="11"/>
  <c r="AU6" i="11"/>
  <c r="AV6" i="11"/>
  <c r="AW6" i="11"/>
  <c r="AX6" i="11"/>
  <c r="AY6" i="11"/>
  <c r="AZ6" i="11"/>
  <c r="BA6" i="11"/>
  <c r="BB6" i="11"/>
  <c r="BC6" i="11"/>
  <c r="BD6" i="11"/>
  <c r="BE6" i="11"/>
  <c r="BF6" i="11"/>
  <c r="BG6" i="11"/>
  <c r="BH6" i="11"/>
  <c r="BI6" i="11"/>
  <c r="AQ6" i="11"/>
  <c r="AD6" i="11"/>
  <c r="AE6" i="11"/>
  <c r="AF6" i="11"/>
  <c r="AG6" i="11"/>
  <c r="AH6" i="11"/>
  <c r="AI6" i="11"/>
  <c r="AJ6" i="11"/>
  <c r="AK6" i="11"/>
  <c r="AL6" i="11"/>
  <c r="AM6" i="11"/>
  <c r="AN6" i="11"/>
  <c r="AO6" i="11"/>
  <c r="AP6" i="11"/>
  <c r="AB6" i="11"/>
  <c r="L6" i="11"/>
  <c r="M6" i="11"/>
  <c r="N6" i="11"/>
  <c r="O6" i="11"/>
  <c r="P6" i="11"/>
  <c r="Q6" i="11"/>
  <c r="R6" i="11"/>
  <c r="S6" i="11"/>
  <c r="T6" i="11"/>
  <c r="U6" i="11"/>
  <c r="V6" i="11"/>
  <c r="W6" i="11"/>
  <c r="X6" i="11"/>
  <c r="Y6" i="11"/>
  <c r="Z6" i="11"/>
  <c r="AA6" i="11"/>
  <c r="AC6" i="11"/>
  <c r="AR6" i="11"/>
  <c r="P3" i="11"/>
  <c r="L4" i="11"/>
  <c r="M4" i="11"/>
  <c r="N4" i="11"/>
  <c r="O4" i="11"/>
  <c r="P4" i="11"/>
  <c r="Q4" i="11"/>
  <c r="R4" i="11"/>
  <c r="S4" i="11"/>
  <c r="T4" i="11"/>
  <c r="U4" i="11"/>
  <c r="V4" i="11"/>
  <c r="W4" i="11"/>
  <c r="X4" i="11"/>
  <c r="Y4" i="11"/>
  <c r="Z4" i="11"/>
  <c r="L2" i="11"/>
  <c r="M2" i="11"/>
  <c r="N2" i="11"/>
  <c r="O2" i="11"/>
  <c r="P2" i="11"/>
  <c r="Q2" i="11"/>
  <c r="R2" i="11"/>
  <c r="S2" i="11"/>
  <c r="T2" i="11"/>
  <c r="U2" i="11"/>
  <c r="V2" i="11"/>
  <c r="W2" i="11"/>
  <c r="X2" i="11"/>
  <c r="Y2" i="11"/>
  <c r="Z2" i="11"/>
  <c r="L22" i="11"/>
  <c r="M22" i="11"/>
  <c r="N22" i="11"/>
  <c r="O22" i="11"/>
  <c r="P22" i="11"/>
  <c r="Q22" i="11"/>
  <c r="R22" i="11"/>
  <c r="S22" i="11"/>
  <c r="T22" i="11"/>
  <c r="U22" i="11"/>
  <c r="V22" i="11"/>
  <c r="W22" i="11"/>
  <c r="L21" i="11"/>
  <c r="M21" i="11"/>
  <c r="N21" i="11"/>
  <c r="O21" i="11"/>
  <c r="P21" i="11"/>
  <c r="Q21" i="11"/>
  <c r="R21" i="11"/>
  <c r="S21" i="11"/>
  <c r="T21" i="11"/>
  <c r="U21" i="11"/>
  <c r="V21" i="11"/>
  <c r="W21" i="11"/>
  <c r="W20" i="11"/>
  <c r="X20" i="11"/>
  <c r="Y20" i="11"/>
  <c r="Z20" i="11"/>
  <c r="AA20" i="11"/>
  <c r="AB20" i="11"/>
  <c r="AC20" i="11"/>
  <c r="AD20" i="11"/>
  <c r="AE20" i="11"/>
  <c r="AF20" i="11"/>
  <c r="AG20" i="11"/>
  <c r="AH20" i="11"/>
  <c r="AI20" i="11"/>
  <c r="L20" i="11"/>
  <c r="M20" i="11"/>
  <c r="N20" i="11"/>
  <c r="O20" i="11"/>
  <c r="P20" i="11"/>
  <c r="Q20" i="11"/>
  <c r="R20" i="11"/>
  <c r="S20" i="11"/>
  <c r="T20" i="11"/>
  <c r="U20" i="11"/>
  <c r="V20" i="11"/>
  <c r="P7" i="6" l="1"/>
  <c r="N7" i="6"/>
  <c r="C6" i="9"/>
  <c r="C3" i="4"/>
  <c r="C4" i="5"/>
  <c r="D4" i="7" s="1"/>
  <c r="E22" i="1"/>
  <c r="I10" i="11"/>
  <c r="E21" i="1" s="1"/>
  <c r="E7" i="1"/>
  <c r="E6" i="1"/>
  <c r="AE11" i="11"/>
  <c r="AF11" i="11"/>
  <c r="AG11" i="11"/>
  <c r="AH11" i="11"/>
  <c r="AI11" i="11"/>
  <c r="C3" i="9" l="1"/>
  <c r="A113" i="3"/>
  <c r="A127" i="3" s="1"/>
  <c r="A146" i="3" s="1"/>
  <c r="A20" i="3"/>
  <c r="C4" i="2"/>
  <c r="C5" i="9" s="1"/>
  <c r="C5" i="2"/>
  <c r="C10" i="2"/>
  <c r="E3" i="1"/>
  <c r="F3" i="3" s="1"/>
  <c r="E5" i="1"/>
  <c r="E4" i="1"/>
  <c r="L95" i="11"/>
  <c r="P112" i="6" s="1"/>
  <c r="M95" i="11"/>
  <c r="Q112" i="6" s="1"/>
  <c r="N95" i="11"/>
  <c r="R112" i="6" s="1"/>
  <c r="O95" i="11"/>
  <c r="S112" i="6" s="1"/>
  <c r="P95" i="11"/>
  <c r="T112" i="6" s="1"/>
  <c r="Q95" i="11"/>
  <c r="U112" i="6" s="1"/>
  <c r="R95" i="11"/>
  <c r="V112" i="6" s="1"/>
  <c r="K95" i="11"/>
  <c r="O112" i="6" s="1"/>
  <c r="L94" i="11"/>
  <c r="P111" i="6" s="1"/>
  <c r="M94" i="11"/>
  <c r="Q111" i="6" s="1"/>
  <c r="N94" i="11"/>
  <c r="R111" i="6" s="1"/>
  <c r="O94" i="11"/>
  <c r="S111" i="6" s="1"/>
  <c r="P94" i="11"/>
  <c r="T111" i="6" s="1"/>
  <c r="Q94" i="11"/>
  <c r="U111" i="6" s="1"/>
  <c r="R94" i="11"/>
  <c r="V111" i="6" s="1"/>
  <c r="K94" i="11"/>
  <c r="O111" i="6" s="1"/>
  <c r="L93" i="11"/>
  <c r="P110" i="6" s="1"/>
  <c r="M93" i="11"/>
  <c r="Q110" i="6" s="1"/>
  <c r="N93" i="11"/>
  <c r="R110" i="6" s="1"/>
  <c r="O93" i="11"/>
  <c r="S110" i="6" s="1"/>
  <c r="P93" i="11"/>
  <c r="T110" i="6" s="1"/>
  <c r="Q93" i="11"/>
  <c r="U110" i="6" s="1"/>
  <c r="R93" i="11"/>
  <c r="V110" i="6" s="1"/>
  <c r="M92" i="11"/>
  <c r="Q109" i="6" s="1"/>
  <c r="L92" i="11"/>
  <c r="P109" i="6" s="1"/>
  <c r="K92" i="11"/>
  <c r="O109" i="6" s="1"/>
  <c r="K93" i="11"/>
  <c r="O110" i="6" s="1"/>
  <c r="Q92" i="11"/>
  <c r="U109" i="6" s="1"/>
  <c r="R92" i="11"/>
  <c r="V109" i="6" s="1"/>
  <c r="N92" i="11"/>
  <c r="R109" i="6" s="1"/>
  <c r="O92" i="11"/>
  <c r="S109" i="6" s="1"/>
  <c r="P92" i="11"/>
  <c r="T109" i="6" s="1"/>
  <c r="L89" i="11"/>
  <c r="P105" i="6" s="1"/>
  <c r="M89" i="11"/>
  <c r="Q105" i="6" s="1"/>
  <c r="N89" i="11"/>
  <c r="R105" i="6" s="1"/>
  <c r="O89" i="11"/>
  <c r="S105" i="6" s="1"/>
  <c r="P89" i="11"/>
  <c r="T105" i="6" s="1"/>
  <c r="Q89" i="11"/>
  <c r="U105" i="6" s="1"/>
  <c r="R89" i="11"/>
  <c r="V105" i="6" s="1"/>
  <c r="S89" i="11"/>
  <c r="W105" i="6" s="1"/>
  <c r="T89" i="11"/>
  <c r="X105" i="6" s="1"/>
  <c r="U89" i="11"/>
  <c r="Y105" i="6" s="1"/>
  <c r="V89" i="11"/>
  <c r="Z105" i="6" s="1"/>
  <c r="W89" i="11"/>
  <c r="AA105" i="6" s="1"/>
  <c r="X89" i="11"/>
  <c r="AB105" i="6" s="1"/>
  <c r="Y89" i="11"/>
  <c r="AC105" i="6" s="1"/>
  <c r="K89" i="11"/>
  <c r="O105" i="6" s="1"/>
  <c r="K84" i="11"/>
  <c r="Q100" i="6" s="1"/>
  <c r="L84" i="11"/>
  <c r="R100" i="6" s="1"/>
  <c r="M84" i="11"/>
  <c r="S100" i="6" s="1"/>
  <c r="N84" i="11"/>
  <c r="T100" i="6" s="1"/>
  <c r="O84" i="11"/>
  <c r="U100" i="6" s="1"/>
  <c r="P84" i="11"/>
  <c r="Q84" i="11"/>
  <c r="K85" i="11"/>
  <c r="Q101" i="6" s="1"/>
  <c r="L85" i="11"/>
  <c r="R101" i="6" s="1"/>
  <c r="M85" i="11"/>
  <c r="S101" i="6" s="1"/>
  <c r="N85" i="11"/>
  <c r="T101" i="6" s="1"/>
  <c r="O85" i="11"/>
  <c r="U101" i="6" s="1"/>
  <c r="P85" i="11"/>
  <c r="Q85" i="11"/>
  <c r="K86" i="11"/>
  <c r="Q102" i="6" s="1"/>
  <c r="L86" i="11"/>
  <c r="R102" i="6" s="1"/>
  <c r="M86" i="11"/>
  <c r="S102" i="6" s="1"/>
  <c r="N86" i="11"/>
  <c r="T102" i="6" s="1"/>
  <c r="O86" i="11"/>
  <c r="U102" i="6" s="1"/>
  <c r="P86" i="11"/>
  <c r="Q86" i="11"/>
  <c r="K87" i="11"/>
  <c r="Q103" i="6" s="1"/>
  <c r="L87" i="11"/>
  <c r="R103" i="6" s="1"/>
  <c r="M87" i="11"/>
  <c r="S103" i="6" s="1"/>
  <c r="N87" i="11"/>
  <c r="T103" i="6" s="1"/>
  <c r="O87" i="11"/>
  <c r="U103" i="6" s="1"/>
  <c r="P87" i="11"/>
  <c r="Q87" i="11"/>
  <c r="AA94" i="6"/>
  <c r="AA95" i="6"/>
  <c r="AA96" i="6"/>
  <c r="AA97" i="6"/>
  <c r="Y94" i="6"/>
  <c r="Y95" i="6"/>
  <c r="Y96" i="6"/>
  <c r="Y97" i="6"/>
  <c r="W94" i="6"/>
  <c r="W95" i="6"/>
  <c r="W96" i="6"/>
  <c r="W97" i="6"/>
  <c r="P94" i="6"/>
  <c r="P95" i="6"/>
  <c r="P96" i="6"/>
  <c r="P97" i="6"/>
  <c r="L94" i="6"/>
  <c r="L95" i="6"/>
  <c r="L96" i="6"/>
  <c r="L97" i="6"/>
  <c r="J94" i="6"/>
  <c r="J95" i="6"/>
  <c r="J96" i="6"/>
  <c r="J97" i="6"/>
  <c r="H94" i="6"/>
  <c r="H95" i="6"/>
  <c r="H96" i="6"/>
  <c r="H97" i="6"/>
  <c r="B94" i="6"/>
  <c r="B95" i="6"/>
  <c r="B96" i="6"/>
  <c r="B97" i="6"/>
  <c r="V90" i="6"/>
  <c r="V89" i="6"/>
  <c r="T90" i="6"/>
  <c r="T89" i="6"/>
  <c r="R90" i="6"/>
  <c r="R89" i="6"/>
  <c r="B90" i="6"/>
  <c r="B89" i="6"/>
  <c r="D6" i="7" l="1"/>
  <c r="D79" i="3"/>
  <c r="G19" i="3"/>
  <c r="C34" i="3" s="1"/>
  <c r="D91" i="3"/>
  <c r="C112" i="3" s="1"/>
  <c r="C126" i="3" s="1"/>
  <c r="C145" i="3" s="1"/>
  <c r="G74" i="3"/>
  <c r="A47" i="3"/>
  <c r="C61" i="3"/>
  <c r="A35" i="3"/>
  <c r="D92" i="3"/>
  <c r="H40" i="3"/>
  <c r="C7" i="9"/>
  <c r="M4" i="3"/>
  <c r="C3" i="5"/>
  <c r="C22" i="5" s="1"/>
  <c r="C3" i="2"/>
  <c r="C9" i="2"/>
  <c r="E17" i="2"/>
  <c r="E16" i="2"/>
  <c r="E15" i="2"/>
  <c r="E14" i="2"/>
  <c r="D17" i="2"/>
  <c r="D16" i="2"/>
  <c r="D15" i="2"/>
  <c r="D14" i="2"/>
  <c r="C17" i="2"/>
  <c r="C16" i="2"/>
  <c r="C15" i="2"/>
  <c r="C14" i="2"/>
  <c r="B15" i="2"/>
  <c r="B16" i="2"/>
  <c r="B17" i="2"/>
  <c r="B14" i="2"/>
  <c r="M51" i="11"/>
  <c r="T66" i="6" s="1"/>
  <c r="L51" i="11"/>
  <c r="R66" i="6" s="1"/>
  <c r="K51" i="11"/>
  <c r="P66" i="6" s="1"/>
  <c r="J64" i="6"/>
  <c r="K64" i="6"/>
  <c r="L64" i="6"/>
  <c r="M64" i="6"/>
  <c r="N64" i="6"/>
  <c r="O64" i="6"/>
  <c r="P64" i="6"/>
  <c r="Q64" i="6"/>
  <c r="R64" i="6"/>
  <c r="S64" i="6"/>
  <c r="T64" i="6"/>
  <c r="U64" i="6"/>
  <c r="V64" i="6"/>
  <c r="W64" i="6"/>
  <c r="X64" i="6"/>
  <c r="Y64" i="6"/>
  <c r="Z64" i="6"/>
  <c r="AA64" i="6"/>
  <c r="AB64" i="6"/>
  <c r="AC64" i="6"/>
  <c r="K50" i="11"/>
  <c r="I64" i="6" s="1"/>
  <c r="H57" i="6"/>
  <c r="I57" i="6"/>
  <c r="J57" i="6"/>
  <c r="K57" i="6"/>
  <c r="L57" i="6"/>
  <c r="M57" i="6"/>
  <c r="N57" i="6"/>
  <c r="O57" i="6"/>
  <c r="P57" i="6"/>
  <c r="Q57" i="6"/>
  <c r="R57" i="6"/>
  <c r="S57" i="6"/>
  <c r="T57" i="6"/>
  <c r="U57" i="6"/>
  <c r="V57" i="6"/>
  <c r="W57" i="6"/>
  <c r="X57" i="6"/>
  <c r="Y57" i="6"/>
  <c r="Z57" i="6"/>
  <c r="AA57" i="6"/>
  <c r="AB57" i="6"/>
  <c r="AC57" i="6"/>
  <c r="K35" i="11"/>
  <c r="G57" i="6" s="1"/>
  <c r="AC55" i="6"/>
  <c r="Y55" i="6"/>
  <c r="Z55" i="6"/>
  <c r="AA55" i="6"/>
  <c r="AB55" i="6"/>
  <c r="H55" i="6"/>
  <c r="I55" i="6"/>
  <c r="J55" i="6"/>
  <c r="K55" i="6"/>
  <c r="L55" i="6"/>
  <c r="M55" i="6"/>
  <c r="N55" i="6"/>
  <c r="O55" i="6"/>
  <c r="P55" i="6"/>
  <c r="Q55" i="6"/>
  <c r="R55" i="6"/>
  <c r="S55" i="6"/>
  <c r="T55" i="6"/>
  <c r="U55" i="6"/>
  <c r="V55" i="6"/>
  <c r="W55" i="6"/>
  <c r="X55" i="6"/>
  <c r="K34" i="11"/>
  <c r="G55" i="6" s="1"/>
  <c r="N53" i="6"/>
  <c r="O53" i="6"/>
  <c r="P53" i="6"/>
  <c r="Q53" i="6"/>
  <c r="R53" i="6"/>
  <c r="S53" i="6"/>
  <c r="T53" i="6"/>
  <c r="U53" i="6"/>
  <c r="V53" i="6"/>
  <c r="W53" i="6"/>
  <c r="X53" i="6"/>
  <c r="Y53" i="6"/>
  <c r="Z53" i="6"/>
  <c r="AA53" i="6"/>
  <c r="AB53" i="6"/>
  <c r="AC53" i="6"/>
  <c r="K33" i="11"/>
  <c r="M53" i="6" s="1"/>
  <c r="AC51" i="6"/>
  <c r="AB51" i="6"/>
  <c r="G51" i="6"/>
  <c r="H51" i="6"/>
  <c r="I51" i="6"/>
  <c r="J51" i="6"/>
  <c r="K51" i="6"/>
  <c r="L51" i="6"/>
  <c r="M51" i="6"/>
  <c r="N51" i="6"/>
  <c r="O51" i="6"/>
  <c r="P51" i="6"/>
  <c r="Q51" i="6"/>
  <c r="R51" i="6"/>
  <c r="S51" i="6"/>
  <c r="T51" i="6"/>
  <c r="U51" i="6"/>
  <c r="V51" i="6"/>
  <c r="W51" i="6"/>
  <c r="X51" i="6"/>
  <c r="Y51" i="6"/>
  <c r="Z51" i="6"/>
  <c r="AA51" i="6"/>
  <c r="K32" i="11"/>
  <c r="F51" i="6" s="1"/>
  <c r="U49" i="6"/>
  <c r="V49" i="6"/>
  <c r="W49" i="6"/>
  <c r="X49" i="6"/>
  <c r="Y49" i="6"/>
  <c r="Z49" i="6"/>
  <c r="AA49" i="6"/>
  <c r="AB49" i="6"/>
  <c r="AC49" i="6"/>
  <c r="K31" i="11"/>
  <c r="T49" i="6" s="1"/>
  <c r="K49" i="6"/>
  <c r="L49" i="6"/>
  <c r="C49" i="6"/>
  <c r="D49" i="6"/>
  <c r="E49" i="6"/>
  <c r="F49" i="6"/>
  <c r="G49" i="6"/>
  <c r="H49" i="6"/>
  <c r="I49" i="6"/>
  <c r="J49" i="6"/>
  <c r="K30" i="11"/>
  <c r="B49" i="6" s="1"/>
  <c r="Y47" i="6"/>
  <c r="Z47" i="6"/>
  <c r="AA47" i="6"/>
  <c r="AB47" i="6"/>
  <c r="AC47" i="6"/>
  <c r="K29" i="11"/>
  <c r="X47" i="6" s="1"/>
  <c r="C47" i="6"/>
  <c r="D47" i="6"/>
  <c r="E47" i="6"/>
  <c r="F47" i="6"/>
  <c r="G47" i="6"/>
  <c r="H47" i="6"/>
  <c r="I47" i="6"/>
  <c r="J47" i="6"/>
  <c r="K47" i="6"/>
  <c r="L47" i="6"/>
  <c r="M47" i="6"/>
  <c r="N47" i="6"/>
  <c r="O47" i="6"/>
  <c r="P47" i="6"/>
  <c r="Q47" i="6"/>
  <c r="R47" i="6"/>
  <c r="S47" i="6"/>
  <c r="T47" i="6"/>
  <c r="U47" i="6"/>
  <c r="V47" i="6"/>
  <c r="K28" i="11"/>
  <c r="B47" i="6" s="1"/>
  <c r="C45" i="6"/>
  <c r="D45" i="6"/>
  <c r="E45" i="6"/>
  <c r="F45" i="6"/>
  <c r="G45" i="6"/>
  <c r="H45" i="6"/>
  <c r="I45" i="6"/>
  <c r="J45" i="6"/>
  <c r="K45" i="6"/>
  <c r="L45" i="6"/>
  <c r="M45" i="6"/>
  <c r="N45" i="6"/>
  <c r="O45" i="6"/>
  <c r="P45" i="6"/>
  <c r="Q45" i="6"/>
  <c r="R45" i="6"/>
  <c r="S45" i="6"/>
  <c r="T45" i="6"/>
  <c r="U45" i="6"/>
  <c r="V45" i="6"/>
  <c r="W45" i="6"/>
  <c r="X45" i="6"/>
  <c r="Y45" i="6"/>
  <c r="Z45" i="6"/>
  <c r="AA45" i="6"/>
  <c r="AB45" i="6"/>
  <c r="AC45" i="6"/>
  <c r="K27" i="11"/>
  <c r="B45" i="6" s="1"/>
  <c r="C43" i="6"/>
  <c r="D43" i="6"/>
  <c r="E43" i="6"/>
  <c r="F43" i="6"/>
  <c r="G43" i="6"/>
  <c r="H43" i="6"/>
  <c r="I43" i="6"/>
  <c r="J43" i="6"/>
  <c r="K43" i="6"/>
  <c r="L43" i="6"/>
  <c r="M43" i="6"/>
  <c r="N43" i="6"/>
  <c r="O43" i="6"/>
  <c r="P43" i="6"/>
  <c r="Q43" i="6"/>
  <c r="R43" i="6"/>
  <c r="S43" i="6"/>
  <c r="T43" i="6"/>
  <c r="U43" i="6"/>
  <c r="V43" i="6"/>
  <c r="W43" i="6"/>
  <c r="X43" i="6"/>
  <c r="Y43" i="6"/>
  <c r="Z43" i="6"/>
  <c r="AA43" i="6"/>
  <c r="AB43" i="6"/>
  <c r="AC43" i="6"/>
  <c r="K26" i="11"/>
  <c r="B43" i="6" s="1"/>
  <c r="C41" i="6"/>
  <c r="D41" i="6"/>
  <c r="E41" i="6"/>
  <c r="F41" i="6"/>
  <c r="G41" i="6"/>
  <c r="H41" i="6"/>
  <c r="I41" i="6"/>
  <c r="J41" i="6"/>
  <c r="K41" i="6"/>
  <c r="L41" i="6"/>
  <c r="M41" i="6"/>
  <c r="N41" i="6"/>
  <c r="O41" i="6"/>
  <c r="P41" i="6"/>
  <c r="Q41" i="6"/>
  <c r="R41" i="6"/>
  <c r="S41" i="6"/>
  <c r="T41" i="6"/>
  <c r="U41" i="6"/>
  <c r="V41" i="6"/>
  <c r="W41" i="6"/>
  <c r="X41" i="6"/>
  <c r="Y41" i="6"/>
  <c r="Z41" i="6"/>
  <c r="AA41" i="6"/>
  <c r="AB41" i="6"/>
  <c r="AC41" i="6"/>
  <c r="K25" i="11"/>
  <c r="B41" i="6" s="1"/>
  <c r="C39" i="6"/>
  <c r="D39" i="6"/>
  <c r="E39" i="6"/>
  <c r="F39" i="6"/>
  <c r="G39" i="6"/>
  <c r="H39" i="6"/>
  <c r="I39" i="6"/>
  <c r="J39" i="6"/>
  <c r="K39" i="6"/>
  <c r="L39" i="6"/>
  <c r="M39" i="6"/>
  <c r="N39" i="6"/>
  <c r="O39" i="6"/>
  <c r="P39" i="6"/>
  <c r="Q39" i="6"/>
  <c r="R39" i="6"/>
  <c r="S39" i="6"/>
  <c r="T39" i="6"/>
  <c r="U39" i="6"/>
  <c r="V39" i="6"/>
  <c r="W39" i="6"/>
  <c r="X39" i="6"/>
  <c r="Y39" i="6"/>
  <c r="AI24" i="11"/>
  <c r="Z39" i="6" s="1"/>
  <c r="AJ24" i="11"/>
  <c r="AA39" i="6" s="1"/>
  <c r="AK24" i="11"/>
  <c r="AB39" i="6" s="1"/>
  <c r="AL24" i="11"/>
  <c r="AC39" i="6" s="1"/>
  <c r="K24" i="11"/>
  <c r="B39" i="6" s="1"/>
  <c r="C2" i="4" l="1"/>
  <c r="C2" i="9" s="1"/>
  <c r="B15" i="5"/>
  <c r="L21" i="3"/>
  <c r="D62" i="3"/>
  <c r="D76" i="3"/>
  <c r="G51" i="3"/>
  <c r="A75" i="3"/>
  <c r="D3" i="7"/>
  <c r="Y36" i="6"/>
  <c r="Z36" i="6"/>
  <c r="AA36" i="6"/>
  <c r="AB36" i="6"/>
  <c r="AC36" i="6"/>
  <c r="K22" i="11"/>
  <c r="X36" i="6" s="1"/>
  <c r="C36" i="6"/>
  <c r="D36" i="6"/>
  <c r="E36" i="6"/>
  <c r="F36" i="6"/>
  <c r="G36" i="6"/>
  <c r="H36" i="6"/>
  <c r="I36" i="6"/>
  <c r="J36" i="6"/>
  <c r="K36" i="6"/>
  <c r="L36" i="6"/>
  <c r="M36" i="6"/>
  <c r="N36" i="6"/>
  <c r="X21" i="11"/>
  <c r="O36" i="6" s="1"/>
  <c r="Y21" i="11"/>
  <c r="P36" i="6" s="1"/>
  <c r="Z21" i="11"/>
  <c r="Q36" i="6" s="1"/>
  <c r="AA21" i="11"/>
  <c r="R36" i="6" s="1"/>
  <c r="AB21" i="11"/>
  <c r="S36" i="6" s="1"/>
  <c r="AC21" i="11"/>
  <c r="T36" i="6" s="1"/>
  <c r="AD21" i="11"/>
  <c r="U36" i="6" s="1"/>
  <c r="AE21" i="11"/>
  <c r="V36" i="6" s="1"/>
  <c r="K21" i="11"/>
  <c r="B36" i="6" s="1"/>
  <c r="C34" i="6"/>
  <c r="D34" i="6"/>
  <c r="E34" i="6"/>
  <c r="F34" i="6"/>
  <c r="G34" i="6"/>
  <c r="H34" i="6"/>
  <c r="I34" i="6"/>
  <c r="J34" i="6"/>
  <c r="K34" i="6"/>
  <c r="L34" i="6"/>
  <c r="M34" i="6"/>
  <c r="N34" i="6"/>
  <c r="O34" i="6"/>
  <c r="P34" i="6"/>
  <c r="Q34" i="6"/>
  <c r="R34" i="6"/>
  <c r="S34" i="6"/>
  <c r="T34" i="6"/>
  <c r="U34" i="6"/>
  <c r="V34" i="6"/>
  <c r="W34" i="6"/>
  <c r="X34" i="6"/>
  <c r="Y34" i="6"/>
  <c r="Z34" i="6"/>
  <c r="AJ20" i="11"/>
  <c r="AA34" i="6" s="1"/>
  <c r="AK20" i="11"/>
  <c r="AB34" i="6" s="1"/>
  <c r="AL20" i="11"/>
  <c r="AC34" i="6" s="1"/>
  <c r="K20" i="11"/>
  <c r="B34" i="6" s="1"/>
  <c r="C32" i="6"/>
  <c r="D32" i="6"/>
  <c r="E32" i="6"/>
  <c r="F32" i="6"/>
  <c r="G32" i="6"/>
  <c r="H32" i="6"/>
  <c r="I32" i="6"/>
  <c r="J32" i="6"/>
  <c r="K32" i="6"/>
  <c r="L32" i="6"/>
  <c r="M32" i="6"/>
  <c r="N32" i="6"/>
  <c r="O32" i="6"/>
  <c r="P32" i="6"/>
  <c r="Q32" i="6"/>
  <c r="R32" i="6"/>
  <c r="S32" i="6"/>
  <c r="T32" i="6"/>
  <c r="U32" i="6"/>
  <c r="V32" i="6"/>
  <c r="W32" i="6"/>
  <c r="X32" i="6"/>
  <c r="Y32" i="6"/>
  <c r="Z32" i="6"/>
  <c r="AA32" i="6"/>
  <c r="AB32" i="6"/>
  <c r="AC32" i="6"/>
  <c r="K19" i="11"/>
  <c r="B32" i="6" s="1"/>
  <c r="X30" i="6" l="1"/>
  <c r="Y30" i="6"/>
  <c r="Z30" i="6"/>
  <c r="AA30" i="6"/>
  <c r="AB30" i="6"/>
  <c r="AC30" i="6"/>
  <c r="C30" i="6"/>
  <c r="D30" i="6"/>
  <c r="E30" i="6"/>
  <c r="F30" i="6"/>
  <c r="G30" i="6"/>
  <c r="H30" i="6"/>
  <c r="I30" i="6"/>
  <c r="J30" i="6"/>
  <c r="K30" i="6"/>
  <c r="L30" i="6"/>
  <c r="M30" i="6"/>
  <c r="N30" i="6"/>
  <c r="O30" i="6"/>
  <c r="P30" i="6"/>
  <c r="Q30" i="6"/>
  <c r="R30" i="6"/>
  <c r="S30" i="6"/>
  <c r="T30" i="6"/>
  <c r="U30" i="6"/>
  <c r="V30" i="6"/>
  <c r="W30" i="6"/>
  <c r="K18" i="11"/>
  <c r="B30" i="6" s="1"/>
  <c r="C28" i="6"/>
  <c r="D28" i="6"/>
  <c r="E28" i="6"/>
  <c r="F28" i="6"/>
  <c r="G28" i="6"/>
  <c r="H28" i="6"/>
  <c r="I28" i="6"/>
  <c r="J28" i="6"/>
  <c r="K28" i="6"/>
  <c r="L28" i="6"/>
  <c r="M28" i="6"/>
  <c r="N28" i="6"/>
  <c r="O28" i="6"/>
  <c r="P28" i="6"/>
  <c r="Q28" i="6"/>
  <c r="R28" i="6"/>
  <c r="S28" i="6"/>
  <c r="AC17" i="11"/>
  <c r="T28" i="6" s="1"/>
  <c r="AD17" i="11"/>
  <c r="U28" i="6" s="1"/>
  <c r="AE17" i="11"/>
  <c r="V28" i="6" s="1"/>
  <c r="AF17" i="11"/>
  <c r="W28" i="6" s="1"/>
  <c r="AG17" i="11"/>
  <c r="X28" i="6" s="1"/>
  <c r="AH17" i="11"/>
  <c r="Y28" i="6" s="1"/>
  <c r="AI17" i="11"/>
  <c r="Z28" i="6" s="1"/>
  <c r="AJ17" i="11"/>
  <c r="AA28" i="6" s="1"/>
  <c r="AK17" i="11"/>
  <c r="AB28" i="6" s="1"/>
  <c r="AL17" i="11"/>
  <c r="AC28" i="6" s="1"/>
  <c r="K17" i="11"/>
  <c r="B28" i="6" s="1"/>
  <c r="U25" i="6"/>
  <c r="V25" i="6"/>
  <c r="W25" i="6"/>
  <c r="X25" i="6"/>
  <c r="Y25" i="6"/>
  <c r="Z25" i="6"/>
  <c r="AA25" i="6"/>
  <c r="AB25" i="6"/>
  <c r="AC25" i="6"/>
  <c r="K15" i="11"/>
  <c r="T25" i="6" s="1"/>
  <c r="G25" i="6"/>
  <c r="H25" i="6"/>
  <c r="I25" i="6"/>
  <c r="J25" i="6"/>
  <c r="K25" i="6"/>
  <c r="L25" i="6"/>
  <c r="M25" i="6"/>
  <c r="N25" i="6"/>
  <c r="K14" i="11"/>
  <c r="F25" i="6" s="1"/>
  <c r="AC23" i="6"/>
  <c r="I23" i="6"/>
  <c r="J23" i="6"/>
  <c r="K23" i="6"/>
  <c r="L23" i="6"/>
  <c r="M23" i="6"/>
  <c r="N23" i="6"/>
  <c r="O23" i="6"/>
  <c r="P23" i="6"/>
  <c r="Q23" i="6"/>
  <c r="R23" i="6"/>
  <c r="S23" i="6"/>
  <c r="T23" i="6"/>
  <c r="U23" i="6"/>
  <c r="V23" i="6"/>
  <c r="W23" i="6"/>
  <c r="X23" i="6"/>
  <c r="Y23" i="6"/>
  <c r="Z23" i="6"/>
  <c r="AA23" i="6"/>
  <c r="AB23" i="6"/>
  <c r="K13" i="11"/>
  <c r="H23" i="6" s="1"/>
  <c r="I21" i="6"/>
  <c r="J21" i="6"/>
  <c r="K21" i="6"/>
  <c r="L21" i="6"/>
  <c r="M21" i="6"/>
  <c r="N21" i="6"/>
  <c r="O21" i="6"/>
  <c r="P21" i="6"/>
  <c r="Q21" i="6"/>
  <c r="R21" i="6"/>
  <c r="S21" i="6"/>
  <c r="T21" i="6"/>
  <c r="U21" i="6"/>
  <c r="V21" i="6"/>
  <c r="W21" i="6"/>
  <c r="X21" i="6"/>
  <c r="Y21" i="6"/>
  <c r="Z21" i="6"/>
  <c r="AA21" i="6"/>
  <c r="AB21" i="6"/>
  <c r="AC21" i="6"/>
  <c r="K12" i="11"/>
  <c r="H21" i="6" s="1"/>
  <c r="T19" i="6"/>
  <c r="U19" i="6"/>
  <c r="V19" i="6"/>
  <c r="W19" i="6"/>
  <c r="X19" i="6"/>
  <c r="Y19" i="6"/>
  <c r="Z19" i="6"/>
  <c r="AA19" i="6"/>
  <c r="AB19" i="6"/>
  <c r="AC19" i="6"/>
  <c r="AJ11" i="11"/>
  <c r="AK11" i="11"/>
  <c r="AL11" i="11"/>
  <c r="AM11" i="11"/>
  <c r="AN11" i="11"/>
  <c r="AO11" i="11"/>
  <c r="G19" i="6"/>
  <c r="H19" i="6"/>
  <c r="I19" i="6"/>
  <c r="J19" i="6"/>
  <c r="K19" i="6"/>
  <c r="L19" i="6"/>
  <c r="M19" i="6"/>
  <c r="N19" i="6"/>
  <c r="O19" i="6"/>
  <c r="P19" i="6"/>
  <c r="Q19" i="6"/>
  <c r="R19" i="6"/>
  <c r="S19" i="6"/>
  <c r="K11" i="11"/>
  <c r="F19" i="6" s="1"/>
  <c r="K10" i="11"/>
  <c r="O10" i="11" s="1"/>
  <c r="V17" i="6" s="1"/>
  <c r="L10" i="11"/>
  <c r="P10" i="11" s="1"/>
  <c r="X17" i="6" s="1"/>
  <c r="M10" i="11"/>
  <c r="Q10" i="11" s="1"/>
  <c r="Z17" i="6" s="1"/>
  <c r="M9" i="11"/>
  <c r="Q9" i="11" s="1"/>
  <c r="J17" i="6" s="1"/>
  <c r="L9" i="11"/>
  <c r="P9" i="11" s="1"/>
  <c r="H17" i="6" s="1"/>
  <c r="K9" i="11"/>
  <c r="O9" i="11" s="1"/>
  <c r="F17" i="6" s="1"/>
  <c r="M8" i="11"/>
  <c r="Q8" i="11" s="1"/>
  <c r="Z15" i="6" s="1"/>
  <c r="L8" i="11"/>
  <c r="P8" i="11" s="1"/>
  <c r="X15" i="6" s="1"/>
  <c r="K8" i="11"/>
  <c r="O8" i="11" s="1"/>
  <c r="V15" i="6" s="1"/>
  <c r="M7" i="11"/>
  <c r="Q7" i="11" s="1"/>
  <c r="J15" i="6" s="1"/>
  <c r="L7" i="11"/>
  <c r="P7" i="11" s="1"/>
  <c r="H15" i="6" s="1"/>
  <c r="K7" i="11"/>
  <c r="O7" i="11" s="1"/>
  <c r="F15" i="6" s="1"/>
  <c r="O3" i="11" l="1"/>
  <c r="L7" i="6" s="1"/>
  <c r="R9" i="6"/>
  <c r="S9" i="6"/>
  <c r="I9" i="6"/>
  <c r="J9" i="6"/>
  <c r="K9" i="6"/>
  <c r="L9" i="6"/>
  <c r="M9" i="6"/>
  <c r="N9" i="6"/>
  <c r="O9" i="6"/>
  <c r="P9" i="6"/>
  <c r="Q9" i="6"/>
  <c r="K4" i="11"/>
  <c r="H9" i="6" s="1"/>
  <c r="R3" i="11"/>
  <c r="S3" i="11"/>
  <c r="T3" i="11"/>
  <c r="I5" i="6"/>
  <c r="J5" i="6"/>
  <c r="K5" i="6"/>
  <c r="L5" i="6"/>
  <c r="M5" i="6"/>
  <c r="N5" i="6"/>
  <c r="O5" i="6"/>
  <c r="P5" i="6"/>
  <c r="Q5" i="6"/>
  <c r="K2" i="11"/>
  <c r="H5" i="6" s="1"/>
  <c r="AC13" i="6" l="1"/>
  <c r="R13" i="6"/>
  <c r="S13" i="6"/>
  <c r="T13" i="6"/>
  <c r="U13" i="6"/>
  <c r="V13" i="6"/>
  <c r="W13" i="6"/>
  <c r="X13" i="6"/>
  <c r="Y13" i="6"/>
  <c r="Z13" i="6"/>
  <c r="AA13" i="6"/>
  <c r="AB13" i="6"/>
  <c r="Q13" i="6"/>
  <c r="O13" i="6"/>
  <c r="C13" i="6"/>
  <c r="D13" i="6"/>
  <c r="E13" i="6"/>
  <c r="F13" i="6"/>
  <c r="G13" i="6"/>
  <c r="H13" i="6"/>
  <c r="I13" i="6"/>
  <c r="J13" i="6"/>
  <c r="K13" i="6"/>
  <c r="L13" i="6"/>
  <c r="M13" i="6"/>
  <c r="N13" i="6"/>
  <c r="B13" i="6"/>
  <c r="AC11" i="6"/>
  <c r="N11" i="6"/>
  <c r="O11" i="6"/>
  <c r="P11" i="6"/>
  <c r="Q11" i="6"/>
  <c r="R11" i="6"/>
  <c r="S11" i="6"/>
  <c r="T11" i="6"/>
  <c r="U11" i="6"/>
  <c r="V11" i="6"/>
  <c r="W11" i="6"/>
  <c r="X11" i="6"/>
  <c r="Y11" i="6"/>
  <c r="Z11" i="6"/>
  <c r="AA11" i="6"/>
  <c r="AB11" i="6"/>
  <c r="K6" i="11"/>
  <c r="M11" i="6" s="1"/>
  <c r="L108" i="11" l="1"/>
</calcChain>
</file>

<file path=xl/comments1.xml><?xml version="1.0" encoding="utf-8"?>
<comments xmlns="http://schemas.openxmlformats.org/spreadsheetml/2006/main">
  <authors>
    <author>Purushotham</author>
    <author>Windows User</author>
  </authors>
  <commentList>
    <comment ref="C3" authorId="0">
      <text>
        <r>
          <rPr>
            <b/>
            <sz val="10"/>
            <color indexed="81"/>
            <rFont val="Tahoma"/>
            <family val="2"/>
          </rPr>
          <t xml:space="preserve">Purushotham:
Date Format
dd-mm-yyyy
</t>
        </r>
        <r>
          <rPr>
            <b/>
            <i/>
            <sz val="10"/>
            <color indexed="39"/>
            <rFont val="Leelawadee"/>
            <family val="2"/>
          </rPr>
          <t xml:space="preserve">Date is mandatory </t>
        </r>
        <r>
          <rPr>
            <b/>
            <sz val="10"/>
            <color indexed="10"/>
            <rFont val="Leelawadee"/>
            <family val="2"/>
          </rPr>
          <t xml:space="preserve"> </t>
        </r>
        <r>
          <rPr>
            <b/>
            <sz val="10"/>
            <color indexed="81"/>
            <rFont val="Tahoma"/>
            <family val="2"/>
          </rPr>
          <t xml:space="preserve">          </t>
        </r>
      </text>
    </comment>
    <comment ref="C8" authorId="0">
      <text>
        <r>
          <rPr>
            <b/>
            <sz val="10"/>
            <color indexed="81"/>
            <rFont val="Tahoma"/>
            <family val="2"/>
          </rPr>
          <t xml:space="preserve">Purushotham:
Date Format
dd-mm-yyyy
</t>
        </r>
        <r>
          <rPr>
            <b/>
            <i/>
            <sz val="10"/>
            <color indexed="39"/>
            <rFont val="Tahoma"/>
            <family val="2"/>
          </rPr>
          <t>All dates are mandatory</t>
        </r>
      </text>
    </comment>
    <comment ref="C17" authorId="0">
      <text>
        <r>
          <rPr>
            <b/>
            <sz val="12"/>
            <color indexed="81"/>
            <rFont val="Cambria"/>
            <family val="1"/>
          </rPr>
          <t xml:space="preserve">Purushotham:
</t>
        </r>
        <r>
          <rPr>
            <b/>
            <sz val="12"/>
            <color indexed="39"/>
            <rFont val="Cambria"/>
            <family val="1"/>
          </rPr>
          <t xml:space="preserve">Please do not use " </t>
        </r>
        <r>
          <rPr>
            <b/>
            <sz val="16"/>
            <color indexed="39"/>
            <rFont val="Cambria"/>
            <family val="1"/>
          </rPr>
          <t>,</t>
        </r>
        <r>
          <rPr>
            <b/>
            <sz val="12"/>
            <color indexed="39"/>
            <rFont val="Cambria"/>
            <family val="1"/>
          </rPr>
          <t xml:space="preserve"> " </t>
        </r>
      </text>
    </comment>
    <comment ref="C38" authorId="0">
      <text>
        <r>
          <rPr>
            <b/>
            <sz val="11"/>
            <color indexed="81"/>
            <rFont val="Tahoma"/>
            <family val="2"/>
          </rPr>
          <t>Purushotham:
Please select ✓ mark in dropdown menu</t>
        </r>
      </text>
    </comment>
    <comment ref="C44" authorId="0">
      <text>
        <r>
          <rPr>
            <b/>
            <sz val="11"/>
            <color indexed="81"/>
            <rFont val="Tahoma"/>
            <family val="2"/>
          </rPr>
          <t>Purushotham:
Please select ✓ mark in dropdown menu</t>
        </r>
      </text>
    </comment>
    <comment ref="C51" authorId="0">
      <text>
        <r>
          <rPr>
            <b/>
            <sz val="10"/>
            <color indexed="81"/>
            <rFont val="Tahoma"/>
            <family val="2"/>
          </rPr>
          <t>Purushotham:
Date Format
DD-MM-YYYY</t>
        </r>
      </text>
    </comment>
    <comment ref="D55" authorId="0">
      <text>
        <r>
          <rPr>
            <b/>
            <sz val="10"/>
            <color indexed="81"/>
            <rFont val="Tahoma"/>
            <family val="2"/>
          </rPr>
          <t>Purushotham:
Date Format
dd-mm-yyyy</t>
        </r>
      </text>
    </comment>
    <comment ref="D56" authorId="0">
      <text>
        <r>
          <rPr>
            <b/>
            <sz val="9"/>
            <color indexed="81"/>
            <rFont val="Tahoma"/>
            <family val="2"/>
          </rPr>
          <t>Purushotham:</t>
        </r>
        <r>
          <rPr>
            <sz val="9"/>
            <color indexed="81"/>
            <rFont val="Tahoma"/>
            <family val="2"/>
          </rPr>
          <t xml:space="preserve">
Date Format
DD-MM-YYYY</t>
        </r>
      </text>
    </comment>
    <comment ref="D57" authorId="0">
      <text>
        <r>
          <rPr>
            <b/>
            <sz val="9"/>
            <color indexed="81"/>
            <rFont val="Tahoma"/>
            <family val="2"/>
          </rPr>
          <t>Purushotham:</t>
        </r>
        <r>
          <rPr>
            <sz val="9"/>
            <color indexed="81"/>
            <rFont val="Tahoma"/>
            <family val="2"/>
          </rPr>
          <t xml:space="preserve">
Date Format
DD-MM-YYYY</t>
        </r>
      </text>
    </comment>
    <comment ref="D58" authorId="0">
      <text>
        <r>
          <rPr>
            <b/>
            <sz val="9"/>
            <color indexed="81"/>
            <rFont val="Tahoma"/>
            <family val="2"/>
          </rPr>
          <t>Purushotham:</t>
        </r>
        <r>
          <rPr>
            <sz val="9"/>
            <color indexed="81"/>
            <rFont val="Tahoma"/>
            <family val="2"/>
          </rPr>
          <t xml:space="preserve">
Date Format
DD-MM-YYYY</t>
        </r>
      </text>
    </comment>
    <comment ref="D61" authorId="0">
      <text>
        <r>
          <rPr>
            <b/>
            <sz val="10"/>
            <color indexed="81"/>
            <rFont val="Tahoma"/>
            <family val="2"/>
          </rPr>
          <t>Purushotham:
Date Format
dd-mm-yyyy</t>
        </r>
      </text>
    </comment>
    <comment ref="C83" authorId="0">
      <text>
        <r>
          <rPr>
            <b/>
            <sz val="11"/>
            <color indexed="81"/>
            <rFont val="Tahoma"/>
            <family val="2"/>
          </rPr>
          <t>Purushotham:
Please select "STATE SCALE" or "UGC SCALE" from dropdown menu</t>
        </r>
      </text>
    </comment>
    <comment ref="C85" authorId="0">
      <text>
        <r>
          <rPr>
            <b/>
            <sz val="9"/>
            <color indexed="81"/>
            <rFont val="Tahoma"/>
            <family val="2"/>
          </rPr>
          <t>Purushotham:
Purushotham:
Please enter numerals only don't put / - , . () etc.,</t>
        </r>
      </text>
    </comment>
    <comment ref="C92" authorId="0">
      <text>
        <r>
          <rPr>
            <b/>
            <sz val="10"/>
            <color indexed="81"/>
            <rFont val="Tahoma"/>
            <family val="2"/>
          </rPr>
          <t>Purushotham:
Please enter numerals only don't put / - , . () etc.,</t>
        </r>
      </text>
    </comment>
    <comment ref="C93"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94"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95"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100" authorId="0">
      <text>
        <r>
          <rPr>
            <b/>
            <sz val="10"/>
            <color indexed="81"/>
            <rFont val="Tahoma"/>
            <family val="2"/>
          </rPr>
          <t>Purushotham:
Please select "</t>
        </r>
        <r>
          <rPr>
            <b/>
            <sz val="11"/>
            <color indexed="81"/>
            <rFont val="High Tower Text"/>
            <family val="1"/>
          </rPr>
          <t>SUPERANNUATION</t>
        </r>
        <r>
          <rPr>
            <b/>
            <sz val="10"/>
            <color indexed="81"/>
            <rFont val="Tahoma"/>
            <family val="2"/>
          </rPr>
          <t>" or "</t>
        </r>
        <r>
          <rPr>
            <b/>
            <sz val="11"/>
            <color indexed="81"/>
            <rFont val="High Tower Text"/>
            <family val="1"/>
          </rPr>
          <t>VOLUNTARY RETIREMENT</t>
        </r>
        <r>
          <rPr>
            <b/>
            <sz val="10"/>
            <color indexed="81"/>
            <rFont val="Tahoma"/>
            <family val="2"/>
          </rPr>
          <t>" 
from dropdown menu</t>
        </r>
      </text>
    </comment>
    <comment ref="C104" authorId="1">
      <text>
        <r>
          <rPr>
            <b/>
            <sz val="9"/>
            <color indexed="81"/>
            <rFont val="Tahoma"/>
            <family val="2"/>
          </rPr>
          <t xml:space="preserve">Purushotham:
Please select </t>
        </r>
        <r>
          <rPr>
            <b/>
            <sz val="10"/>
            <color indexed="81"/>
            <rFont val="Tahoma"/>
            <family val="2"/>
          </rPr>
          <t>"APPLICABLE" or "NOT APPLICABLE"</t>
        </r>
        <r>
          <rPr>
            <b/>
            <sz val="9"/>
            <color indexed="81"/>
            <rFont val="Tahoma"/>
            <family val="2"/>
          </rPr>
          <t xml:space="preserve"> from dropdown menu</t>
        </r>
      </text>
    </comment>
    <comment ref="C105" authorId="0">
      <text>
        <r>
          <rPr>
            <b/>
            <sz val="10"/>
            <color indexed="81"/>
            <rFont val="Tahoma"/>
            <family val="2"/>
          </rPr>
          <t>Purushotham:
Date Format dd-mm-yyyy</t>
        </r>
      </text>
    </comment>
  </commentList>
</comments>
</file>

<file path=xl/sharedStrings.xml><?xml version="1.0" encoding="utf-8"?>
<sst xmlns="http://schemas.openxmlformats.org/spreadsheetml/2006/main" count="646" uniqueCount="424">
  <si>
    <t>GOVERNMENT OF KARNATAKA</t>
  </si>
  <si>
    <t>FORM OF PENSION  AND GRATUITY</t>
  </si>
  <si>
    <t>Permanent or last appointment including name of establishment.</t>
  </si>
  <si>
    <t>Class of Pension or Service Gratuity applied for and cause of application</t>
  </si>
  <si>
    <t>Pension Rules opted /eligible</t>
  </si>
  <si>
    <t>Date from which Pension is to commence</t>
  </si>
  <si>
    <t>Whether Government servant has paid all Governments due</t>
  </si>
  <si>
    <t>Height</t>
  </si>
  <si>
    <t>Identification marks</t>
  </si>
  <si>
    <t>* Thumb and finger impressions</t>
  </si>
  <si>
    <t>Thumb</t>
  </si>
  <si>
    <t>Fore-finger</t>
  </si>
  <si>
    <t xml:space="preserve">Ring finger                   </t>
  </si>
  <si>
    <t xml:space="preserve">Little finger                    </t>
  </si>
  <si>
    <t>Signature of Head of Office/Department</t>
  </si>
  <si>
    <t>(Audit Office)+</t>
  </si>
  <si>
    <t>* Persons who are literate enough to sigh their names in English, Hindi or the Official regional language, are exempted from recording their left hand thumb and finger Impressions provided they furnish certified copies of passport size photographs.  In the case of a Government Servant who is literate enough to sign his name in English, Hindi or the Official regional language, but is unable to sign any document on account of loss of control over the hands owing to illness or disability, the productin of thumb and finger impressions duly attested as in the case of literate Government servants shall be necessary.</t>
  </si>
  <si>
    <t>+</t>
  </si>
  <si>
    <t>In case of Gazetted Government servants only</t>
  </si>
  <si>
    <t>PROFORMA</t>
  </si>
  <si>
    <t>DECLARATION</t>
  </si>
  <si>
    <t>"Attested by me"</t>
  </si>
  <si>
    <t>Passport Size Photograph / Joint Photograph</t>
  </si>
  <si>
    <t>DECLARATION REGARDING NON-PENDENCY OF ENQUIRY</t>
  </si>
  <si>
    <t>PERMANENT ADDRESS</t>
  </si>
  <si>
    <t>Signature of the Official</t>
  </si>
  <si>
    <t>Signature of the Head of the Office</t>
  </si>
  <si>
    <t>PLACE OF WORK</t>
  </si>
  <si>
    <t>DESIGNATION</t>
  </si>
  <si>
    <t xml:space="preserve">FROM </t>
  </si>
  <si>
    <t>TO</t>
  </si>
  <si>
    <t>K.C.S.R. FORM No. 7 - A</t>
  </si>
  <si>
    <t>Form of sanctioning pension</t>
  </si>
  <si>
    <t>OR</t>
  </si>
  <si>
    <t>Less:</t>
  </si>
  <si>
    <t>Net amount of gratuity to be paid provisionally</t>
  </si>
  <si>
    <t>Pension Data Input Sheet</t>
  </si>
  <si>
    <r>
      <t>(</t>
    </r>
    <r>
      <rPr>
        <sz val="12"/>
        <color theme="1"/>
        <rFont val="Times New Roman"/>
        <family val="1"/>
      </rPr>
      <t>To be furnished by the Department</t>
    </r>
    <r>
      <rPr>
        <b/>
        <sz val="12"/>
        <color theme="1"/>
        <rFont val="Times New Roman"/>
        <family val="1"/>
      </rPr>
      <t>)</t>
    </r>
  </si>
  <si>
    <t>DETAILS OF THE GOVERNEMENT SERVANT</t>
  </si>
  <si>
    <t>10 Digit DDO Code:</t>
  </si>
  <si>
    <t>Date of Submission of Pension Papers:</t>
  </si>
  <si>
    <t>First Name</t>
  </si>
  <si>
    <t>Full Name of the Retiring Government Servant:</t>
  </si>
  <si>
    <t>Middle Name</t>
  </si>
  <si>
    <t>Surname</t>
  </si>
  <si>
    <t xml:space="preserve">Date of Birth: </t>
  </si>
  <si>
    <t>6. Date of Appointment:</t>
  </si>
  <si>
    <t xml:space="preserve">Last Place of Working: </t>
  </si>
  <si>
    <t>GPF Account No:</t>
  </si>
  <si>
    <t>13. KGID No.</t>
  </si>
  <si>
    <t>Address before retirement</t>
  </si>
  <si>
    <t>Flat/ Door/ Block No.</t>
  </si>
  <si>
    <t>Name of Premises/ Building/ Village</t>
  </si>
  <si>
    <t>Road/ Street/ Lane/ Post Office</t>
  </si>
  <si>
    <t>Area/ Locality/ Taluka/ Sub-Division</t>
  </si>
  <si>
    <t>Town/ City/ District</t>
  </si>
  <si>
    <t>Pin Code</t>
  </si>
  <si>
    <t>Address After retirement</t>
  </si>
  <si>
    <t xml:space="preserve"> Phone Number / Landline</t>
  </si>
  <si>
    <t>Mobile Number</t>
  </si>
  <si>
    <t>Email Id:</t>
  </si>
  <si>
    <t xml:space="preserve">Place of payment (treasury/sub-treasury):     </t>
  </si>
  <si>
    <r>
      <t xml:space="preserve">Type of retirement   (Please tick </t>
    </r>
    <r>
      <rPr>
        <sz val="9"/>
        <color theme="1"/>
        <rFont val="Wingdings"/>
        <charset val="2"/>
      </rPr>
      <t xml:space="preserve">þ </t>
    </r>
    <r>
      <rPr>
        <sz val="9"/>
        <color theme="1"/>
        <rFont val="Arial"/>
        <family val="2"/>
      </rPr>
      <t>appropriate box)</t>
    </r>
  </si>
  <si>
    <t xml:space="preserve">1. Superannuation </t>
  </si>
  <si>
    <t xml:space="preserve">2.Voluntary </t>
  </si>
  <si>
    <t>3.Compulsory</t>
  </si>
  <si>
    <t>4. Invalid</t>
  </si>
  <si>
    <t>If Invalid please specify</t>
  </si>
  <si>
    <t>Rules applicable (Please tick þ appropriate box)</t>
  </si>
  <si>
    <t>1.KCSR</t>
  </si>
  <si>
    <t>2. TBS</t>
  </si>
  <si>
    <t>3. FNJPC</t>
  </si>
  <si>
    <t>4. UGC</t>
  </si>
  <si>
    <t>5.ICAR</t>
  </si>
  <si>
    <t>6.AICTE</t>
  </si>
  <si>
    <t>Name of Wife/Husband:</t>
  </si>
  <si>
    <t>Date of Birth of Spouse (Wife/Husband):</t>
  </si>
  <si>
    <t>List of family members</t>
  </si>
  <si>
    <t>Name</t>
  </si>
  <si>
    <t>Relationship</t>
  </si>
  <si>
    <t>Date of Birth</t>
  </si>
  <si>
    <t>Marital Status</t>
  </si>
  <si>
    <t>Physically /Mentally Challenged</t>
  </si>
  <si>
    <t>Details of Previous service, if any:</t>
  </si>
  <si>
    <t>From</t>
  </si>
  <si>
    <t>To</t>
  </si>
  <si>
    <t>Daily Wage service:</t>
  </si>
  <si>
    <t>MRE service:</t>
  </si>
  <si>
    <t>Local Candidate service:</t>
  </si>
  <si>
    <t>Stipendiary service:</t>
  </si>
  <si>
    <t>Any others(Specify):</t>
  </si>
  <si>
    <r>
      <t>26.</t>
    </r>
    <r>
      <rPr>
        <sz val="7"/>
        <color theme="1"/>
        <rFont val="Times New Roman"/>
        <family val="1"/>
      </rPr>
      <t xml:space="preserve">  </t>
    </r>
    <r>
      <rPr>
        <sz val="9"/>
        <color theme="1"/>
        <rFont val="Arial"/>
        <family val="2"/>
      </rPr>
      <t>Details of Additions to Service (Specify the rules)(Sanction order to be enclosed)</t>
    </r>
  </si>
  <si>
    <t xml:space="preserve">Details of Non-Qualifying Service (Mention the types: dies-non, LWA, Suspension etc.) </t>
  </si>
  <si>
    <t>Type</t>
  </si>
  <si>
    <r>
      <t>28.</t>
    </r>
    <r>
      <rPr>
        <sz val="7"/>
        <color theme="1"/>
        <rFont val="Times New Roman"/>
        <family val="1"/>
      </rPr>
      <t xml:space="preserve">  </t>
    </r>
    <r>
      <rPr>
        <sz val="9"/>
        <color theme="1"/>
        <rFont val="Arial"/>
        <family val="2"/>
      </rPr>
      <t>Pay Drawn on Last Day of Service:</t>
    </r>
  </si>
  <si>
    <r>
      <t>(a)</t>
    </r>
    <r>
      <rPr>
        <sz val="7"/>
        <color theme="1"/>
        <rFont val="Times New Roman"/>
        <family val="1"/>
      </rPr>
      <t xml:space="preserve">   </t>
    </r>
  </si>
  <si>
    <t>Basic Pay :</t>
  </si>
  <si>
    <t>/per month</t>
  </si>
  <si>
    <r>
      <t>(b)</t>
    </r>
    <r>
      <rPr>
        <sz val="7"/>
        <color theme="1"/>
        <rFont val="Times New Roman"/>
        <family val="1"/>
      </rPr>
      <t xml:space="preserve">   </t>
    </r>
    <r>
      <rPr>
        <sz val="9"/>
        <color theme="1"/>
        <rFont val="Arial"/>
        <family val="2"/>
      </rPr>
      <t>Grade Pay/ADA/IR:</t>
    </r>
  </si>
  <si>
    <r>
      <t>(c)</t>
    </r>
    <r>
      <rPr>
        <sz val="7"/>
        <color theme="1"/>
        <rFont val="Times New Roman"/>
        <family val="1"/>
      </rPr>
      <t xml:space="preserve">    </t>
    </r>
    <r>
      <rPr>
        <sz val="9"/>
        <color theme="1"/>
        <rFont val="Arial"/>
        <family val="2"/>
      </rPr>
      <t>Personal Pay/Special Pay:</t>
    </r>
  </si>
  <si>
    <r>
      <t>(d)</t>
    </r>
    <r>
      <rPr>
        <sz val="7"/>
        <color theme="1"/>
        <rFont val="Times New Roman"/>
        <family val="1"/>
      </rPr>
      <t xml:space="preserve">   </t>
    </r>
    <r>
      <rPr>
        <sz val="9"/>
        <color theme="1"/>
        <rFont val="Arial"/>
        <family val="2"/>
      </rPr>
      <t>Average Emoluments:</t>
    </r>
  </si>
  <si>
    <r>
      <t>29.</t>
    </r>
    <r>
      <rPr>
        <sz val="7"/>
        <color theme="1"/>
        <rFont val="Times New Roman"/>
        <family val="1"/>
      </rPr>
      <t xml:space="preserve">  </t>
    </r>
    <r>
      <rPr>
        <sz val="9"/>
        <color theme="1"/>
        <rFont val="Arial"/>
        <family val="2"/>
      </rPr>
      <t>Scale of Pay Admissible:</t>
    </r>
  </si>
  <si>
    <t>30. Details of Outstanding Government Dues</t>
  </si>
  <si>
    <t>1)</t>
  </si>
  <si>
    <t>2)</t>
  </si>
  <si>
    <t>MCA</t>
  </si>
  <si>
    <t>3)</t>
  </si>
  <si>
    <t>Computer Advance</t>
  </si>
  <si>
    <t>4)</t>
  </si>
  <si>
    <t>Others (Specify):</t>
  </si>
  <si>
    <t>Signatur of the Head of the Office with seal/Digital Signature</t>
  </si>
  <si>
    <t>Proposed Pension</t>
  </si>
  <si>
    <t>Proposed  Gratuity</t>
  </si>
  <si>
    <t>Name of the Bank</t>
  </si>
  <si>
    <t>Bank Account No</t>
  </si>
  <si>
    <t>Designation:</t>
  </si>
  <si>
    <t xml:space="preserve">Period of service  qualifying for pension. </t>
  </si>
  <si>
    <t>a) Period of civil service.</t>
  </si>
  <si>
    <t>b) Period of War/Military service.</t>
  </si>
  <si>
    <t>d) Amount and nature of any pension/gratuity received for civil service.</t>
  </si>
  <si>
    <t>a) Average emoluments</t>
  </si>
  <si>
    <t>b) Emoluments for Gratuity.</t>
  </si>
  <si>
    <t>a) Pension (Treasury/Sub-Treasury)</t>
  </si>
  <si>
    <t>b) Gratuity (Treasury/Sub-Treasuty Head of the office)</t>
  </si>
  <si>
    <t>(i) Family pension under Part IV of K.C.S.R's if applicable</t>
  </si>
  <si>
    <t>(ii) Death-cum-Retirement Gratuity</t>
  </si>
  <si>
    <t xml:space="preserve">Date of birth by Christian era of </t>
  </si>
  <si>
    <t>(ii) Government servant's wife/husband</t>
  </si>
  <si>
    <t>Pay as defined in rule 8(32)</t>
  </si>
  <si>
    <t xml:space="preserve">Name </t>
  </si>
  <si>
    <t>(a) Date of Birth</t>
  </si>
  <si>
    <t>(b) Date of Retirement</t>
  </si>
  <si>
    <t>Two sets of speciman signatures (to be furnished in two separate sheets, Duly attested by a Gazetted Government servent)</t>
  </si>
  <si>
    <t>Three copies of  Joint Photograph with Wife/Husband (to be attested by a Gazetted Government servent)</t>
  </si>
  <si>
    <t>Two slips showing the particulars of Height, Personal identification marks duly attested by a Gazetted Government servent.</t>
  </si>
  <si>
    <t>Permanent Address</t>
  </si>
  <si>
    <t>Address after retirement.</t>
  </si>
  <si>
    <t>Name of the Treasury through which the pension is drawn.</t>
  </si>
  <si>
    <t>Details of Family (in the form indicated below)</t>
  </si>
  <si>
    <t>Sl. No.</t>
  </si>
  <si>
    <t>Name in Full</t>
  </si>
  <si>
    <t>Relationship with Government Servant</t>
  </si>
  <si>
    <t xml:space="preserve">Married / Unmarried in case of Daughters </t>
  </si>
  <si>
    <t>Attested by me</t>
  </si>
  <si>
    <t>COUNTERSIGNED</t>
  </si>
  <si>
    <t>Signature of the Drawing Officer</t>
  </si>
  <si>
    <t>FORM NO.7</t>
  </si>
  <si>
    <t>Name of Government servant</t>
  </si>
  <si>
    <t>Religion and Nationality</t>
  </si>
  <si>
    <t>Period of service qualifying for pension</t>
  </si>
  <si>
    <t>(a) Period of Civil Service</t>
  </si>
  <si>
    <t>(b) Period of War/Military Service</t>
  </si>
  <si>
    <t>(a) Average emoluments</t>
  </si>
  <si>
    <t>(b) Emoluments for gratuity</t>
  </si>
  <si>
    <t>Pay as defined in rule 8 (32)</t>
  </si>
  <si>
    <t>Proposed pension</t>
  </si>
  <si>
    <t>Proposed Gratuity</t>
  </si>
  <si>
    <t>Whether the Family Pension Rules, 1964 are applicable, if so amount of life time family pension becoming payable to the entitled members of the family of the Government servant, in the event of his/her death.</t>
  </si>
  <si>
    <t>Date from which pension is to commence</t>
  </si>
  <si>
    <t xml:space="preserve">Place of payment of: </t>
  </si>
  <si>
    <t xml:space="preserve">Whether nomination made for: </t>
  </si>
  <si>
    <t>(ii) Death-cum-retirement Gratuity</t>
  </si>
  <si>
    <t xml:space="preserve">Date of birth by Christian era, of </t>
  </si>
  <si>
    <t xml:space="preserve">(i) Government servant </t>
  </si>
  <si>
    <t xml:space="preserve">Height </t>
  </si>
  <si>
    <t>Date on which the Government servant applied for pension in Form 1-B</t>
  </si>
  <si>
    <t xml:space="preserve">      (Audit Officer)</t>
  </si>
  <si>
    <t>Form for Pension and Gratuity</t>
  </si>
  <si>
    <t>SL. NO.</t>
  </si>
  <si>
    <t>Thumb and finger impressions</t>
  </si>
  <si>
    <t>(i)</t>
  </si>
  <si>
    <t>(ii)</t>
  </si>
  <si>
    <t xml:space="preserve">of Government  servant's </t>
  </si>
  <si>
    <t xml:space="preserve">of Government Servant's wife/husband                     </t>
  </si>
  <si>
    <t>(c) Amount and nature of any pension [Gratuity received for Military service]</t>
  </si>
  <si>
    <t>(d) Amount and nature of any pension [Gratuity received for Civil service]</t>
  </si>
  <si>
    <t>Whether Government servant has paid all Government dues.</t>
  </si>
  <si>
    <t>Middle finger</t>
  </si>
  <si>
    <t xml:space="preserve">(b) Gratuity [Treasury/Sub- Treasury] Head of the Office </t>
  </si>
  <si>
    <t>1. Substituted by No. FD 121 SRS 69 dated 16-10-1970 (with effect from 26-11-1970)</t>
  </si>
  <si>
    <t>Pension Rules Opted/Eligible</t>
  </si>
  <si>
    <t>Governments under which service has been rendered (in order of employment).</t>
  </si>
  <si>
    <t xml:space="preserve">(a) Pension [Treasury/Sub-Treasury] </t>
  </si>
  <si>
    <t>(i) Family pension under Part IV of KCSRs., if applicable.</t>
  </si>
  <si>
    <t>Name of the Government Servant</t>
  </si>
  <si>
    <t xml:space="preserve">(a) Present or last appointment including name establishment:                                                    </t>
  </si>
  <si>
    <t>(i)  Substantive</t>
  </si>
  <si>
    <t>(ii) Officiating, if any</t>
  </si>
  <si>
    <t>(b) Remarks by the Receiving Authority</t>
  </si>
  <si>
    <t>(c) Orders of the Pension Sanctioning Authority</t>
  </si>
  <si>
    <t>(1) As to character and past conduct of Government Servant</t>
  </si>
  <si>
    <t>(2) Explanation of any suspension or degradation</t>
  </si>
  <si>
    <t>(3) Any other Remarks</t>
  </si>
  <si>
    <t>(4) Specific opinion of the Receiving Authority whether the service claimed is established and should be admitted or not</t>
  </si>
  <si>
    <t xml:space="preserve">(f) A sum of Rs. ……………………/- on account of ……………………………….. ………  is to be held over from the gratuity tll the outstanding Government dues are assessed and adjusted. </t>
  </si>
  <si>
    <t>(g) The following service of the Government Servant has been approved for the grant of special additional pension admissible under the rules:</t>
  </si>
  <si>
    <t>Date of Regularization:</t>
  </si>
  <si>
    <t>8. Date of Retirement/Death:</t>
  </si>
  <si>
    <t>HBA / HPA</t>
  </si>
  <si>
    <t>Permanent Residential address showing Village, Town, District and State.</t>
  </si>
  <si>
    <t>Father Name (Husband's name in case of women Government servent)</t>
  </si>
  <si>
    <t>Place of payment:</t>
  </si>
  <si>
    <t>Whether nomination made for :</t>
  </si>
  <si>
    <t xml:space="preserve"> Signature of the Head of the Office</t>
  </si>
  <si>
    <t xml:space="preserve"> " Signed before me"</t>
  </si>
  <si>
    <t>SPECIMEN SIGNATURE</t>
  </si>
  <si>
    <t xml:space="preserve">Present or last appointment, including name of Establishment. </t>
  </si>
  <si>
    <t>Father’s name [and also Husband’s name] in the case of Women Government</t>
  </si>
  <si>
    <t xml:space="preserve">Permanent residential address [showing Village/ Town/ District and State] </t>
  </si>
  <si>
    <t xml:space="preserve">Class of Pension or service Gratuity applied for and cause of application. </t>
  </si>
  <si>
    <t xml:space="preserve">(ii) Government servant’s wife / husband </t>
  </si>
  <si>
    <t xml:space="preserve">                                   The  undersigned   having   satisfied   himself   that   the   service   of                  Sri./ Smt./ Kum. .................................................................................................................  has not been throughly satisfactory here by orders that the full pension and /or gratuity which may be accepted by the Audit Office as admissible under the rules shall be reduced by the specified amount or percentage indicated below:</t>
  </si>
  <si>
    <t>This order is subject to the condition that if the amount of pension and / or gratuity as authorized be afterwards found to be in excess of amounts to which the pensioner is entitled under the Rules, he/she shall be called upon to refund such excess.</t>
  </si>
  <si>
    <t>Signature and designation of the Pension sanctioning Aurhotiry.</t>
  </si>
  <si>
    <t>Provisional pension</t>
  </si>
  <si>
    <t>Details of provisional pension and gratuity to be drawn by the hand of Office in accordance with the procedure laid down in not below Rule 341</t>
  </si>
  <si>
    <t xml:space="preserve">Gratuity [3/4th of the full gratuity mensioned against item 13 of the Form 7]   </t>
  </si>
  <si>
    <t>(i) Contribution towards Family Pension Rules, 1964 (See item 3(e) of the Form)</t>
  </si>
  <si>
    <t>(ii) Amount held over for adjustment of Government Due (See item (f) of the Form)</t>
  </si>
  <si>
    <t>Signature of Head Office.</t>
  </si>
  <si>
    <t>DETAILS OF SERVICE PARTICULAR</t>
  </si>
  <si>
    <t>Name:</t>
  </si>
  <si>
    <t xml:space="preserve"> </t>
  </si>
  <si>
    <t>PÁAiÀÄð¤ªÀð»¹zÀ ºÀÄzÉÝ</t>
  </si>
  <si>
    <t>PÁ¯ÉÃdÄ/PÀbÉÃj</t>
  </si>
  <si>
    <t>CªÀ¢ü</t>
  </si>
  <si>
    <t>PÀæªÀÄ ¸ÀASÉå</t>
  </si>
  <si>
    <t>ªÀÄÄZÀÑ½PÉ ¥ÀvÀæ</t>
  </si>
  <si>
    <t>¸À».</t>
  </si>
  <si>
    <t>NAME</t>
  </si>
  <si>
    <t>DATE OF BIRTH</t>
  </si>
  <si>
    <t>DATE OF APPOINTMENT</t>
  </si>
  <si>
    <t>DATE OF RETIREMENT</t>
  </si>
  <si>
    <t>AMOUNT PAID</t>
  </si>
  <si>
    <t>REMARKS</t>
  </si>
  <si>
    <t xml:space="preserve">              I have not availed any kind of Extra Ordinary Leave or Leave Without Allowances through out my service and the statement is true to the best of my knowledge.</t>
  </si>
  <si>
    <t>Signature of the Official with Seal.</t>
  </si>
  <si>
    <t>*  Strike whichever is not applicable</t>
  </si>
  <si>
    <t>Amount or Percentage of reduction in pension</t>
  </si>
  <si>
    <t>Amount or Percentage of reduction in gratuity</t>
  </si>
  <si>
    <t>The grant of pension and gratuity shall take effect from</t>
  </si>
  <si>
    <t>Post/Posts held</t>
  </si>
  <si>
    <t>Period of service</t>
  </si>
  <si>
    <t>The pension and gratuity are payable at</t>
  </si>
  <si>
    <t>Treasury/Sub-Treasury and chargeable to hand</t>
  </si>
  <si>
    <t>Rs.</t>
  </si>
  <si>
    <t>Rs.                            /- p.m.</t>
  </si>
  <si>
    <t>DzÀ £Á£ÀÄ F PÉ¼ÀPÀAqÀAvÉ PÁ¯ÉÃdÄUÀ¼À°è ¥ÁæA±ÀÄ¥Á®gÀÄ UÉæÃqï-1, UÉæÃqï-2, PÁAiÀÄð¤ªÀð»¹zÀÄÝ, F CªÀ¢üUÀ¼À ¯ÉPÀÌ vÀ¥Á¸ÀuÉAiÀÄ°è AiÀiÁªÀÅzÉÃ ªÀåvÁå¸ÀUÀ¼ÀÄ PÀAqÀÄ§AzÀ°è DyðPÀ ºÉÆgÉAiÀÄ dªÁ¨ÁÝjAiÀÄ£ÀÄß ¨sÀj¸À®Ä §zÀÞ£ÁVgÀÄvÉÛÃ£ÉAzÀÄ F ªÀÄÆ®PÀ ¥ÀæªÀiÁtÂÃPÀj¸ÀÄvÉÛÃ£É.</t>
  </si>
  <si>
    <t>²æÃ./²æÃªÀÄw.</t>
  </si>
  <si>
    <t>DECLARATION TO COMMUTE A PORTION PENSION</t>
  </si>
  <si>
    <t>HIGHT AND CONSPICUOUS MARKS OF IDENTIFICATION</t>
  </si>
  <si>
    <t>UNDERTAKING BY THE OFFICIAL TO REFUND THE AMOUNT OF PENSION / DCRG IF FOUND TO BE EXCESSIVE SUBSEQUENTLY</t>
  </si>
  <si>
    <t>DECLARATION REGARDING THE NON-RECEIPT OF ANY PENSION AND DEATH-CUM-RETIREMENT GRATUITY</t>
  </si>
  <si>
    <t>DECLARATION PERTAINING TO THE GRANT OF ANTICIPATORY PENSION AND ANTICIPATORY DEATH-CUM-RETIREMENT GRATUITY</t>
  </si>
  <si>
    <t>YEAR</t>
  </si>
  <si>
    <t>MONTH</t>
  </si>
  <si>
    <t>DAYS</t>
  </si>
  <si>
    <t>c) Amount and nature of any pension/gratuity received for the military service.</t>
  </si>
  <si>
    <t>Weather the family pension  Rules 1954 are applicable, if so amount of life time family pension becoming payable to the entitled members of the family of Government  servent. In the event of his /her death.</t>
  </si>
  <si>
    <t>Father's name (and also husband's name in   .     the case of a woman Government servant)</t>
  </si>
  <si>
    <t xml:space="preserve">Identification Marks </t>
  </si>
  <si>
    <t>(i) Government Servant</t>
  </si>
  <si>
    <t>Adhaar Card Number:</t>
  </si>
  <si>
    <t>Particulars to be obtained by the Head of office from the Retiring Government servant one year before the date of his/her retirement (Prescribed in G O No FD (spl) 63 CPP 83 Dated:18-09-1984 submission of form 1-B of K C S R is dispenced with. Gazetted Government servents are required to send this performa one year in advance to Accountant General.</t>
  </si>
  <si>
    <t xml:space="preserve">Date: </t>
  </si>
  <si>
    <t>Sur Name</t>
  </si>
  <si>
    <t>PENSION DATA INPUT SHEET</t>
  </si>
  <si>
    <t>Date of Appointment:</t>
  </si>
  <si>
    <t>Date of Retirement/Death:</t>
  </si>
  <si>
    <t>Parent Department:</t>
  </si>
  <si>
    <t>KGID No.</t>
  </si>
  <si>
    <t>( 28 Characters only)</t>
  </si>
  <si>
    <t>( 22 Characters only)</t>
  </si>
  <si>
    <t>( 06 Characters only)</t>
  </si>
  <si>
    <t xml:space="preserve"> Rule of KCSRs</t>
  </si>
  <si>
    <t>Details of Additions to Service (Specify the rules)(Sanction order to be enclosed)</t>
  </si>
  <si>
    <t>Rule of KCRSs</t>
  </si>
  <si>
    <t>(c)</t>
  </si>
  <si>
    <t>(d)</t>
  </si>
  <si>
    <t>Grade Pay/ADA/IR:</t>
  </si>
  <si>
    <t>Personal Pay/Special Pay:</t>
  </si>
  <si>
    <t>Rs./per month</t>
  </si>
  <si>
    <t>Scale of Pay Admissible:</t>
  </si>
  <si>
    <t>Details of Outstanding Government Dues</t>
  </si>
  <si>
    <t>Goverments under which service has been rendered.(in order of employment)</t>
  </si>
  <si>
    <t>Application for Pension / Family Pension.</t>
  </si>
  <si>
    <t>Sanction for Voluntary Retirement / Invalid Retirement etc., other than Retirement on Superannuation</t>
  </si>
  <si>
    <t>Relief Memo</t>
  </si>
  <si>
    <t>Last Pay Certificate / No Due Certificate intimating the Government dues.</t>
  </si>
  <si>
    <t>Leave Account</t>
  </si>
  <si>
    <t>Details of Service rendered</t>
  </si>
  <si>
    <t>Declaration of the Pensioner to Commute or not to Commute Pension.</t>
  </si>
  <si>
    <t>Identification Documents in triplicate:</t>
  </si>
  <si>
    <t>(1) Joint Photos / Single Photos duly attested by Gazetted Officer</t>
  </si>
  <si>
    <t>(2) Specimen signature duly attested by Gazetted Officer</t>
  </si>
  <si>
    <t>(3) Personal Identification marks duly attested by Gazetted Officer.</t>
  </si>
  <si>
    <t>Details of Departmental Enquiry / Judicial Enquiry pending.</t>
  </si>
  <si>
    <t>Calculation sheet (computing the pensionary benefits.)</t>
  </si>
  <si>
    <t>Death certificate in respect of Family Pension cases.</t>
  </si>
  <si>
    <t>Survivorship Certificate</t>
  </si>
  <si>
    <t>Succession Certificate</t>
  </si>
  <si>
    <t>Medical Certificate (in original) in case of Invalid Retirement, Physically Handicapped / Mentally Retarded Beneficiaries issued by the Medical Officer not belowthe rank of District Surgeon.</t>
  </si>
  <si>
    <t>Identification of the Beneficiary / Guardian in case where the beneficiary is a minor / mentally challenged. (All documents in triplicate and attested by the Head of the Department.)</t>
  </si>
  <si>
    <t>( 24 Characters only)</t>
  </si>
  <si>
    <t>Phone Number / Landline</t>
  </si>
  <si>
    <t>LIST OF DOCUMENTS / CERTIFICATES TO BE ENCLOSED ALONG WITH PENSION PAPERS      [TICK WHATEVER IS ENCLOSED]</t>
  </si>
  <si>
    <t>Office of the Principal Accountant General (A&amp;E) Karnataka, Bengaluru.</t>
  </si>
  <si>
    <t>Enclosed</t>
  </si>
  <si>
    <t>Family Pension</t>
  </si>
  <si>
    <t>GOOD</t>
  </si>
  <si>
    <t>1. KCSR</t>
  </si>
  <si>
    <t>5. ICAR</t>
  </si>
  <si>
    <t>6. AICTE</t>
  </si>
  <si>
    <t>Karnataka State Government</t>
  </si>
  <si>
    <t>Substantive</t>
  </si>
  <si>
    <t>Not Applicable</t>
  </si>
  <si>
    <t>As per Rules</t>
  </si>
  <si>
    <t>NO DUES</t>
  </si>
  <si>
    <t>ELIGIBLE</t>
  </si>
  <si>
    <t>Service Book of the Government Servant</t>
  </si>
  <si>
    <t>DA</t>
  </si>
  <si>
    <t>PENSION</t>
  </si>
  <si>
    <t>BASIC</t>
  </si>
  <si>
    <t>TOTAL</t>
  </si>
  <si>
    <r>
      <t>PENSION CALCULATION FOR THE GOVERNMENT EMPLOYEE RETIRED ON "</t>
    </r>
    <r>
      <rPr>
        <b/>
        <u/>
        <sz val="16"/>
        <color theme="3" tint="-0.249977111117893"/>
        <rFont val="Cambria"/>
        <family val="1"/>
        <scheme val="major"/>
      </rPr>
      <t>SUPERANNUATION</t>
    </r>
    <r>
      <rPr>
        <b/>
        <sz val="14"/>
        <color theme="3" tint="-0.249977111117893"/>
        <rFont val="Cambria"/>
        <family val="1"/>
        <scheme val="major"/>
      </rPr>
      <t>"</t>
    </r>
  </si>
  <si>
    <r>
      <t>PENSION CALCULATION FOR "</t>
    </r>
    <r>
      <rPr>
        <b/>
        <u/>
        <sz val="16"/>
        <color rgb="FF1A04BC"/>
        <rFont val="Cambria"/>
        <family val="1"/>
        <scheme val="major"/>
      </rPr>
      <t>VOLUNTARY RETIRED</t>
    </r>
    <r>
      <rPr>
        <b/>
        <sz val="16"/>
        <color rgb="FF1A04BC"/>
        <rFont val="Cambria"/>
        <family val="1"/>
        <scheme val="major"/>
      </rPr>
      <t>"</t>
    </r>
    <r>
      <rPr>
        <b/>
        <sz val="14"/>
        <color rgb="FF1A04BC"/>
        <rFont val="Cambria"/>
        <family val="1"/>
        <scheme val="major"/>
      </rPr>
      <t xml:space="preserve"> GOVERNMENT EMPLOYEE</t>
    </r>
  </si>
  <si>
    <t>Basic Pay on Next year 1st March</t>
  </si>
  <si>
    <t>Date of Entry into Service</t>
  </si>
  <si>
    <t>Month &amp; Year of Retirement</t>
  </si>
  <si>
    <t>Month &amp; Year of Superannuation/ Retirement</t>
  </si>
  <si>
    <t>Net Qualify-ing Years</t>
  </si>
  <si>
    <t>No.of Qualifying service</t>
  </si>
  <si>
    <t>No.of  Net Qualifying service (HYs)</t>
  </si>
  <si>
    <t>Retirement GRATUITY Admisible</t>
  </si>
  <si>
    <t>Retirement GRATUITY Admissible</t>
  </si>
  <si>
    <t xml:space="preserve"> No.of Days EL at credit at the time of Retirement</t>
  </si>
  <si>
    <t xml:space="preserve">EL </t>
  </si>
  <si>
    <t>Amount of EL Encashment</t>
  </si>
  <si>
    <t>Total                                             [DCRG + Encashment]</t>
  </si>
  <si>
    <t>Commutation of Pension</t>
  </si>
  <si>
    <t>Voluntary Retirement Date</t>
  </si>
  <si>
    <r>
      <t xml:space="preserve">Maximum Weitage of 5 years added in respect of </t>
    </r>
    <r>
      <rPr>
        <b/>
        <sz val="10"/>
        <color theme="3" tint="-0.499984740745262"/>
        <rFont val="Cambria"/>
        <family val="1"/>
        <scheme val="major"/>
      </rPr>
      <t>Voluntary Retirement</t>
    </r>
  </si>
  <si>
    <t>Gross Qualifying Service</t>
  </si>
  <si>
    <t>Net Qualifying Service</t>
  </si>
  <si>
    <t>Total [DCRG + Encashment]</t>
  </si>
  <si>
    <t>Commutation Table</t>
  </si>
  <si>
    <t>Days</t>
  </si>
  <si>
    <t>Next Date of Birth  Age</t>
  </si>
  <si>
    <t>Year-wise Commuta- tion Value</t>
  </si>
  <si>
    <t>VOLUNTARY RETIREMENT</t>
  </si>
  <si>
    <t>✓</t>
  </si>
  <si>
    <t xml:space="preserve"> Rs.</t>
  </si>
  <si>
    <t>Declaration given by Sri./Smt.</t>
  </si>
  <si>
    <t xml:space="preserve">Signature of the Official. </t>
  </si>
  <si>
    <t xml:space="preserve">Specimen Signature of Sri./Smt.  </t>
  </si>
  <si>
    <t>I,</t>
  </si>
  <si>
    <t xml:space="preserve">Signature.  </t>
  </si>
  <si>
    <t>Wife / Husband Sri. / Smt.</t>
  </si>
  <si>
    <t xml:space="preserve">and his / her </t>
  </si>
  <si>
    <t>Signature.</t>
  </si>
  <si>
    <t>who is retiring on</t>
  </si>
  <si>
    <t>Residential Address:</t>
  </si>
  <si>
    <t>Permanent address after retirement of Sri./Smt.</t>
  </si>
  <si>
    <t>Sri. / Smt.</t>
  </si>
  <si>
    <t xml:space="preserve">                  I, herby declare that I have nothing to pay any Government Dues.  If any amount is outstanding, the same may be recovered from my DCRG and Pension.</t>
  </si>
  <si>
    <t xml:space="preserve">                                                                                               Signature of the Official.</t>
  </si>
  <si>
    <t>hereby declare my</t>
  </si>
  <si>
    <t>intention to commute one third portion (here by indicate the portion of pension) of my pension in accordance with the provisions of G.O. No.FD (Spl) 26 PCP 83 dated 15th May 1984.</t>
  </si>
  <si>
    <t>Certified  that  the above Photograph / Joint Photograph  is that of Sri./Smt.</t>
  </si>
  <si>
    <t xml:space="preserve">I,  hereby  declare  that  there is  no  judiciary/departmental  enquiry is pending  against </t>
  </si>
  <si>
    <t xml:space="preserve">who is due to retire </t>
  </si>
  <si>
    <t>from service on</t>
  </si>
  <si>
    <t>Identification Marks</t>
  </si>
  <si>
    <t xml:space="preserve"> Signature of the Official.</t>
  </si>
  <si>
    <t xml:space="preserve">Name: </t>
  </si>
  <si>
    <t xml:space="preserve">Designation: </t>
  </si>
  <si>
    <t xml:space="preserve">Department: </t>
  </si>
  <si>
    <t xml:space="preserve">Height: </t>
  </si>
  <si>
    <t xml:space="preserve">hereby undertake to refund </t>
  </si>
  <si>
    <t>the amount of Pension and or Gratuity to be sanctioned to me if any portion of the same found to be excessive subsequently.</t>
  </si>
  <si>
    <t>hereby declare that I have</t>
  </si>
  <si>
    <t>neither applied for nor received any Pension or Death-cum-Gratuity in respect of any portion of</t>
  </si>
  <si>
    <t xml:space="preserve">service qualifying for this pension and in respect of which pension and or Gratuity is claimed here in </t>
  </si>
  <si>
    <t xml:space="preserve">nor shall I submit an application hereafter without quoting a reference to this application and the </t>
  </si>
  <si>
    <t>orders which may be passed thereon.</t>
  </si>
  <si>
    <t xml:space="preserve">not been sanctioned any anticipatory pension or anticipatory Death-Cum-Retirement Gratuity prior </t>
  </si>
  <si>
    <t>to the submission of this application for sanction of pension and Death-Cum-Retirement Gratuity.</t>
  </si>
  <si>
    <t xml:space="preserve"> LIST OF FAMILY MEMBERS</t>
  </si>
  <si>
    <t>(iii)</t>
  </si>
  <si>
    <t>(iv)</t>
  </si>
  <si>
    <t>(v)</t>
  </si>
  <si>
    <t xml:space="preserve"> Average Emoluments:</t>
  </si>
  <si>
    <r>
      <t>Rules applicable</t>
    </r>
    <r>
      <rPr>
        <b/>
        <sz val="12"/>
        <color rgb="FFFF0000"/>
        <rFont val="Arial"/>
        <family val="2"/>
      </rPr>
      <t xml:space="preserve"> </t>
    </r>
  </si>
  <si>
    <t xml:space="preserve">Type of retirement  </t>
  </si>
  <si>
    <t>[Please select tick mark in dropdown menu]</t>
  </si>
  <si>
    <r>
      <t>(i)</t>
    </r>
    <r>
      <rPr>
        <sz val="7"/>
        <color theme="1"/>
        <rFont val="Times New Roman"/>
        <family val="1"/>
      </rPr>
      <t xml:space="preserve"> </t>
    </r>
  </si>
  <si>
    <t>(a)</t>
  </si>
  <si>
    <t>(b)</t>
  </si>
  <si>
    <t>STATE SCALE</t>
  </si>
  <si>
    <t>UGC SCALE</t>
  </si>
  <si>
    <t xml:space="preserve">Pay Drawn on Last Day of Service                                                                                               </t>
  </si>
  <si>
    <t>has been throughly satisfactory here by orders the grant of the full pension, death-cum-retirement gratuity, service gratuity which be accepted by the audit Officer as admissible under the Rules,</t>
  </si>
  <si>
    <t>(e) In terms of rule 10 of the aforesaid Scheme he/she is required to contribute a portion of gratuity equal to two months emoluments or pay as the cash may be.  Necessary recovery out of the gratuity payable to Sri./Smt. ………………..........................………....has been/may be made.</t>
  </si>
  <si>
    <t xml:space="preserve">Rs.10/- From </t>
  </si>
  <si>
    <t xml:space="preserve">Rs.20/- From </t>
  </si>
  <si>
    <t xml:space="preserve">Rs.40/- From </t>
  </si>
  <si>
    <t xml:space="preserve">Rs.80/- From </t>
  </si>
  <si>
    <t xml:space="preserve">Rs.240/- From </t>
  </si>
  <si>
    <t>*I have availed Extra Ordinary Leave from</t>
  </si>
  <si>
    <t>APPLICABLE</t>
  </si>
  <si>
    <t>who is due to retire from service on of age on</t>
  </si>
  <si>
    <t>of age</t>
  </si>
  <si>
    <t>on attaining</t>
  </si>
  <si>
    <t>Who is due to retire from service on</t>
  </si>
  <si>
    <t>SUPERANNUATION</t>
  </si>
  <si>
    <t>is as follows:</t>
  </si>
  <si>
    <t>DEPARTMENT</t>
  </si>
  <si>
    <t>PROFORMA SHOWING THE DETAILS REGARDING FAMILY BENEFIT FUND AND                                   GROUP INSURANCE SCHEME</t>
  </si>
  <si>
    <t>The undersigned having satisfied himself that the services of Sri./Smt./Kum.</t>
  </si>
  <si>
    <t xml:space="preserve">(d) In the event of death of Sri./Smt. </t>
  </si>
  <si>
    <t>family pension of Rs.</t>
  </si>
  <si>
    <t>will be admissible to Sri./Smt.</t>
  </si>
  <si>
    <t xml:space="preserve">                          as admissible under the family Pension Rules, 1964.</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</si>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</sst>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Red]0"/>
    <numFmt numFmtId="167" formatCode="&quot;₹&quot;\ #,##0"/>
    <numFmt numFmtId="168" formatCode="&quot;₹&quot;\ #,##0.00"/>
  </numFmts>
  <fonts count="114" x14ac:knownFonts="1">
    <font>
      <sz val="11"/>
      <color theme="1"/>
      <name val="Calibri"/>
      <family val="2"/>
      <scheme val="minor"/>
    </font>
    <font>
      <sz val="12"/>
      <color theme="1"/>
      <name val="Calibri"/>
      <family val="2"/>
      <scheme val="minor"/>
    </font>
    <font>
      <sz val="14"/>
      <color theme="1"/>
      <name val="Calibri"/>
      <family val="2"/>
      <scheme val="minor"/>
    </font>
    <font>
      <sz val="11"/>
      <color rgb="FF000000"/>
      <name val="Calibri"/>
      <family val="2"/>
      <scheme val="minor"/>
    </font>
    <font>
      <b/>
      <sz val="12"/>
      <color theme="1"/>
      <name val="Calibri"/>
      <family val="2"/>
      <scheme val="minor"/>
    </font>
    <font>
      <b/>
      <sz val="14"/>
      <color theme="1"/>
      <name val="Calibri"/>
      <family val="2"/>
      <scheme val="minor"/>
    </font>
    <font>
      <b/>
      <u/>
      <sz val="12"/>
      <color theme="1"/>
      <name val="Calibri"/>
      <family val="2"/>
      <scheme val="minor"/>
    </font>
    <font>
      <b/>
      <sz val="12"/>
      <color theme="1"/>
      <name val="Times New Roman"/>
      <family val="1"/>
    </font>
    <font>
      <sz val="12"/>
      <color theme="1"/>
      <name val="Times New Roman"/>
      <family val="1"/>
    </font>
    <font>
      <b/>
      <u/>
      <sz val="9"/>
      <color theme="1"/>
      <name val="Arial"/>
      <family val="2"/>
    </font>
    <font>
      <sz val="9"/>
      <color theme="1"/>
      <name val="Arial"/>
      <family val="2"/>
    </font>
    <font>
      <sz val="7"/>
      <color theme="1"/>
      <name val="Times New Roman"/>
      <family val="1"/>
    </font>
    <font>
      <sz val="11"/>
      <color theme="1"/>
      <name val="Calibri"/>
      <family val="2"/>
    </font>
    <font>
      <sz val="10"/>
      <color theme="1"/>
      <name val="Arial"/>
      <family val="2"/>
    </font>
    <font>
      <b/>
      <sz val="10"/>
      <color theme="1"/>
      <name val="Arial"/>
      <family val="2"/>
    </font>
    <font>
      <sz val="8"/>
      <color theme="1"/>
      <name val="Arial"/>
      <family val="2"/>
    </font>
    <font>
      <sz val="9"/>
      <color theme="1"/>
      <name val="Times New Roman"/>
      <family val="1"/>
    </font>
    <font>
      <sz val="9"/>
      <color theme="1"/>
      <name val="Wingdings"/>
      <charset val="2"/>
    </font>
    <font>
      <sz val="10"/>
      <color theme="1"/>
      <name val="Calibri"/>
      <family val="2"/>
      <scheme val="minor"/>
    </font>
    <font>
      <sz val="6"/>
      <color theme="1"/>
      <name val="Calibri"/>
      <family val="2"/>
      <scheme val="minor"/>
    </font>
    <font>
      <sz val="10"/>
      <color rgb="FFC1C1C1"/>
      <name val="Times New Roman"/>
      <family val="1"/>
    </font>
    <font>
      <b/>
      <sz val="11"/>
      <color theme="1"/>
      <name val="Calibri"/>
      <family val="2"/>
      <scheme val="minor"/>
    </font>
    <font>
      <sz val="11"/>
      <color theme="1"/>
      <name val="Arial"/>
      <family val="2"/>
    </font>
    <font>
      <b/>
      <u/>
      <sz val="11"/>
      <color theme="1"/>
      <name val="Arial"/>
      <family val="2"/>
    </font>
    <font>
      <b/>
      <sz val="11"/>
      <color theme="1"/>
      <name val="Arial"/>
      <family val="2"/>
    </font>
    <font>
      <b/>
      <u/>
      <sz val="12"/>
      <color theme="1"/>
      <name val="Times New Roman"/>
      <family val="1"/>
    </font>
    <font>
      <b/>
      <u/>
      <sz val="14"/>
      <color theme="1"/>
      <name val="Times New Roman"/>
      <family val="1"/>
    </font>
    <font>
      <b/>
      <sz val="14"/>
      <color theme="1"/>
      <name val="Times New Roman"/>
      <family val="1"/>
    </font>
    <font>
      <sz val="11"/>
      <color theme="1"/>
      <name val="Times New Roman"/>
      <family val="1"/>
    </font>
    <font>
      <sz val="12"/>
      <color rgb="FF000000"/>
      <name val="Times New Roman"/>
      <family val="1"/>
    </font>
    <font>
      <b/>
      <sz val="14"/>
      <color theme="1"/>
      <name val="Verdana"/>
      <family val="2"/>
    </font>
    <font>
      <b/>
      <sz val="14"/>
      <color theme="1"/>
      <name val="Arial Rounded MT Bold"/>
      <family val="2"/>
    </font>
    <font>
      <sz val="9"/>
      <color theme="1"/>
      <name val="Cambria"/>
      <family val="1"/>
      <scheme val="major"/>
    </font>
    <font>
      <sz val="14"/>
      <color theme="1"/>
      <name val="Nudi 01 e"/>
    </font>
    <font>
      <sz val="15"/>
      <color theme="1"/>
      <name val="Nudi 01 e"/>
    </font>
    <font>
      <b/>
      <u/>
      <sz val="18"/>
      <color theme="1"/>
      <name val="Nudi 05 e"/>
    </font>
    <font>
      <sz val="14"/>
      <color theme="1"/>
      <name val="Nudi 05 e"/>
    </font>
    <font>
      <b/>
      <sz val="16"/>
      <color theme="1"/>
      <name val="Nudi 01 e"/>
    </font>
    <font>
      <sz val="14"/>
      <name val="Times New Roman"/>
      <family val="1"/>
    </font>
    <font>
      <sz val="11"/>
      <name val="Arial"/>
      <family val="2"/>
    </font>
    <font>
      <sz val="10"/>
      <color theme="1"/>
      <name val="Times New Roman"/>
      <family val="1"/>
    </font>
    <font>
      <b/>
      <sz val="13"/>
      <color theme="1"/>
      <name val="Rockwell Condensed"/>
      <family val="1"/>
    </font>
    <font>
      <b/>
      <sz val="11"/>
      <color rgb="FFFF0000"/>
      <name val="Calibri"/>
      <family val="2"/>
      <scheme val="minor"/>
    </font>
    <font>
      <u/>
      <sz val="11"/>
      <color theme="10"/>
      <name val="Calibri"/>
      <family val="2"/>
      <scheme val="minor"/>
    </font>
    <font>
      <sz val="10"/>
      <color theme="1"/>
      <name val="Cambria"/>
      <family val="1"/>
      <scheme val="major"/>
    </font>
    <font>
      <b/>
      <sz val="14"/>
      <name val="Times New Roman"/>
      <family val="1"/>
    </font>
    <font>
      <b/>
      <sz val="12"/>
      <color theme="1"/>
      <name val="Verdana"/>
      <family val="2"/>
    </font>
    <font>
      <b/>
      <sz val="12"/>
      <color theme="1"/>
      <name val="Arial"/>
      <family val="2"/>
    </font>
    <font>
      <sz val="12"/>
      <color theme="1"/>
      <name val="Cambria"/>
      <family val="1"/>
      <scheme val="major"/>
    </font>
    <font>
      <b/>
      <sz val="12"/>
      <color rgb="FFFF0000"/>
      <name val="Arial"/>
      <family val="2"/>
    </font>
    <font>
      <u/>
      <sz val="11"/>
      <color theme="1"/>
      <name val="Arial Rounded MT Bold"/>
      <family val="2"/>
    </font>
    <font>
      <u/>
      <sz val="10"/>
      <color theme="1"/>
      <name val="Berlin Sans FB"/>
      <family val="2"/>
    </font>
    <font>
      <sz val="9"/>
      <color indexed="81"/>
      <name val="Tahoma"/>
      <family val="2"/>
    </font>
    <font>
      <b/>
      <sz val="9"/>
      <color indexed="81"/>
      <name val="Tahoma"/>
      <family val="2"/>
    </font>
    <font>
      <sz val="8"/>
      <color theme="1"/>
      <name val="Calibri"/>
      <family val="2"/>
      <scheme val="minor"/>
    </font>
    <font>
      <b/>
      <sz val="12"/>
      <color theme="1"/>
      <name val="Cambria"/>
      <family val="1"/>
      <scheme val="major"/>
    </font>
    <font>
      <b/>
      <sz val="13"/>
      <color theme="1"/>
      <name val="Cambria"/>
      <family val="1"/>
      <scheme val="major"/>
    </font>
    <font>
      <b/>
      <sz val="13"/>
      <name val="Cambria"/>
      <family val="1"/>
      <scheme val="major"/>
    </font>
    <font>
      <b/>
      <sz val="12"/>
      <color rgb="FF1A04BC"/>
      <name val="Cambria"/>
      <family val="1"/>
      <scheme val="major"/>
    </font>
    <font>
      <sz val="10"/>
      <name val="Arial"/>
      <family val="2"/>
    </font>
    <font>
      <b/>
      <sz val="11"/>
      <name val="Arial"/>
      <family val="2"/>
    </font>
    <font>
      <b/>
      <sz val="9"/>
      <name val="Arial"/>
      <family val="2"/>
    </font>
    <font>
      <sz val="9"/>
      <name val="Arial"/>
      <family val="2"/>
    </font>
    <font>
      <b/>
      <sz val="9"/>
      <color theme="1"/>
      <name val="Arial"/>
      <family val="2"/>
    </font>
    <font>
      <b/>
      <sz val="10"/>
      <color rgb="FF1A04BC"/>
      <name val="Arial"/>
      <family val="2"/>
    </font>
    <font>
      <sz val="10"/>
      <color rgb="FF1A04BC"/>
      <name val="Arial"/>
      <family val="2"/>
    </font>
    <font>
      <sz val="12"/>
      <name val="Arial"/>
      <family val="2"/>
    </font>
    <font>
      <b/>
      <sz val="11"/>
      <color rgb="FF1A04BC"/>
      <name val="Cambria"/>
      <family val="1"/>
      <scheme val="major"/>
    </font>
    <font>
      <sz val="11"/>
      <color rgb="FF1A04BC"/>
      <name val="Cambria"/>
      <family val="1"/>
      <scheme val="major"/>
    </font>
    <font>
      <b/>
      <sz val="12"/>
      <color rgb="FF1A04BC"/>
      <name val="Calibri"/>
      <family val="2"/>
      <scheme val="minor"/>
    </font>
    <font>
      <b/>
      <sz val="14"/>
      <color theme="3" tint="-0.249977111117893"/>
      <name val="Cambria"/>
      <family val="1"/>
      <scheme val="major"/>
    </font>
    <font>
      <b/>
      <u/>
      <sz val="16"/>
      <color theme="3" tint="-0.249977111117893"/>
      <name val="Cambria"/>
      <family val="1"/>
      <scheme val="major"/>
    </font>
    <font>
      <b/>
      <sz val="14"/>
      <color rgb="FF1A04BC"/>
      <name val="Cambria"/>
      <family val="1"/>
      <scheme val="major"/>
    </font>
    <font>
      <b/>
      <u/>
      <sz val="16"/>
      <color rgb="FF1A04BC"/>
      <name val="Cambria"/>
      <family val="1"/>
      <scheme val="major"/>
    </font>
    <font>
      <b/>
      <sz val="16"/>
      <color rgb="FF1A04BC"/>
      <name val="Cambria"/>
      <family val="1"/>
      <scheme val="major"/>
    </font>
    <font>
      <sz val="8"/>
      <name val="Arial"/>
      <family val="2"/>
    </font>
    <font>
      <b/>
      <sz val="10"/>
      <color theme="3" tint="-0.499984740745262"/>
      <name val="Cambria"/>
      <family val="1"/>
      <scheme val="major"/>
    </font>
    <font>
      <b/>
      <sz val="9"/>
      <color theme="7" tint="-0.499984740745262"/>
      <name val="Arial"/>
      <family val="2"/>
    </font>
    <font>
      <sz val="9"/>
      <color theme="7" tint="-0.499984740745262"/>
      <name val="Arial"/>
      <family val="2"/>
    </font>
    <font>
      <sz val="9"/>
      <color rgb="FFFF0000"/>
      <name val="Arial"/>
      <family val="2"/>
    </font>
    <font>
      <b/>
      <sz val="9"/>
      <color rgb="FFFF0000"/>
      <name val="Arial"/>
      <family val="2"/>
    </font>
    <font>
      <sz val="9"/>
      <color indexed="81"/>
      <name val="Copperplate Gothic Light"/>
      <family val="2"/>
    </font>
    <font>
      <sz val="16"/>
      <color theme="1"/>
      <name val="Arial Unicode MS"/>
      <family val="2"/>
    </font>
    <font>
      <sz val="11"/>
      <color theme="1"/>
      <name val="Cambria"/>
      <family val="1"/>
      <scheme val="major"/>
    </font>
    <font>
      <b/>
      <u/>
      <sz val="12"/>
      <color theme="1"/>
      <name val="Cambria"/>
      <family val="1"/>
      <scheme val="major"/>
    </font>
    <font>
      <b/>
      <sz val="11"/>
      <color theme="1"/>
      <name val="Cambria"/>
      <family val="1"/>
      <scheme val="major"/>
    </font>
    <font>
      <u/>
      <sz val="12"/>
      <color theme="1"/>
      <name val="Cambria"/>
      <family val="1"/>
      <scheme val="major"/>
    </font>
    <font>
      <b/>
      <sz val="12"/>
      <color theme="5" tint="-0.249977111117893"/>
      <name val="Arial"/>
      <family val="2"/>
    </font>
    <font>
      <b/>
      <sz val="12"/>
      <name val="Arial"/>
      <family val="2"/>
    </font>
    <font>
      <b/>
      <u/>
      <sz val="12"/>
      <color theme="10"/>
      <name val="Arial"/>
      <family val="2"/>
    </font>
    <font>
      <b/>
      <sz val="12"/>
      <color rgb="FF202124"/>
      <name val="Arial"/>
      <family val="2"/>
    </font>
    <font>
      <b/>
      <sz val="12"/>
      <color rgb="FFFF0000"/>
      <name val="Arial Rounded MT Bold"/>
      <family val="2"/>
    </font>
    <font>
      <b/>
      <sz val="10"/>
      <color indexed="81"/>
      <name val="Tahoma"/>
      <family val="2"/>
    </font>
    <font>
      <b/>
      <sz val="11"/>
      <color indexed="81"/>
      <name val="Tahoma"/>
      <family val="2"/>
    </font>
    <font>
      <b/>
      <sz val="12"/>
      <color rgb="FF7030A0"/>
      <name val="Arial"/>
      <family val="2"/>
    </font>
    <font>
      <b/>
      <sz val="10"/>
      <color rgb="FF7030A0"/>
      <name val="Arial"/>
      <family val="2"/>
    </font>
    <font>
      <b/>
      <sz val="11"/>
      <color rgb="FF7030A0"/>
      <name val="Arial"/>
      <family val="2"/>
    </font>
    <font>
      <b/>
      <sz val="14"/>
      <color rgb="FF7030A0"/>
      <name val="Cambria"/>
      <family val="1"/>
      <scheme val="major"/>
    </font>
    <font>
      <b/>
      <sz val="12"/>
      <color theme="5" tint="-0.499984740745262"/>
      <name val="Arial"/>
      <family val="2"/>
    </font>
    <font>
      <b/>
      <sz val="13"/>
      <color rgb="FF002060"/>
      <name val="Calibri"/>
      <family val="2"/>
      <scheme val="minor"/>
    </font>
    <font>
      <sz val="14"/>
      <name val="Cambria"/>
      <family val="1"/>
      <scheme val="major"/>
    </font>
    <font>
      <sz val="12"/>
      <name val="Cambria"/>
      <family val="1"/>
      <scheme val="major"/>
    </font>
    <font>
      <b/>
      <sz val="12"/>
      <name val="Cambria"/>
      <family val="1"/>
      <scheme val="major"/>
    </font>
    <font>
      <b/>
      <sz val="10"/>
      <color theme="1"/>
      <name val="Cambria"/>
      <family val="1"/>
      <scheme val="major"/>
    </font>
    <font>
      <b/>
      <sz val="10"/>
      <color indexed="10"/>
      <name val="Leelawadee"/>
      <family val="2"/>
    </font>
    <font>
      <b/>
      <i/>
      <sz val="10"/>
      <color indexed="39"/>
      <name val="Tahoma"/>
      <family val="2"/>
    </font>
    <font>
      <b/>
      <i/>
      <sz val="10"/>
      <color indexed="39"/>
      <name val="Leelawadee"/>
      <family val="2"/>
    </font>
    <font>
      <b/>
      <sz val="12"/>
      <name val="Vrinda"/>
      <family val="2"/>
    </font>
    <font>
      <b/>
      <sz val="12"/>
      <color indexed="39"/>
      <name val="Cambria"/>
      <family val="1"/>
    </font>
    <font>
      <b/>
      <sz val="12"/>
      <color indexed="81"/>
      <name val="Cambria"/>
      <family val="1"/>
    </font>
    <font>
      <b/>
      <sz val="16"/>
      <color indexed="39"/>
      <name val="Cambria"/>
      <family val="1"/>
    </font>
    <font>
      <b/>
      <sz val="11"/>
      <color rgb="FFFF0000"/>
      <name val="Tahoma"/>
      <family val="2"/>
    </font>
    <font>
      <b/>
      <sz val="11"/>
      <color indexed="81"/>
      <name val="High Tower Text"/>
      <family val="1"/>
    </font>
    <font>
      <b/>
      <sz val="16"/>
      <color rgb="FF002060"/>
      <name val="Arial"/>
      <family val="2"/>
    </font>
  </fonts>
  <fills count="1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C000"/>
        <bgColor indexed="64"/>
      </patternFill>
    </fill>
    <fill>
      <patternFill patternType="solid">
        <fgColor rgb="FF008000"/>
        <bgColor indexed="64"/>
      </patternFill>
    </fill>
    <fill>
      <patternFill patternType="solid">
        <fgColor rgb="FF0070C0"/>
        <bgColor indexed="64"/>
      </patternFill>
    </fill>
    <fill>
      <patternFill patternType="solid">
        <fgColor theme="5" tint="0.59999389629810485"/>
        <bgColor indexed="64"/>
      </patternFill>
    </fill>
    <fill>
      <patternFill patternType="solid">
        <fgColor rgb="FF002060"/>
        <bgColor indexed="64"/>
      </patternFill>
    </fill>
    <fill>
      <patternFill patternType="solid">
        <fgColor rgb="FF92D050"/>
        <bgColor indexed="64"/>
      </patternFill>
    </fill>
    <fill>
      <patternFill patternType="solid">
        <fgColor theme="9" tint="-0.499984740745262"/>
        <bgColor indexed="64"/>
      </patternFill>
    </fill>
    <fill>
      <patternFill patternType="solid">
        <fgColor theme="0" tint="-0.34998626667073579"/>
        <bgColor indexed="64"/>
      </patternFill>
    </fill>
    <fill>
      <patternFill patternType="solid">
        <fgColor rgb="FFFFFF00"/>
        <bgColor theme="5" tint="-0.24994659260841701"/>
      </patternFill>
    </fill>
    <fill>
      <patternFill patternType="solid">
        <fgColor rgb="FF00B0F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0" fontId="43" fillId="0" borderId="0" applyNumberFormat="0" applyFill="0" applyBorder="0" applyAlignment="0" applyProtection="0"/>
  </cellStyleXfs>
  <cellXfs count="698">
    <xf numFmtId="0" fontId="0" fillId="0" borderId="0" xfId="0"/>
    <xf numFmtId="0" fontId="0" fillId="0" borderId="0" xfId="0" applyAlignment="1" applyProtection="1">
      <alignment horizontal="left"/>
      <protection hidden="1"/>
    </xf>
    <xf numFmtId="0" fontId="10" fillId="0" borderId="0" xfId="0" applyFont="1" applyAlignment="1" applyProtection="1">
      <alignment horizontal="center" vertical="center"/>
      <protection hidden="1"/>
    </xf>
    <xf numFmtId="0" fontId="10" fillId="0" borderId="0" xfId="0" applyFont="1" applyAlignment="1" applyProtection="1">
      <alignment vertical="center"/>
      <protection hidden="1"/>
    </xf>
    <xf numFmtId="0" fontId="0" fillId="0" borderId="0" xfId="0" applyAlignment="1" applyProtection="1">
      <protection hidden="1"/>
    </xf>
    <xf numFmtId="0" fontId="0" fillId="0" borderId="0" xfId="0" applyBorder="1" applyAlignment="1" applyProtection="1">
      <alignment horizontal="left"/>
      <protection hidden="1"/>
    </xf>
    <xf numFmtId="0" fontId="0" fillId="0" borderId="11" xfId="0" applyBorder="1" applyAlignment="1" applyProtection="1">
      <alignment horizontal="left"/>
      <protection hidden="1"/>
    </xf>
    <xf numFmtId="0" fontId="0" fillId="0" borderId="12" xfId="0" applyBorder="1" applyAlignment="1" applyProtection="1">
      <alignment horizontal="left"/>
      <protection hidden="1"/>
    </xf>
    <xf numFmtId="0" fontId="10" fillId="0" borderId="11" xfId="0" applyFont="1" applyBorder="1" applyAlignment="1" applyProtection="1">
      <alignment horizontal="center" vertical="center"/>
      <protection hidden="1"/>
    </xf>
    <xf numFmtId="0" fontId="0" fillId="0" borderId="8" xfId="0" applyBorder="1" applyAlignment="1" applyProtection="1">
      <alignment horizontal="left"/>
      <protection hidden="1"/>
    </xf>
    <xf numFmtId="0" fontId="12" fillId="0" borderId="0" xfId="0" applyFont="1" applyAlignment="1" applyProtection="1">
      <alignment horizontal="center" vertical="center"/>
      <protection hidden="1"/>
    </xf>
    <xf numFmtId="0" fontId="0" fillId="0" borderId="4" xfId="0" applyBorder="1" applyAlignment="1" applyProtection="1">
      <alignment horizontal="left"/>
      <protection hidden="1"/>
    </xf>
    <xf numFmtId="0" fontId="15"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left" vertical="center" indent="1"/>
      <protection hidden="1"/>
    </xf>
    <xf numFmtId="0" fontId="16" fillId="0" borderId="0" xfId="0" applyFont="1" applyAlignment="1" applyProtection="1">
      <alignment horizontal="center" vertical="center"/>
      <protection hidden="1"/>
    </xf>
    <xf numFmtId="0" fontId="15" fillId="0" borderId="0" xfId="0" applyFont="1" applyAlignment="1" applyProtection="1">
      <alignment vertical="center"/>
      <protection hidden="1"/>
    </xf>
    <xf numFmtId="0" fontId="0" fillId="0" borderId="0" xfId="0" applyAlignment="1" applyProtection="1">
      <alignment horizontal="center"/>
      <protection hidden="1"/>
    </xf>
    <xf numFmtId="0" fontId="0" fillId="0" borderId="0" xfId="0" applyAlignment="1" applyProtection="1">
      <alignment horizontal="center" vertical="center"/>
      <protection hidden="1"/>
    </xf>
    <xf numFmtId="0" fontId="0" fillId="0" borderId="11" xfId="0" applyBorder="1" applyAlignment="1" applyProtection="1">
      <alignment horizontal="center" vertical="center" wrapText="1"/>
      <protection hidden="1"/>
    </xf>
    <xf numFmtId="0" fontId="0" fillId="0" borderId="11"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0" fillId="0" borderId="12" xfId="0" applyBorder="1" applyAlignment="1" applyProtection="1">
      <alignment horizontal="left" vertical="center" wrapText="1"/>
      <protection hidden="1"/>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left" wrapText="1"/>
      <protection hidden="1"/>
    </xf>
    <xf numFmtId="0" fontId="10" fillId="0" borderId="0" xfId="0" applyFont="1" applyBorder="1" applyAlignment="1" applyProtection="1">
      <alignment vertical="center" wrapText="1"/>
      <protection hidden="1"/>
    </xf>
    <xf numFmtId="0" fontId="0" fillId="0" borderId="1" xfId="0" applyBorder="1" applyAlignment="1" applyProtection="1">
      <alignment horizontal="center" vertical="center"/>
      <protection hidden="1"/>
    </xf>
    <xf numFmtId="0" fontId="19" fillId="0" borderId="0" xfId="0" applyFont="1" applyAlignment="1" applyProtection="1">
      <alignment horizontal="center" vertical="center"/>
      <protection hidden="1"/>
    </xf>
    <xf numFmtId="0" fontId="10" fillId="0" borderId="0" xfId="0" applyFont="1" applyAlignment="1" applyProtection="1">
      <alignment horizontal="left" vertical="center" indent="6"/>
      <protection hidden="1"/>
    </xf>
    <xf numFmtId="0" fontId="0" fillId="0" borderId="7" xfId="0" applyBorder="1" applyAlignment="1" applyProtection="1">
      <alignment horizontal="left"/>
      <protection hidden="1"/>
    </xf>
    <xf numFmtId="0" fontId="20" fillId="0" borderId="0" xfId="0" applyFont="1" applyAlignment="1" applyProtection="1">
      <alignment vertical="center"/>
      <protection hidden="1"/>
    </xf>
    <xf numFmtId="0" fontId="20" fillId="0" borderId="0" xfId="0" applyFont="1" applyAlignment="1" applyProtection="1">
      <alignment horizontal="center" vertical="center"/>
      <protection hidden="1"/>
    </xf>
    <xf numFmtId="0" fontId="18" fillId="0" borderId="0" xfId="0" applyFont="1" applyAlignment="1" applyProtection="1">
      <alignment horizontal="center" vertical="center"/>
      <protection hidden="1"/>
    </xf>
    <xf numFmtId="0" fontId="19" fillId="0" borderId="0" xfId="0" applyFont="1" applyBorder="1" applyAlignment="1" applyProtection="1">
      <alignment vertical="center"/>
      <protection hidden="1"/>
    </xf>
    <xf numFmtId="0" fontId="0" fillId="0" borderId="0" xfId="0" applyBorder="1" applyAlignment="1" applyProtection="1">
      <protection hidden="1"/>
    </xf>
    <xf numFmtId="0" fontId="10" fillId="0" borderId="0" xfId="0" applyFont="1" applyAlignment="1" applyProtection="1">
      <alignment horizontal="left" vertical="center" indent="11"/>
      <protection hidden="1"/>
    </xf>
    <xf numFmtId="0" fontId="0" fillId="0" borderId="1" xfId="0" applyBorder="1" applyAlignment="1" applyProtection="1">
      <alignment horizontal="left" vertical="center"/>
      <protection locked="0"/>
    </xf>
    <xf numFmtId="0" fontId="0" fillId="0" borderId="0" xfId="0" applyAlignment="1" applyProtection="1">
      <alignment vertical="center"/>
      <protection hidden="1"/>
    </xf>
    <xf numFmtId="0" fontId="0" fillId="0" borderId="0" xfId="0" applyProtection="1">
      <protection hidden="1"/>
    </xf>
    <xf numFmtId="0" fontId="1" fillId="0" borderId="1" xfId="0" applyFont="1" applyBorder="1" applyAlignment="1" applyProtection="1">
      <alignment horizontal="center" vertical="center" wrapText="1"/>
      <protection hidden="1"/>
    </xf>
    <xf numFmtId="0" fontId="0" fillId="0" borderId="0" xfId="0" applyAlignment="1" applyProtection="1">
      <alignment wrapText="1"/>
      <protection hidden="1"/>
    </xf>
    <xf numFmtId="0" fontId="3" fillId="0" borderId="0" xfId="0" applyFont="1" applyAlignment="1" applyProtection="1">
      <alignment horizontal="left" wrapText="1"/>
      <protection hidden="1"/>
    </xf>
    <xf numFmtId="0" fontId="1" fillId="0" borderId="0" xfId="0" applyFont="1" applyAlignment="1" applyProtection="1">
      <alignment horizontal="left" wrapText="1"/>
      <protection hidden="1"/>
    </xf>
    <xf numFmtId="0" fontId="1" fillId="0" borderId="0" xfId="0" applyFont="1" applyAlignment="1" applyProtection="1">
      <alignment horizontal="left" vertical="center" wrapText="1"/>
      <protection hidden="1"/>
    </xf>
    <xf numFmtId="0" fontId="0" fillId="0" borderId="0" xfId="0" applyAlignment="1" applyProtection="1">
      <alignment vertical="center" wrapText="1"/>
      <protection hidden="1"/>
    </xf>
    <xf numFmtId="0" fontId="22" fillId="0" borderId="1" xfId="0" applyFont="1" applyBorder="1" applyAlignment="1" applyProtection="1">
      <alignment vertical="center" wrapText="1"/>
      <protection hidden="1"/>
    </xf>
    <xf numFmtId="0" fontId="2" fillId="0" borderId="0" xfId="0" applyFont="1" applyAlignment="1" applyProtection="1">
      <alignment horizontal="center" wrapText="1"/>
      <protection hidden="1"/>
    </xf>
    <xf numFmtId="0" fontId="2" fillId="0" borderId="0" xfId="0" applyFont="1" applyAlignment="1" applyProtection="1">
      <alignment wrapText="1"/>
      <protection hidden="1"/>
    </xf>
    <xf numFmtId="0" fontId="2" fillId="0" borderId="0" xfId="0" applyFont="1" applyProtection="1">
      <protection hidden="1"/>
    </xf>
    <xf numFmtId="0" fontId="22" fillId="0" borderId="0" xfId="0" applyFont="1" applyAlignment="1" applyProtection="1">
      <alignment wrapText="1"/>
      <protection hidden="1"/>
    </xf>
    <xf numFmtId="0" fontId="22" fillId="0" borderId="0" xfId="0" applyFont="1" applyProtection="1">
      <protection hidden="1"/>
    </xf>
    <xf numFmtId="0" fontId="22" fillId="0" borderId="0" xfId="0" applyFont="1" applyAlignment="1" applyProtection="1">
      <alignment horizontal="center"/>
      <protection hidden="1"/>
    </xf>
    <xf numFmtId="0" fontId="22" fillId="0" borderId="0" xfId="0" applyFont="1" applyAlignment="1" applyProtection="1">
      <alignment vertical="center" wrapText="1"/>
      <protection hidden="1"/>
    </xf>
    <xf numFmtId="0" fontId="26" fillId="0" borderId="0" xfId="0" applyFont="1" applyAlignment="1" applyProtection="1">
      <alignment horizontal="center" vertical="center" wrapText="1"/>
      <protection hidden="1"/>
    </xf>
    <xf numFmtId="0" fontId="23" fillId="0" borderId="0" xfId="0" applyFont="1" applyAlignment="1" applyProtection="1">
      <alignment horizontal="center" vertical="center" wrapText="1"/>
      <protection hidden="1"/>
    </xf>
    <xf numFmtId="0" fontId="23" fillId="0" borderId="0" xfId="0" applyFont="1" applyAlignment="1" applyProtection="1">
      <alignment vertical="center" wrapText="1"/>
      <protection hidden="1"/>
    </xf>
    <xf numFmtId="0" fontId="8" fillId="0" borderId="0" xfId="0" applyFont="1" applyProtection="1">
      <protection hidden="1"/>
    </xf>
    <xf numFmtId="0" fontId="29" fillId="0" borderId="1" xfId="0" applyFont="1" applyBorder="1" applyAlignment="1" applyProtection="1">
      <alignment horizontal="center" vertical="center" wrapText="1"/>
      <protection hidden="1"/>
    </xf>
    <xf numFmtId="0" fontId="28" fillId="0" borderId="1" xfId="0" applyFont="1" applyBorder="1" applyAlignment="1" applyProtection="1">
      <alignment horizontal="center" vertical="center" wrapText="1"/>
      <protection hidden="1"/>
    </xf>
    <xf numFmtId="0" fontId="8" fillId="0" borderId="0" xfId="0" applyFont="1" applyAlignment="1" applyProtection="1">
      <alignment wrapText="1"/>
      <protection hidden="1"/>
    </xf>
    <xf numFmtId="0" fontId="8" fillId="0" borderId="1" xfId="0" applyFont="1" applyBorder="1" applyAlignment="1" applyProtection="1">
      <alignment vertical="center" wrapText="1"/>
      <protection hidden="1"/>
    </xf>
    <xf numFmtId="0" fontId="8" fillId="0" borderId="0" xfId="0" applyFont="1" applyAlignment="1" applyProtection="1">
      <alignment horizontal="justify" vertical="center"/>
      <protection hidden="1"/>
    </xf>
    <xf numFmtId="0" fontId="8" fillId="0" borderId="0" xfId="0" applyFont="1" applyAlignment="1" applyProtection="1">
      <alignment horizontal="left" vertical="center" wrapText="1"/>
      <protection hidden="1"/>
    </xf>
    <xf numFmtId="0" fontId="8" fillId="0" borderId="0" xfId="0" applyFont="1" applyAlignment="1" applyProtection="1">
      <alignment vertical="center"/>
      <protection hidden="1"/>
    </xf>
    <xf numFmtId="0" fontId="7" fillId="0" borderId="0" xfId="0" applyFont="1" applyAlignment="1" applyProtection="1">
      <alignment vertical="center"/>
      <protection hidden="1"/>
    </xf>
    <xf numFmtId="0" fontId="1" fillId="0" borderId="0" xfId="0" applyFont="1" applyProtection="1">
      <protection hidden="1"/>
    </xf>
    <xf numFmtId="0" fontId="13" fillId="0" borderId="1" xfId="0" applyFont="1" applyBorder="1" applyAlignment="1" applyProtection="1">
      <alignment horizontal="center" vertical="center"/>
      <protection hidden="1"/>
    </xf>
    <xf numFmtId="0" fontId="27" fillId="0" borderId="1" xfId="0" applyFont="1" applyBorder="1" applyAlignment="1" applyProtection="1">
      <alignment vertical="center" wrapText="1"/>
      <protection hidden="1"/>
    </xf>
    <xf numFmtId="0" fontId="13" fillId="0" borderId="0" xfId="0" applyFont="1" applyProtection="1">
      <protection hidden="1"/>
    </xf>
    <xf numFmtId="0" fontId="1" fillId="0" borderId="0" xfId="0" applyFont="1" applyAlignment="1" applyProtection="1">
      <alignment horizontal="left"/>
      <protection hidden="1"/>
    </xf>
    <xf numFmtId="0" fontId="5" fillId="0" borderId="0" xfId="0" applyFont="1" applyProtection="1">
      <protection hidden="1"/>
    </xf>
    <xf numFmtId="0" fontId="21" fillId="0" borderId="1" xfId="0" applyFont="1" applyBorder="1" applyAlignment="1" applyProtection="1">
      <alignment horizontal="center" vertical="center" wrapText="1"/>
      <protection hidden="1"/>
    </xf>
    <xf numFmtId="0" fontId="4" fillId="0" borderId="1" xfId="0" applyFont="1" applyBorder="1" applyAlignment="1" applyProtection="1">
      <alignment horizontal="center" vertical="center"/>
      <protection hidden="1"/>
    </xf>
    <xf numFmtId="0" fontId="21" fillId="0" borderId="0" xfId="0" applyFont="1" applyAlignment="1" applyProtection="1">
      <alignment vertical="center"/>
      <protection hidden="1"/>
    </xf>
    <xf numFmtId="0" fontId="6" fillId="0" borderId="0" xfId="0" applyFont="1" applyAlignment="1" applyProtection="1">
      <alignment vertical="center" wrapText="1"/>
      <protection hidden="1"/>
    </xf>
    <xf numFmtId="0" fontId="38" fillId="0" borderId="0" xfId="0" applyFont="1" applyProtection="1">
      <protection hidden="1"/>
    </xf>
    <xf numFmtId="0" fontId="38" fillId="0" borderId="1" xfId="0" applyFont="1" applyBorder="1" applyAlignment="1" applyProtection="1">
      <alignment vertical="center"/>
      <protection hidden="1"/>
    </xf>
    <xf numFmtId="0" fontId="38" fillId="0" borderId="0" xfId="0" applyFont="1" applyAlignment="1" applyProtection="1">
      <alignment horizontal="justify" vertical="center" wrapText="1"/>
      <protection hidden="1"/>
    </xf>
    <xf numFmtId="0" fontId="38" fillId="0" borderId="0" xfId="0" applyFont="1" applyAlignment="1" applyProtection="1">
      <alignment vertical="center"/>
      <protection hidden="1"/>
    </xf>
    <xf numFmtId="0" fontId="38" fillId="0" borderId="0" xfId="0" applyFont="1" applyAlignment="1" applyProtection="1">
      <alignment horizontal="center" vertical="center"/>
      <protection hidden="1"/>
    </xf>
    <xf numFmtId="0" fontId="33" fillId="0" borderId="0" xfId="0" applyFont="1" applyProtection="1">
      <protection hidden="1"/>
    </xf>
    <xf numFmtId="0" fontId="33" fillId="0" borderId="1" xfId="0" applyFont="1" applyBorder="1" applyAlignment="1" applyProtection="1">
      <alignment horizontal="center" vertical="center" wrapText="1"/>
      <protection hidden="1"/>
    </xf>
    <xf numFmtId="0" fontId="33" fillId="0" borderId="1" xfId="0" applyFont="1" applyBorder="1" applyAlignment="1" applyProtection="1">
      <alignment horizontal="center" vertical="center"/>
      <protection hidden="1"/>
    </xf>
    <xf numFmtId="0" fontId="34" fillId="0" borderId="0" xfId="0" applyFont="1" applyProtection="1">
      <protection hidden="1"/>
    </xf>
    <xf numFmtId="0" fontId="37" fillId="0" borderId="0" xfId="0" applyFont="1" applyAlignment="1" applyProtection="1">
      <alignment horizontal="right"/>
      <protection hidden="1"/>
    </xf>
    <xf numFmtId="0" fontId="13" fillId="0" borderId="0" xfId="0" applyFont="1" applyBorder="1" applyAlignment="1" applyProtection="1">
      <alignment horizontal="center" vertical="center"/>
      <protection hidden="1"/>
    </xf>
    <xf numFmtId="0" fontId="8" fillId="0" borderId="0" xfId="0" applyFont="1" applyBorder="1" applyAlignment="1" applyProtection="1">
      <alignment horizontal="left" vertical="center" wrapText="1"/>
      <protection hidden="1"/>
    </xf>
    <xf numFmtId="0" fontId="8" fillId="0" borderId="0" xfId="0" applyFont="1" applyBorder="1" applyAlignment="1" applyProtection="1">
      <alignment horizontal="center"/>
      <protection hidden="1"/>
    </xf>
    <xf numFmtId="0" fontId="0" fillId="0" borderId="1" xfId="0" applyBorder="1" applyAlignment="1" applyProtection="1">
      <alignment horizontal="center" vertical="center"/>
      <protection locked="0"/>
    </xf>
    <xf numFmtId="0" fontId="0" fillId="0" borderId="4" xfId="0" applyBorder="1" applyAlignment="1" applyProtection="1">
      <alignment horizontal="center" vertical="center"/>
      <protection hidden="1"/>
    </xf>
    <xf numFmtId="0" fontId="15" fillId="0" borderId="1" xfId="0" applyFont="1" applyBorder="1" applyAlignment="1" applyProtection="1">
      <alignment horizontal="center" vertical="center" wrapText="1"/>
      <protection hidden="1"/>
    </xf>
    <xf numFmtId="14" fontId="0" fillId="0" borderId="1" xfId="0" applyNumberFormat="1" applyBorder="1" applyAlignment="1" applyProtection="1">
      <alignment horizontal="center" vertical="center"/>
      <protection locked="0"/>
    </xf>
    <xf numFmtId="0" fontId="33" fillId="0" borderId="1" xfId="0" applyFont="1" applyBorder="1" applyAlignment="1" applyProtection="1">
      <alignment horizontal="left" vertical="center"/>
      <protection locked="0"/>
    </xf>
    <xf numFmtId="0" fontId="0" fillId="0" borderId="1" xfId="0" applyBorder="1" applyAlignment="1" applyProtection="1">
      <alignment horizontal="left" vertical="center"/>
      <protection locked="0"/>
    </xf>
    <xf numFmtId="0" fontId="0" fillId="0" borderId="1" xfId="0" applyBorder="1" applyAlignment="1" applyProtection="1">
      <alignment horizontal="left" vertical="center" wrapText="1"/>
      <protection locked="0"/>
    </xf>
    <xf numFmtId="0" fontId="0" fillId="2" borderId="0" xfId="0" applyFill="1" applyBorder="1" applyAlignment="1" applyProtection="1">
      <alignment horizontal="left"/>
      <protection hidden="1"/>
    </xf>
    <xf numFmtId="0" fontId="0" fillId="0" borderId="0" xfId="0" applyBorder="1" applyAlignment="1" applyProtection="1">
      <alignment horizontal="center"/>
      <protection hidden="1"/>
    </xf>
    <xf numFmtId="0" fontId="10" fillId="0" borderId="1" xfId="0" applyFont="1" applyBorder="1" applyAlignment="1" applyProtection="1">
      <alignment horizontal="center" vertical="center" wrapText="1"/>
      <protection hidden="1"/>
    </xf>
    <xf numFmtId="0" fontId="0" fillId="0" borderId="0" xfId="0" applyAlignment="1" applyProtection="1">
      <alignment horizontal="center"/>
      <protection hidden="1"/>
    </xf>
    <xf numFmtId="0" fontId="10" fillId="0" borderId="0" xfId="0" applyFont="1" applyAlignment="1" applyProtection="1">
      <alignment horizontal="left" vertical="center"/>
      <protection hidden="1"/>
    </xf>
    <xf numFmtId="0" fontId="10" fillId="0" borderId="0" xfId="0" applyFont="1" applyAlignment="1" applyProtection="1">
      <alignment horizontal="left" vertical="center" wrapText="1"/>
      <protection hidden="1"/>
    </xf>
    <xf numFmtId="0" fontId="10" fillId="0" borderId="0" xfId="0" applyFont="1" applyAlignment="1" applyProtection="1">
      <alignment horizontal="center" vertical="center" wrapText="1"/>
      <protection hidden="1"/>
    </xf>
    <xf numFmtId="0" fontId="10" fillId="0" borderId="11" xfId="0" applyFont="1" applyBorder="1" applyAlignment="1" applyProtection="1">
      <alignment horizontal="center" vertical="center" wrapText="1"/>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Alignment="1">
      <alignment vertical="center" wrapText="1"/>
    </xf>
    <xf numFmtId="0" fontId="2" fillId="0" borderId="0" xfId="0" applyFont="1" applyAlignment="1">
      <alignment horizontal="center" vertical="center" wrapText="1"/>
    </xf>
    <xf numFmtId="0" fontId="44" fillId="0" borderId="0" xfId="0" applyFont="1" applyAlignment="1">
      <alignment horizontal="center" vertical="center" wrapText="1"/>
    </xf>
    <xf numFmtId="0" fontId="0" fillId="0" borderId="0" xfId="0" applyBorder="1" applyAlignment="1">
      <alignment vertical="center" wrapText="1"/>
    </xf>
    <xf numFmtId="0" fontId="4" fillId="0" borderId="1" xfId="0" applyFont="1" applyBorder="1" applyAlignment="1" applyProtection="1">
      <alignment horizontal="left"/>
      <protection hidden="1"/>
    </xf>
    <xf numFmtId="0" fontId="7" fillId="0" borderId="1" xfId="0" applyFont="1" applyBorder="1" applyAlignment="1" applyProtection="1">
      <alignment horizontal="left" vertical="center" wrapText="1"/>
      <protection hidden="1"/>
    </xf>
    <xf numFmtId="0" fontId="47" fillId="0" borderId="1" xfId="0" applyFont="1" applyBorder="1" applyAlignment="1" applyProtection="1">
      <alignment vertical="center"/>
      <protection hidden="1"/>
    </xf>
    <xf numFmtId="0" fontId="47" fillId="0" borderId="1" xfId="0" applyFont="1" applyBorder="1" applyAlignment="1" applyProtection="1">
      <alignment horizontal="left" vertical="center"/>
      <protection hidden="1"/>
    </xf>
    <xf numFmtId="0" fontId="43" fillId="0" borderId="0" xfId="1"/>
    <xf numFmtId="0" fontId="55" fillId="0" borderId="1" xfId="0" applyFont="1" applyBorder="1" applyAlignment="1" applyProtection="1">
      <alignment horizontal="left" vertical="center" wrapText="1"/>
      <protection hidden="1"/>
    </xf>
    <xf numFmtId="0" fontId="64" fillId="2" borderId="0" xfId="0" applyFont="1" applyFill="1" applyAlignment="1" applyProtection="1">
      <alignment horizontal="right" vertical="center" wrapText="1"/>
      <protection locked="0"/>
    </xf>
    <xf numFmtId="0" fontId="64" fillId="2" borderId="0" xfId="0" applyFont="1" applyFill="1" applyAlignment="1" applyProtection="1">
      <alignment horizontal="right" vertical="center" wrapText="1"/>
      <protection hidden="1"/>
    </xf>
    <xf numFmtId="0" fontId="64" fillId="2" borderId="0" xfId="0" applyFont="1" applyFill="1" applyAlignment="1" applyProtection="1">
      <alignment vertical="center" wrapText="1"/>
      <protection hidden="1"/>
    </xf>
    <xf numFmtId="0" fontId="65" fillId="2" borderId="0" xfId="0" applyFont="1" applyFill="1" applyAlignment="1" applyProtection="1">
      <alignment vertical="center" wrapText="1"/>
      <protection hidden="1"/>
    </xf>
    <xf numFmtId="0" fontId="59" fillId="2" borderId="0" xfId="0" applyFont="1" applyFill="1" applyAlignment="1" applyProtection="1">
      <alignment horizontal="center" vertical="center" wrapText="1"/>
      <protection hidden="1"/>
    </xf>
    <xf numFmtId="0" fontId="59" fillId="2" borderId="0" xfId="0" applyFont="1" applyFill="1" applyBorder="1" applyAlignment="1" applyProtection="1">
      <alignment horizontal="center" vertical="center" wrapText="1"/>
      <protection hidden="1"/>
    </xf>
    <xf numFmtId="0" fontId="64" fillId="2" borderId="0" xfId="0" applyFont="1" applyFill="1" applyBorder="1" applyAlignment="1" applyProtection="1">
      <alignment vertical="center" wrapText="1"/>
      <protection hidden="1"/>
    </xf>
    <xf numFmtId="0" fontId="66" fillId="2" borderId="0" xfId="0" applyFont="1" applyFill="1" applyBorder="1" applyAlignment="1" applyProtection="1">
      <alignment horizontal="center" vertical="center" wrapText="1"/>
      <protection hidden="1"/>
    </xf>
    <xf numFmtId="0" fontId="58" fillId="2" borderId="0" xfId="0" applyFont="1" applyFill="1" applyAlignment="1" applyProtection="1">
      <alignment horizontal="center" vertical="center" wrapText="1"/>
      <protection locked="0"/>
    </xf>
    <xf numFmtId="0" fontId="67" fillId="2" borderId="0" xfId="0" applyFont="1" applyFill="1" applyAlignment="1" applyProtection="1">
      <alignment horizontal="center" vertical="center" wrapText="1"/>
      <protection hidden="1"/>
    </xf>
    <xf numFmtId="0" fontId="67" fillId="2" borderId="0" xfId="0" applyFont="1" applyFill="1" applyAlignment="1" applyProtection="1">
      <alignment vertical="center" wrapText="1"/>
      <protection hidden="1"/>
    </xf>
    <xf numFmtId="0" fontId="68" fillId="2" borderId="0" xfId="0" applyFont="1" applyFill="1" applyAlignment="1" applyProtection="1">
      <alignment vertical="center" wrapText="1"/>
      <protection hidden="1"/>
    </xf>
    <xf numFmtId="0" fontId="67" fillId="2" borderId="0" xfId="0" applyFont="1" applyFill="1" applyBorder="1" applyAlignment="1" applyProtection="1">
      <alignment vertical="center" wrapText="1"/>
      <protection hidden="1"/>
    </xf>
    <xf numFmtId="0" fontId="69" fillId="2" borderId="0" xfId="0" applyFont="1" applyFill="1" applyBorder="1" applyAlignment="1" applyProtection="1">
      <alignment horizontal="center" vertical="center" wrapText="1"/>
      <protection locked="0"/>
    </xf>
    <xf numFmtId="0" fontId="62" fillId="6" borderId="5" xfId="0" applyFont="1" applyFill="1" applyBorder="1" applyAlignment="1" applyProtection="1">
      <alignment horizontal="center" vertical="center" wrapText="1"/>
      <protection hidden="1"/>
    </xf>
    <xf numFmtId="0" fontId="62" fillId="6" borderId="5" xfId="0" applyFont="1" applyFill="1" applyBorder="1" applyAlignment="1">
      <alignment horizontal="center" vertical="center" wrapText="1"/>
    </xf>
    <xf numFmtId="0" fontId="62" fillId="7" borderId="20" xfId="0" applyFont="1" applyFill="1" applyBorder="1" applyAlignment="1" applyProtection="1">
      <alignment horizontal="center" vertical="center" wrapText="1"/>
      <protection hidden="1"/>
    </xf>
    <xf numFmtId="0" fontId="62" fillId="7" borderId="20" xfId="0" applyFont="1" applyFill="1" applyBorder="1" applyAlignment="1">
      <alignment horizontal="center" vertical="center" wrapText="1"/>
    </xf>
    <xf numFmtId="14" fontId="18" fillId="3" borderId="14" xfId="0" applyNumberFormat="1" applyFont="1" applyFill="1" applyBorder="1" applyAlignment="1" applyProtection="1">
      <alignment horizontal="center" vertical="center" wrapText="1"/>
      <protection locked="0"/>
    </xf>
    <xf numFmtId="14" fontId="18" fillId="3" borderId="14" xfId="0" applyNumberFormat="1" applyFont="1" applyFill="1" applyBorder="1" applyAlignment="1" applyProtection="1">
      <alignment horizontal="center" vertical="center" wrapText="1"/>
      <protection hidden="1"/>
    </xf>
    <xf numFmtId="2" fontId="10" fillId="3" borderId="14" xfId="0" applyNumberFormat="1" applyFont="1" applyFill="1" applyBorder="1" applyAlignment="1" applyProtection="1">
      <alignment horizontal="center" vertical="center"/>
      <protection hidden="1"/>
    </xf>
    <xf numFmtId="0" fontId="62" fillId="3" borderId="14" xfId="0" applyFont="1" applyFill="1" applyBorder="1" applyAlignment="1" applyProtection="1">
      <alignment horizontal="center" vertical="center"/>
      <protection hidden="1"/>
    </xf>
    <xf numFmtId="1" fontId="77" fillId="3" borderId="14" xfId="0" applyNumberFormat="1" applyFont="1" applyFill="1" applyBorder="1" applyAlignment="1" applyProtection="1">
      <alignment horizontal="center" vertical="center"/>
      <protection hidden="1"/>
    </xf>
    <xf numFmtId="1" fontId="10" fillId="3" borderId="14" xfId="0" applyNumberFormat="1" applyFont="1" applyFill="1" applyBorder="1" applyAlignment="1" applyProtection="1">
      <alignment horizontal="right" vertical="center" wrapText="1"/>
      <protection hidden="1"/>
    </xf>
    <xf numFmtId="1" fontId="10" fillId="3" borderId="14" xfId="0" applyNumberFormat="1" applyFont="1" applyFill="1" applyBorder="1" applyAlignment="1" applyProtection="1">
      <alignment horizontal="center" vertical="center" wrapText="1"/>
      <protection locked="0"/>
    </xf>
    <xf numFmtId="1" fontId="62" fillId="3" borderId="6" xfId="0" applyNumberFormat="1" applyFont="1" applyFill="1" applyBorder="1" applyAlignment="1" applyProtection="1">
      <alignment horizontal="right" vertical="center"/>
      <protection hidden="1"/>
    </xf>
    <xf numFmtId="1" fontId="10" fillId="3" borderId="14" xfId="0" applyNumberFormat="1" applyFont="1" applyFill="1" applyBorder="1" applyAlignment="1" applyProtection="1">
      <alignment vertical="center" wrapText="1"/>
      <protection hidden="1"/>
    </xf>
    <xf numFmtId="1" fontId="62" fillId="3" borderId="14" xfId="0" applyNumberFormat="1" applyFont="1" applyFill="1" applyBorder="1" applyAlignment="1" applyProtection="1">
      <alignment vertical="center" wrapText="1"/>
      <protection hidden="1"/>
    </xf>
    <xf numFmtId="1" fontId="78" fillId="3" borderId="14" xfId="0" applyNumberFormat="1" applyFont="1" applyFill="1" applyBorder="1" applyAlignment="1" applyProtection="1">
      <alignment horizontal="right" vertical="center"/>
      <protection hidden="1"/>
    </xf>
    <xf numFmtId="1" fontId="77" fillId="3" borderId="14" xfId="0" applyNumberFormat="1" applyFont="1" applyFill="1" applyBorder="1" applyAlignment="1" applyProtection="1">
      <alignment horizontal="right" vertical="center"/>
      <protection hidden="1"/>
    </xf>
    <xf numFmtId="14" fontId="10" fillId="3" borderId="14" xfId="0" applyNumberFormat="1" applyFont="1" applyFill="1" applyBorder="1" applyAlignment="1" applyProtection="1">
      <alignment vertical="center" wrapText="1"/>
      <protection locked="0"/>
    </xf>
    <xf numFmtId="1" fontId="62" fillId="3" borderId="14" xfId="0" applyNumberFormat="1" applyFont="1" applyFill="1" applyBorder="1" applyAlignment="1" applyProtection="1">
      <alignment horizontal="center" vertical="center" wrapText="1"/>
      <protection hidden="1"/>
    </xf>
    <xf numFmtId="1" fontId="63" fillId="3" borderId="14" xfId="0" applyNumberFormat="1" applyFont="1" applyFill="1" applyBorder="1" applyAlignment="1" applyProtection="1">
      <alignment horizontal="center" vertical="center"/>
      <protection hidden="1"/>
    </xf>
    <xf numFmtId="1" fontId="63" fillId="3" borderId="14" xfId="0" applyNumberFormat="1" applyFont="1" applyFill="1" applyBorder="1" applyAlignment="1" applyProtection="1">
      <alignment horizontal="right" vertical="center" wrapText="1"/>
      <protection hidden="1"/>
    </xf>
    <xf numFmtId="1" fontId="62" fillId="3" borderId="14" xfId="0" applyNumberFormat="1" applyFont="1" applyFill="1" applyBorder="1" applyAlignment="1" applyProtection="1">
      <alignment horizontal="right" vertical="center"/>
      <protection hidden="1"/>
    </xf>
    <xf numFmtId="0" fontId="59" fillId="2" borderId="2" xfId="0" applyFont="1" applyFill="1" applyBorder="1" applyAlignment="1" applyProtection="1">
      <alignment horizontal="center" vertical="center" wrapText="1"/>
      <protection hidden="1"/>
    </xf>
    <xf numFmtId="2" fontId="10" fillId="2" borderId="1" xfId="0" applyNumberFormat="1" applyFont="1" applyFill="1" applyBorder="1" applyAlignment="1" applyProtection="1">
      <alignment horizontal="center" vertical="center"/>
      <protection hidden="1"/>
    </xf>
    <xf numFmtId="2" fontId="10" fillId="2" borderId="0" xfId="0" applyNumberFormat="1" applyFont="1" applyFill="1" applyBorder="1" applyAlignment="1" applyProtection="1">
      <alignment horizontal="center" vertical="center"/>
      <protection hidden="1"/>
    </xf>
    <xf numFmtId="1" fontId="77" fillId="2" borderId="0" xfId="0" applyNumberFormat="1" applyFont="1" applyFill="1" applyBorder="1" applyAlignment="1" applyProtection="1">
      <alignment horizontal="center" vertical="center"/>
      <protection hidden="1"/>
    </xf>
    <xf numFmtId="166" fontId="59" fillId="2" borderId="0" xfId="0" applyNumberFormat="1" applyFont="1" applyFill="1" applyAlignment="1" applyProtection="1">
      <alignment horizontal="right" vertical="center" wrapText="1"/>
      <protection hidden="1"/>
    </xf>
    <xf numFmtId="0" fontId="59" fillId="2" borderId="0" xfId="0" applyFont="1" applyFill="1" applyAlignment="1" applyProtection="1">
      <alignment horizontal="left" vertical="center" wrapText="1"/>
      <protection hidden="1"/>
    </xf>
    <xf numFmtId="1" fontId="62" fillId="2" borderId="0" xfId="0" applyNumberFormat="1" applyFont="1" applyFill="1" applyAlignment="1" applyProtection="1">
      <alignment horizontal="center" vertical="center" wrapText="1"/>
      <protection hidden="1"/>
    </xf>
    <xf numFmtId="1" fontId="62" fillId="2" borderId="0" xfId="0" applyNumberFormat="1" applyFont="1" applyFill="1" applyAlignment="1" applyProtection="1">
      <alignment horizontal="right" vertical="center" wrapText="1"/>
      <protection hidden="1"/>
    </xf>
    <xf numFmtId="0" fontId="59" fillId="2" borderId="0" xfId="0" applyFont="1" applyFill="1" applyAlignment="1" applyProtection="1">
      <alignment vertical="center" wrapText="1"/>
      <protection hidden="1"/>
    </xf>
    <xf numFmtId="0" fontId="0" fillId="2" borderId="0" xfId="0" applyFill="1" applyAlignment="1" applyProtection="1">
      <alignment vertical="center" wrapText="1"/>
      <protection hidden="1"/>
    </xf>
    <xf numFmtId="2" fontId="10" fillId="3" borderId="1" xfId="0" applyNumberFormat="1" applyFont="1" applyFill="1" applyBorder="1" applyAlignment="1" applyProtection="1">
      <alignment horizontal="center" vertical="center"/>
      <protection hidden="1"/>
    </xf>
    <xf numFmtId="1" fontId="77" fillId="3" borderId="1" xfId="0" applyNumberFormat="1" applyFont="1" applyFill="1" applyBorder="1" applyAlignment="1" applyProtection="1">
      <alignment horizontal="center" vertical="center"/>
      <protection hidden="1"/>
    </xf>
    <xf numFmtId="1" fontId="10" fillId="3" borderId="1" xfId="0" applyNumberFormat="1" applyFont="1" applyFill="1" applyBorder="1" applyAlignment="1" applyProtection="1">
      <alignment horizontal="right" vertical="center" wrapText="1"/>
      <protection hidden="1"/>
    </xf>
    <xf numFmtId="1" fontId="10" fillId="3" borderId="1" xfId="0" applyNumberFormat="1" applyFont="1" applyFill="1" applyBorder="1" applyAlignment="1" applyProtection="1">
      <alignment horizontal="center" vertical="center" wrapText="1"/>
      <protection locked="0"/>
    </xf>
    <xf numFmtId="1" fontId="62" fillId="3" borderId="1" xfId="0" applyNumberFormat="1" applyFont="1" applyFill="1" applyBorder="1" applyAlignment="1" applyProtection="1">
      <alignment horizontal="right" vertical="center"/>
      <protection hidden="1"/>
    </xf>
    <xf numFmtId="1" fontId="10" fillId="3" borderId="1" xfId="0" applyNumberFormat="1" applyFont="1" applyFill="1" applyBorder="1" applyAlignment="1" applyProtection="1">
      <alignment vertical="center" wrapText="1"/>
      <protection hidden="1"/>
    </xf>
    <xf numFmtId="1" fontId="62" fillId="3" borderId="1" xfId="0" applyNumberFormat="1" applyFont="1" applyFill="1" applyBorder="1" applyAlignment="1" applyProtection="1">
      <alignment vertical="center" wrapText="1"/>
      <protection hidden="1"/>
    </xf>
    <xf numFmtId="1" fontId="77" fillId="3" borderId="1" xfId="0" applyNumberFormat="1" applyFont="1" applyFill="1" applyBorder="1" applyAlignment="1" applyProtection="1">
      <alignment horizontal="right" vertical="center"/>
      <protection hidden="1"/>
    </xf>
    <xf numFmtId="0" fontId="62" fillId="3" borderId="1" xfId="0" applyNumberFormat="1" applyFont="1" applyFill="1" applyBorder="1" applyAlignment="1" applyProtection="1">
      <alignment horizontal="center" vertical="center"/>
      <protection hidden="1"/>
    </xf>
    <xf numFmtId="1" fontId="62" fillId="3" borderId="1" xfId="0" applyNumberFormat="1" applyFont="1" applyFill="1" applyBorder="1" applyAlignment="1" applyProtection="1">
      <alignment horizontal="center" vertical="center" wrapText="1"/>
      <protection hidden="1"/>
    </xf>
    <xf numFmtId="1" fontId="63" fillId="3" borderId="1" xfId="0" applyNumberFormat="1" applyFont="1" applyFill="1" applyBorder="1" applyAlignment="1" applyProtection="1">
      <alignment horizontal="center" vertical="center"/>
      <protection hidden="1"/>
    </xf>
    <xf numFmtId="9" fontId="59" fillId="2" borderId="0" xfId="0" applyNumberFormat="1" applyFont="1" applyFill="1" applyAlignment="1" applyProtection="1">
      <alignment horizontal="center" vertical="center" wrapText="1"/>
      <protection hidden="1"/>
    </xf>
    <xf numFmtId="0" fontId="0" fillId="2" borderId="0" xfId="0" applyFill="1"/>
    <xf numFmtId="1" fontId="10" fillId="3" borderId="14" xfId="0" applyNumberFormat="1" applyFont="1" applyFill="1" applyBorder="1" applyAlignment="1" applyProtection="1">
      <alignment horizontal="center" vertical="center"/>
      <protection hidden="1"/>
    </xf>
    <xf numFmtId="1" fontId="62" fillId="5" borderId="14" xfId="0" applyNumberFormat="1" applyFont="1" applyFill="1" applyBorder="1" applyAlignment="1" applyProtection="1">
      <alignment horizontal="center" vertical="center" wrapText="1"/>
      <protection locked="0"/>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center" vertical="center"/>
      <protection hidden="1"/>
    </xf>
    <xf numFmtId="1" fontId="80" fillId="3" borderId="1" xfId="0" applyNumberFormat="1" applyFont="1" applyFill="1" applyBorder="1" applyAlignment="1" applyProtection="1">
      <alignment horizontal="right" vertical="center" wrapText="1"/>
      <protection hidden="1"/>
    </xf>
    <xf numFmtId="1" fontId="80" fillId="3" borderId="14" xfId="0" applyNumberFormat="1" applyFont="1" applyFill="1" applyBorder="1" applyAlignment="1" applyProtection="1">
      <alignment horizontal="right" vertical="center" wrapText="1"/>
      <protection hidden="1"/>
    </xf>
    <xf numFmtId="1" fontId="80" fillId="3" borderId="1" xfId="0" applyNumberFormat="1" applyFont="1" applyFill="1" applyBorder="1" applyAlignment="1" applyProtection="1">
      <alignment horizontal="right" vertical="center"/>
      <protection hidden="1"/>
    </xf>
    <xf numFmtId="1" fontId="80" fillId="3" borderId="14" xfId="0" applyNumberFormat="1" applyFont="1" applyFill="1" applyBorder="1" applyAlignment="1" applyProtection="1">
      <alignment horizontal="right" vertical="center"/>
      <protection hidden="1"/>
    </xf>
    <xf numFmtId="0" fontId="54" fillId="0" borderId="1" xfId="0" applyFont="1" applyBorder="1" applyAlignment="1">
      <alignment horizontal="center" vertical="center" wrapText="1"/>
    </xf>
    <xf numFmtId="0" fontId="42" fillId="5" borderId="1" xfId="0" applyFont="1" applyFill="1" applyBorder="1" applyAlignment="1">
      <alignment horizontal="center" vertical="center"/>
    </xf>
    <xf numFmtId="0" fontId="0" fillId="0" borderId="1" xfId="0" applyBorder="1" applyAlignment="1">
      <alignment horizontal="center" vertical="center"/>
    </xf>
    <xf numFmtId="2" fontId="0" fillId="0" borderId="1" xfId="0" applyNumberFormat="1" applyBorder="1" applyAlignment="1">
      <alignment horizontal="center" vertical="center"/>
    </xf>
    <xf numFmtId="1" fontId="80" fillId="3" borderId="1" xfId="0" applyNumberFormat="1" applyFont="1" applyFill="1" applyBorder="1" applyAlignment="1" applyProtection="1">
      <alignment vertical="center" wrapText="1"/>
      <protection hidden="1"/>
    </xf>
    <xf numFmtId="1" fontId="80" fillId="3" borderId="14" xfId="0" applyNumberFormat="1" applyFont="1" applyFill="1" applyBorder="1" applyAlignment="1" applyProtection="1">
      <alignment vertical="center" wrapText="1"/>
      <protection hidden="1"/>
    </xf>
    <xf numFmtId="0" fontId="80" fillId="3" borderId="20" xfId="0" applyFont="1" applyFill="1" applyBorder="1" applyAlignment="1">
      <alignment horizontal="center" vertical="center" wrapText="1"/>
    </xf>
    <xf numFmtId="1" fontId="61" fillId="3" borderId="14" xfId="0" applyNumberFormat="1" applyFont="1" applyFill="1" applyBorder="1" applyAlignment="1" applyProtection="1">
      <alignment horizontal="right" vertical="center" wrapText="1"/>
      <protection hidden="1"/>
    </xf>
    <xf numFmtId="1" fontId="61" fillId="3" borderId="1" xfId="0" applyNumberFormat="1" applyFont="1" applyFill="1" applyBorder="1" applyAlignment="1" applyProtection="1">
      <alignment horizontal="right" vertical="center" wrapText="1"/>
      <protection hidden="1"/>
    </xf>
    <xf numFmtId="1" fontId="61" fillId="3" borderId="1" xfId="0" applyNumberFormat="1" applyFont="1" applyFill="1" applyBorder="1" applyAlignment="1" applyProtection="1">
      <alignment horizontal="center" vertical="center"/>
      <protection hidden="1"/>
    </xf>
    <xf numFmtId="1" fontId="80" fillId="3" borderId="14" xfId="0" applyNumberFormat="1" applyFont="1" applyFill="1" applyBorder="1" applyAlignment="1" applyProtection="1">
      <alignment horizontal="center" vertical="center"/>
      <protection hidden="1"/>
    </xf>
    <xf numFmtId="0" fontId="82" fillId="0" borderId="1" xfId="0" applyFont="1" applyBorder="1" applyAlignment="1" applyProtection="1">
      <alignment horizontal="center" vertical="center" wrapText="1"/>
      <protection hidden="1"/>
    </xf>
    <xf numFmtId="1" fontId="10" fillId="3" borderId="1" xfId="0" applyNumberFormat="1" applyFont="1" applyFill="1" applyBorder="1" applyAlignment="1" applyProtection="1">
      <alignment horizontal="center" vertical="center"/>
      <protection hidden="1"/>
    </xf>
    <xf numFmtId="1" fontId="80" fillId="3" borderId="1" xfId="0" applyNumberFormat="1" applyFont="1" applyFill="1" applyBorder="1" applyAlignment="1" applyProtection="1">
      <alignment horizontal="center" vertical="center"/>
      <protection hidden="1"/>
    </xf>
    <xf numFmtId="0" fontId="24" fillId="0" borderId="1" xfId="0" applyFont="1" applyBorder="1" applyAlignment="1" applyProtection="1">
      <alignment horizontal="right" vertical="center"/>
      <protection hidden="1"/>
    </xf>
    <xf numFmtId="0" fontId="49" fillId="0" borderId="1" xfId="0" applyFont="1" applyBorder="1" applyAlignment="1" applyProtection="1">
      <alignment vertical="center" wrapText="1"/>
      <protection locked="0"/>
    </xf>
    <xf numFmtId="0" fontId="47" fillId="8" borderId="0" xfId="0" applyFont="1" applyFill="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22" fillId="0" borderId="0" xfId="0" applyFont="1" applyAlignment="1" applyProtection="1">
      <alignment vertical="center"/>
      <protection hidden="1"/>
    </xf>
    <xf numFmtId="0" fontId="83" fillId="0" borderId="0" xfId="0" applyFont="1" applyAlignment="1" applyProtection="1">
      <alignment horizontal="right" vertical="center" wrapText="1"/>
      <protection hidden="1"/>
    </xf>
    <xf numFmtId="0" fontId="83" fillId="0" borderId="0" xfId="0" applyFont="1" applyAlignment="1" applyProtection="1">
      <alignment vertical="center" wrapText="1"/>
      <protection hidden="1"/>
    </xf>
    <xf numFmtId="0" fontId="83" fillId="0" borderId="0" xfId="0" applyFont="1" applyProtection="1">
      <protection hidden="1"/>
    </xf>
    <xf numFmtId="0" fontId="22" fillId="0" borderId="24" xfId="0" applyFont="1" applyBorder="1" applyAlignment="1" applyProtection="1">
      <alignment vertical="center" wrapText="1"/>
      <protection hidden="1"/>
    </xf>
    <xf numFmtId="0" fontId="83" fillId="0" borderId="0" xfId="0" applyFont="1" applyAlignment="1" applyProtection="1">
      <alignment horizontal="center" vertical="center"/>
      <protection hidden="1"/>
    </xf>
    <xf numFmtId="0" fontId="83" fillId="0" borderId="0" xfId="0" applyFont="1" applyAlignment="1" applyProtection="1">
      <alignment vertical="center"/>
      <protection hidden="1"/>
    </xf>
    <xf numFmtId="0" fontId="24" fillId="0" borderId="0" xfId="0" applyFont="1" applyAlignment="1" applyProtection="1">
      <alignment vertical="center" wrapText="1"/>
      <protection hidden="1"/>
    </xf>
    <xf numFmtId="0" fontId="25" fillId="0" borderId="0" xfId="0" applyFont="1" applyAlignment="1" applyProtection="1">
      <alignment vertical="center"/>
      <protection hidden="1"/>
    </xf>
    <xf numFmtId="0" fontId="84" fillId="0" borderId="0" xfId="0" applyFont="1" applyAlignment="1" applyProtection="1">
      <alignment vertical="center" wrapText="1"/>
      <protection hidden="1"/>
    </xf>
    <xf numFmtId="0" fontId="47" fillId="3" borderId="1" xfId="0" applyFont="1" applyFill="1" applyBorder="1" applyAlignment="1" applyProtection="1">
      <alignment vertical="center"/>
      <protection locked="0"/>
    </xf>
    <xf numFmtId="1" fontId="47" fillId="3" borderId="1" xfId="0" applyNumberFormat="1" applyFont="1" applyFill="1" applyBorder="1" applyAlignment="1" applyProtection="1">
      <alignment horizontal="right" vertical="center"/>
      <protection locked="0"/>
    </xf>
    <xf numFmtId="0" fontId="49" fillId="0" borderId="1" xfId="0" applyFont="1" applyBorder="1" applyAlignment="1" applyProtection="1">
      <alignment horizontal="center" vertical="center"/>
      <protection hidden="1"/>
    </xf>
    <xf numFmtId="0" fontId="47" fillId="10" borderId="1" xfId="0" applyFont="1" applyFill="1" applyBorder="1" applyAlignment="1" applyProtection="1">
      <alignment horizontal="center" vertical="center"/>
      <protection hidden="1"/>
    </xf>
    <xf numFmtId="0" fontId="47" fillId="0" borderId="0" xfId="0" applyFont="1" applyBorder="1" applyAlignment="1" applyProtection="1">
      <alignment vertical="center"/>
      <protection hidden="1"/>
    </xf>
    <xf numFmtId="0" fontId="47" fillId="3" borderId="0" xfId="0" applyFont="1" applyFill="1" applyBorder="1" applyAlignment="1" applyProtection="1">
      <alignment vertical="center"/>
      <protection hidden="1"/>
    </xf>
    <xf numFmtId="0" fontId="49" fillId="0" borderId="0" xfId="0" applyFont="1" applyAlignment="1" applyProtection="1">
      <alignment horizontal="left" vertical="center"/>
      <protection hidden="1"/>
    </xf>
    <xf numFmtId="0" fontId="47" fillId="0" borderId="0" xfId="0" applyFont="1" applyBorder="1" applyProtection="1">
      <protection hidden="1"/>
    </xf>
    <xf numFmtId="0" fontId="47" fillId="3" borderId="0" xfId="0" applyFont="1" applyFill="1" applyBorder="1" applyProtection="1">
      <protection hidden="1"/>
    </xf>
    <xf numFmtId="164" fontId="47" fillId="3" borderId="0" xfId="0" applyNumberFormat="1" applyFont="1" applyFill="1" applyBorder="1" applyAlignment="1" applyProtection="1">
      <alignment horizontal="center" vertical="center"/>
      <protection hidden="1"/>
    </xf>
    <xf numFmtId="164" fontId="47" fillId="0" borderId="0" xfId="0" applyNumberFormat="1" applyFont="1" applyBorder="1" applyAlignment="1" applyProtection="1">
      <alignment horizontal="center" vertical="center"/>
      <protection hidden="1"/>
    </xf>
    <xf numFmtId="0" fontId="47" fillId="10" borderId="1" xfId="0" applyFont="1" applyFill="1" applyBorder="1" applyProtection="1">
      <protection hidden="1"/>
    </xf>
    <xf numFmtId="0" fontId="47" fillId="0" borderId="1" xfId="0" applyFont="1" applyBorder="1" applyAlignment="1" applyProtection="1">
      <alignment vertical="center" wrapText="1"/>
      <protection hidden="1"/>
    </xf>
    <xf numFmtId="0" fontId="47" fillId="0" borderId="0" xfId="0" applyFont="1" applyBorder="1" applyAlignment="1" applyProtection="1">
      <alignment horizontal="left"/>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vertical="center" wrapText="1"/>
      <protection hidden="1"/>
    </xf>
    <xf numFmtId="0" fontId="47" fillId="0" borderId="1" xfId="0" applyFont="1" applyBorder="1" applyAlignment="1" applyProtection="1">
      <alignment horizontal="center" vertical="center" wrapText="1"/>
      <protection hidden="1"/>
    </xf>
    <xf numFmtId="0" fontId="47" fillId="0" borderId="0" xfId="0" applyFont="1" applyBorder="1" applyAlignment="1" applyProtection="1">
      <alignment horizontal="center" vertical="center" wrapText="1"/>
      <protection hidden="1"/>
    </xf>
    <xf numFmtId="0" fontId="47" fillId="0" borderId="0" xfId="0" applyFont="1" applyBorder="1" applyAlignment="1" applyProtection="1">
      <alignment horizontal="left" vertical="center" wrapText="1"/>
      <protection hidden="1"/>
    </xf>
    <xf numFmtId="0" fontId="47" fillId="3" borderId="0" xfId="0" applyFont="1" applyFill="1" applyBorder="1" applyAlignment="1" applyProtection="1">
      <alignment horizontal="center" vertical="center"/>
      <protection hidden="1"/>
    </xf>
    <xf numFmtId="0" fontId="90" fillId="8" borderId="0" xfId="0" applyFont="1" applyFill="1" applyAlignment="1">
      <alignment horizontal="center" vertical="center"/>
    </xf>
    <xf numFmtId="0" fontId="47" fillId="3" borderId="0"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wrapText="1"/>
      <protection hidden="1"/>
    </xf>
    <xf numFmtId="0" fontId="47" fillId="8" borderId="0" xfId="0" applyFont="1" applyFill="1" applyBorder="1" applyAlignment="1" applyProtection="1">
      <alignment vertical="center" wrapText="1"/>
      <protection hidden="1"/>
    </xf>
    <xf numFmtId="0" fontId="47" fillId="2" borderId="0" xfId="0" applyFont="1" applyFill="1" applyBorder="1" applyAlignment="1" applyProtection="1">
      <alignment horizontal="center" vertical="center"/>
      <protection hidden="1"/>
    </xf>
    <xf numFmtId="0" fontId="47" fillId="8" borderId="0" xfId="0" applyFont="1" applyFill="1" applyBorder="1" applyAlignment="1" applyProtection="1">
      <alignment horizontal="left" vertical="center" wrapText="1"/>
      <protection hidden="1"/>
    </xf>
    <xf numFmtId="0" fontId="47" fillId="2" borderId="0" xfId="0" applyFont="1" applyFill="1" applyBorder="1" applyAlignment="1" applyProtection="1">
      <alignment horizontal="left" vertical="center" wrapText="1"/>
      <protection hidden="1"/>
    </xf>
    <xf numFmtId="0" fontId="47" fillId="0" borderId="0" xfId="0" applyFont="1" applyBorder="1" applyAlignment="1" applyProtection="1">
      <alignment horizontal="left" vertical="center"/>
      <protection hidden="1"/>
    </xf>
    <xf numFmtId="0" fontId="47" fillId="2" borderId="0" xfId="0" applyFont="1" applyFill="1" applyBorder="1" applyAlignment="1" applyProtection="1">
      <alignment vertical="center" wrapText="1"/>
      <protection hidden="1"/>
    </xf>
    <xf numFmtId="0" fontId="47" fillId="0" borderId="0" xfId="0" applyFont="1" applyProtection="1">
      <protection hidden="1"/>
    </xf>
    <xf numFmtId="0" fontId="47" fillId="3" borderId="1" xfId="0" applyFont="1" applyFill="1" applyBorder="1" applyAlignment="1" applyProtection="1">
      <alignment horizontal="left" vertical="center"/>
      <protection locked="0"/>
    </xf>
    <xf numFmtId="0" fontId="88" fillId="3" borderId="1" xfId="0" applyFont="1" applyFill="1" applyBorder="1" applyAlignment="1" applyProtection="1">
      <alignment horizontal="right" vertical="center" wrapText="1"/>
      <protection locked="0"/>
    </xf>
    <xf numFmtId="0" fontId="47" fillId="10" borderId="1"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protection hidden="1"/>
    </xf>
    <xf numFmtId="14" fontId="47" fillId="3" borderId="1" xfId="0" applyNumberFormat="1" applyFont="1" applyFill="1" applyBorder="1" applyAlignment="1" applyProtection="1">
      <alignment horizontal="center" vertical="center"/>
      <protection locked="0"/>
    </xf>
    <xf numFmtId="0" fontId="47" fillId="10" borderId="1" xfId="0" applyFont="1" applyFill="1" applyBorder="1" applyAlignment="1" applyProtection="1">
      <alignment horizontal="center" vertical="center" wrapText="1"/>
      <protection hidden="1"/>
    </xf>
    <xf numFmtId="0" fontId="94" fillId="10" borderId="1" xfId="0" applyFont="1" applyFill="1" applyBorder="1" applyAlignment="1" applyProtection="1">
      <alignment horizontal="center" vertical="center" wrapText="1"/>
      <protection hidden="1"/>
    </xf>
    <xf numFmtId="0" fontId="95" fillId="10" borderId="3" xfId="0" applyFont="1" applyFill="1" applyBorder="1" applyAlignment="1" applyProtection="1">
      <alignment horizontal="center" vertical="center" wrapText="1"/>
      <protection hidden="1"/>
    </xf>
    <xf numFmtId="0" fontId="96" fillId="10" borderId="1" xfId="0" applyFont="1" applyFill="1" applyBorder="1" applyAlignment="1" applyProtection="1">
      <alignment horizontal="center" vertical="center" wrapText="1"/>
      <protection hidden="1"/>
    </xf>
    <xf numFmtId="0" fontId="94" fillId="10" borderId="1" xfId="0" applyFont="1" applyFill="1" applyBorder="1" applyAlignment="1" applyProtection="1">
      <alignment horizontal="center" vertical="center"/>
      <protection hidden="1"/>
    </xf>
    <xf numFmtId="0" fontId="94" fillId="10" borderId="1" xfId="0" applyFont="1" applyFill="1" applyBorder="1" applyAlignment="1" applyProtection="1">
      <alignment horizontal="left" vertical="center" indent="6"/>
      <protection hidden="1"/>
    </xf>
    <xf numFmtId="0" fontId="94" fillId="10" borderId="1" xfId="0" applyFont="1" applyFill="1" applyBorder="1" applyAlignment="1" applyProtection="1">
      <alignment horizontal="left" vertical="center"/>
      <protection hidden="1"/>
    </xf>
    <xf numFmtId="0" fontId="97" fillId="10" borderId="1" xfId="0" applyFont="1" applyFill="1" applyBorder="1" applyAlignment="1" applyProtection="1">
      <alignment horizontal="center" vertical="center" wrapText="1"/>
      <protection hidden="1"/>
    </xf>
    <xf numFmtId="0" fontId="24" fillId="3" borderId="1" xfId="0" applyFont="1" applyFill="1" applyBorder="1" applyAlignment="1" applyProtection="1">
      <alignment vertical="center" wrapText="1"/>
      <protection locked="0"/>
    </xf>
    <xf numFmtId="0" fontId="47" fillId="3" borderId="1" xfId="0" applyFont="1" applyFill="1" applyBorder="1" applyAlignment="1" applyProtection="1">
      <alignment vertical="center" wrapText="1"/>
      <protection locked="0"/>
    </xf>
    <xf numFmtId="0" fontId="47" fillId="3" borderId="3" xfId="0" applyFont="1" applyFill="1" applyBorder="1" applyAlignment="1" applyProtection="1">
      <alignment vertical="center" wrapText="1"/>
      <protection locked="0"/>
    </xf>
    <xf numFmtId="14" fontId="47" fillId="3" borderId="1" xfId="0" applyNumberFormat="1" applyFont="1" applyFill="1" applyBorder="1" applyAlignment="1" applyProtection="1">
      <alignment horizontal="center" vertical="center" wrapText="1"/>
      <protection locked="0"/>
    </xf>
    <xf numFmtId="0" fontId="47" fillId="3" borderId="1" xfId="0" applyFont="1" applyFill="1" applyBorder="1" applyAlignment="1" applyProtection="1">
      <alignment horizontal="center" vertical="center"/>
      <protection locked="0"/>
    </xf>
    <xf numFmtId="0" fontId="47" fillId="3" borderId="1" xfId="0" applyFont="1" applyFill="1" applyBorder="1" applyAlignment="1" applyProtection="1">
      <alignment horizontal="right" vertical="center"/>
      <protection locked="0"/>
    </xf>
    <xf numFmtId="0" fontId="47" fillId="3" borderId="1" xfId="0" applyFont="1" applyFill="1" applyBorder="1" applyAlignment="1" applyProtection="1">
      <alignment horizontal="left" vertical="center" wrapText="1"/>
      <protection locked="0"/>
    </xf>
    <xf numFmtId="0" fontId="47" fillId="0" borderId="0" xfId="0" applyFont="1" applyAlignment="1" applyProtection="1">
      <alignment horizontal="left" vertical="center"/>
      <protection hidden="1"/>
    </xf>
    <xf numFmtId="0" fontId="47" fillId="0" borderId="0" xfId="0" applyFont="1" applyBorder="1" applyAlignment="1" applyProtection="1">
      <alignment vertical="center"/>
      <protection locked="0"/>
    </xf>
    <xf numFmtId="0" fontId="47" fillId="2" borderId="0" xfId="0" applyFont="1" applyFill="1" applyBorder="1" applyAlignment="1" applyProtection="1">
      <alignment vertical="center"/>
      <protection locked="0"/>
    </xf>
    <xf numFmtId="0" fontId="98" fillId="0" borderId="1" xfId="0" applyFont="1" applyFill="1" applyBorder="1" applyAlignment="1" applyProtection="1">
      <alignment horizontal="center" vertical="center"/>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47" fillId="0" borderId="0" xfId="0" applyFont="1" applyBorder="1" applyAlignment="1" applyProtection="1">
      <alignment horizontal="left" vertical="center" wrapText="1"/>
      <protection hidden="1"/>
    </xf>
    <xf numFmtId="0" fontId="47" fillId="0" borderId="0" xfId="0" applyFont="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1" fillId="0" borderId="1" xfId="0" applyFont="1" applyBorder="1" applyAlignment="1" applyProtection="1">
      <alignment horizontal="center" vertical="center"/>
      <protection hidden="1"/>
    </xf>
    <xf numFmtId="0" fontId="0" fillId="0" borderId="0" xfId="0" applyAlignment="1" applyProtection="1">
      <alignment horizontal="center"/>
      <protection hidden="1"/>
    </xf>
    <xf numFmtId="0" fontId="0" fillId="0" borderId="0" xfId="0" applyAlignment="1" applyProtection="1">
      <alignment horizontal="left" vertical="center" wrapText="1"/>
      <protection hidden="1"/>
    </xf>
    <xf numFmtId="0" fontId="0" fillId="0" borderId="0" xfId="0" applyAlignment="1" applyProtection="1">
      <alignment horizontal="center" wrapText="1"/>
      <protection hidden="1"/>
    </xf>
    <xf numFmtId="0" fontId="22" fillId="0" borderId="1"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0" fontId="83" fillId="0" borderId="0" xfId="0" applyFont="1" applyAlignment="1" applyProtection="1">
      <alignment horizontal="center" vertical="center" wrapText="1"/>
      <protection hidden="1"/>
    </xf>
    <xf numFmtId="0" fontId="24" fillId="0" borderId="0" xfId="0" applyFont="1" applyAlignment="1" applyProtection="1">
      <alignment horizontal="center" vertical="center" wrapText="1"/>
      <protection hidden="1"/>
    </xf>
    <xf numFmtId="0" fontId="83" fillId="0" borderId="0" xfId="0" applyFont="1" applyAlignment="1" applyProtection="1">
      <alignment horizontal="left" vertical="center" wrapText="1"/>
      <protection hidden="1"/>
    </xf>
    <xf numFmtId="0" fontId="22" fillId="0" borderId="0" xfId="0" applyFont="1" applyAlignment="1" applyProtection="1">
      <alignment horizontal="center" vertical="center" wrapText="1"/>
      <protection hidden="1"/>
    </xf>
    <xf numFmtId="0" fontId="8" fillId="0" borderId="1" xfId="0" applyFont="1" applyBorder="1" applyAlignment="1" applyProtection="1">
      <alignment horizontal="left" vertical="center" wrapText="1"/>
      <protection hidden="1"/>
    </xf>
    <xf numFmtId="0" fontId="8" fillId="0" borderId="1" xfId="0" applyFont="1" applyBorder="1" applyAlignment="1" applyProtection="1">
      <alignment horizontal="center" vertical="center"/>
      <protection hidden="1"/>
    </xf>
    <xf numFmtId="0" fontId="55" fillId="0" borderId="1" xfId="0" applyFont="1" applyBorder="1" applyAlignment="1" applyProtection="1">
      <alignment horizontal="left" vertical="center"/>
      <protection hidden="1"/>
    </xf>
    <xf numFmtId="0" fontId="8" fillId="0" borderId="1" xfId="0" applyFont="1" applyBorder="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5" xfId="0" applyFont="1" applyBorder="1" applyAlignment="1" applyProtection="1">
      <alignment horizontal="left" vertical="center" wrapText="1"/>
      <protection hidden="1"/>
    </xf>
    <xf numFmtId="0" fontId="22" fillId="0" borderId="1" xfId="0" applyFont="1" applyBorder="1" applyAlignment="1" applyProtection="1">
      <alignment horizontal="center" vertical="center" wrapText="1"/>
      <protection hidden="1"/>
    </xf>
    <xf numFmtId="0" fontId="44" fillId="0" borderId="0" xfId="0" applyFont="1" applyAlignment="1" applyProtection="1">
      <alignment horizontal="center" vertical="center" wrapText="1"/>
      <protection hidden="1"/>
    </xf>
    <xf numFmtId="1" fontId="24" fillId="0" borderId="1" xfId="0" applyNumberFormat="1"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0" fontId="24" fillId="0" borderId="3" xfId="0" applyFont="1" applyBorder="1" applyAlignment="1" applyProtection="1">
      <alignment vertical="center"/>
      <protection hidden="1"/>
    </xf>
    <xf numFmtId="0" fontId="40"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center" vertical="center" wrapText="1"/>
      <protection hidden="1"/>
    </xf>
    <xf numFmtId="0" fontId="24" fillId="0" borderId="1" xfId="0" applyFont="1" applyBorder="1" applyAlignment="1" applyProtection="1">
      <alignment horizontal="center" vertical="center" wrapText="1"/>
      <protection hidden="1"/>
    </xf>
    <xf numFmtId="14" fontId="13" fillId="0" borderId="0" xfId="0" applyNumberFormat="1" applyFont="1" applyAlignment="1" applyProtection="1">
      <alignment horizontal="left" vertical="center" wrapText="1"/>
      <protection hidden="1"/>
    </xf>
    <xf numFmtId="0" fontId="22" fillId="0" borderId="0" xfId="0" applyFont="1" applyAlignment="1" applyProtection="1">
      <alignment horizontal="justify" vertical="justify" wrapText="1"/>
      <protection hidden="1"/>
    </xf>
    <xf numFmtId="49" fontId="28" fillId="0" borderId="0" xfId="0" applyNumberFormat="1" applyFont="1" applyBorder="1" applyAlignment="1" applyProtection="1">
      <alignment vertical="top" wrapText="1"/>
      <protection hidden="1"/>
    </xf>
    <xf numFmtId="0" fontId="83" fillId="0" borderId="1" xfId="0" applyFont="1" applyBorder="1" applyAlignment="1" applyProtection="1">
      <alignment horizontal="center" vertical="center" wrapText="1"/>
      <protection hidden="1"/>
    </xf>
    <xf numFmtId="0" fontId="7" fillId="0" borderId="1" xfId="0" applyFont="1" applyBorder="1" applyAlignment="1" applyProtection="1">
      <alignment horizontal="center" vertical="center"/>
      <protection hidden="1"/>
    </xf>
    <xf numFmtId="0" fontId="24" fillId="0" borderId="4" xfId="0" applyFont="1" applyBorder="1" applyAlignment="1" applyProtection="1">
      <alignment vertical="center"/>
      <protection hidden="1"/>
    </xf>
    <xf numFmtId="0" fontId="8" fillId="0" borderId="1" xfId="0" applyFont="1" applyBorder="1" applyAlignment="1" applyProtection="1">
      <alignment horizontal="left" vertical="center"/>
      <protection hidden="1"/>
    </xf>
    <xf numFmtId="0" fontId="8" fillId="0" borderId="5" xfId="0" applyFont="1" applyBorder="1" applyAlignment="1" applyProtection="1">
      <alignment horizontal="left" vertical="center"/>
      <protection hidden="1"/>
    </xf>
    <xf numFmtId="0" fontId="55" fillId="2" borderId="1" xfId="0" applyFont="1" applyFill="1" applyBorder="1" applyAlignment="1" applyProtection="1">
      <alignment horizontal="left" vertical="center" wrapText="1"/>
      <protection hidden="1"/>
    </xf>
    <xf numFmtId="0" fontId="101" fillId="0" borderId="1" xfId="0" applyFont="1" applyBorder="1" applyAlignment="1" applyProtection="1">
      <alignment horizontal="center" vertical="center"/>
      <protection hidden="1"/>
    </xf>
    <xf numFmtId="0" fontId="38" fillId="0" borderId="31" xfId="0" applyFont="1" applyBorder="1" applyAlignment="1" applyProtection="1">
      <alignment horizontal="center" vertical="center"/>
      <protection hidden="1"/>
    </xf>
    <xf numFmtId="0" fontId="38" fillId="0" borderId="18" xfId="0" applyFont="1" applyBorder="1" applyAlignment="1" applyProtection="1">
      <alignment vertical="center"/>
      <protection hidden="1"/>
    </xf>
    <xf numFmtId="0" fontId="101" fillId="0" borderId="20" xfId="0" applyFont="1" applyBorder="1" applyAlignment="1" applyProtection="1">
      <alignment horizontal="center" vertical="center"/>
      <protection hidden="1"/>
    </xf>
    <xf numFmtId="0" fontId="102" fillId="0" borderId="20" xfId="0" applyFont="1" applyBorder="1" applyAlignment="1" applyProtection="1">
      <alignment vertical="center" wrapText="1"/>
      <protection locked="0"/>
    </xf>
    <xf numFmtId="0" fontId="102" fillId="0" borderId="21" xfId="0" applyFont="1" applyBorder="1" applyAlignment="1" applyProtection="1">
      <alignment vertical="center" wrapText="1"/>
      <protection locked="0"/>
    </xf>
    <xf numFmtId="0" fontId="101" fillId="0" borderId="1" xfId="0" applyFont="1" applyBorder="1" applyAlignment="1" applyProtection="1">
      <alignment vertical="center"/>
      <protection hidden="1"/>
    </xf>
    <xf numFmtId="0" fontId="102" fillId="0" borderId="1" xfId="0" applyFont="1" applyBorder="1" applyAlignment="1" applyProtection="1">
      <alignment horizontal="center" vertical="center"/>
      <protection locked="0"/>
    </xf>
    <xf numFmtId="14" fontId="102" fillId="0" borderId="1" xfId="0" applyNumberFormat="1" applyFont="1" applyBorder="1" applyAlignment="1" applyProtection="1">
      <alignment horizontal="center" vertical="center"/>
      <protection locked="0"/>
    </xf>
    <xf numFmtId="0" fontId="102" fillId="0" borderId="33" xfId="0" applyFont="1" applyBorder="1" applyAlignment="1" applyProtection="1">
      <alignment horizontal="center" vertical="center"/>
      <protection locked="0"/>
    </xf>
    <xf numFmtId="14" fontId="102" fillId="0" borderId="33" xfId="0" applyNumberFormat="1" applyFont="1" applyBorder="1" applyAlignment="1" applyProtection="1">
      <alignment horizontal="center" vertical="center"/>
      <protection locked="0"/>
    </xf>
    <xf numFmtId="1" fontId="47" fillId="3" borderId="1" xfId="0" applyNumberFormat="1" applyFont="1" applyFill="1" applyBorder="1" applyAlignment="1" applyProtection="1">
      <alignment horizontal="center" vertical="center"/>
      <protection locked="0"/>
    </xf>
    <xf numFmtId="14" fontId="47" fillId="0" borderId="0" xfId="0" applyNumberFormat="1" applyFont="1" applyBorder="1" applyAlignment="1" applyProtection="1">
      <alignment vertical="center"/>
      <protection hidden="1"/>
    </xf>
    <xf numFmtId="0" fontId="47" fillId="8" borderId="0" xfId="0" applyFont="1" applyFill="1" applyBorder="1" applyAlignment="1" applyProtection="1">
      <alignment vertical="center"/>
      <protection hidden="1"/>
    </xf>
    <xf numFmtId="0" fontId="47" fillId="2" borderId="0" xfId="0" applyFont="1" applyFill="1" applyBorder="1" applyAlignment="1" applyProtection="1">
      <alignment horizontal="left" vertical="center"/>
      <protection hidden="1"/>
    </xf>
    <xf numFmtId="0" fontId="47" fillId="8" borderId="0" xfId="0" applyFont="1" applyFill="1" applyBorder="1" applyAlignment="1" applyProtection="1">
      <alignment horizontal="left" vertical="center"/>
      <protection hidden="1"/>
    </xf>
    <xf numFmtId="0" fontId="47" fillId="0" borderId="0" xfId="0" applyFont="1" applyAlignment="1" applyProtection="1">
      <alignment vertical="center"/>
      <protection hidden="1"/>
    </xf>
    <xf numFmtId="0" fontId="21" fillId="0" borderId="1" xfId="0" applyFont="1" applyBorder="1" applyAlignment="1" applyProtection="1">
      <alignment horizontal="center" vertical="center"/>
      <protection hidden="1"/>
    </xf>
    <xf numFmtId="0" fontId="4" fillId="0" borderId="5" xfId="0" applyFont="1" applyBorder="1" applyAlignment="1" applyProtection="1">
      <alignment horizontal="center" vertical="center"/>
      <protection hidden="1"/>
    </xf>
    <xf numFmtId="0" fontId="4" fillId="0" borderId="0" xfId="0" applyFont="1" applyBorder="1" applyAlignment="1" applyProtection="1">
      <alignment horizontal="left"/>
      <protection hidden="1"/>
    </xf>
    <xf numFmtId="0" fontId="4" fillId="0" borderId="0" xfId="0" applyFont="1" applyBorder="1" applyAlignment="1" applyProtection="1">
      <alignment horizontal="center" vertical="center"/>
      <protection hidden="1"/>
    </xf>
    <xf numFmtId="0" fontId="4" fillId="0" borderId="12" xfId="0" applyFont="1" applyBorder="1" applyAlignment="1" applyProtection="1">
      <alignment horizontal="center" vertical="center"/>
      <protection hidden="1"/>
    </xf>
    <xf numFmtId="0" fontId="4" fillId="0" borderId="0" xfId="0" applyFont="1" applyAlignment="1" applyProtection="1">
      <alignment horizontal="center" vertical="center"/>
      <protection hidden="1"/>
    </xf>
    <xf numFmtId="0" fontId="4" fillId="0" borderId="2" xfId="0" applyFont="1" applyBorder="1" applyAlignment="1" applyProtection="1">
      <alignment horizontal="center" vertical="center"/>
      <protection hidden="1"/>
    </xf>
    <xf numFmtId="0" fontId="4" fillId="2" borderId="1" xfId="0" applyFont="1" applyFill="1" applyBorder="1" applyAlignment="1" applyProtection="1">
      <alignment horizontal="center" vertical="center"/>
      <protection hidden="1"/>
    </xf>
    <xf numFmtId="0" fontId="4" fillId="0" borderId="1" xfId="0" applyFont="1" applyBorder="1" applyAlignment="1" applyProtection="1">
      <alignment horizontal="center" vertical="center" wrapText="1"/>
      <protection hidden="1"/>
    </xf>
    <xf numFmtId="16" fontId="4" fillId="0" borderId="1" xfId="0" applyNumberFormat="1" applyFont="1" applyBorder="1" applyAlignment="1" applyProtection="1">
      <alignment horizontal="center" vertical="center"/>
      <protection hidden="1"/>
    </xf>
    <xf numFmtId="0" fontId="21" fillId="0" borderId="0" xfId="0" applyFont="1" applyAlignment="1" applyProtection="1">
      <alignment horizontal="center" vertical="center"/>
      <protection hidden="1"/>
    </xf>
    <xf numFmtId="0" fontId="63" fillId="2" borderId="0" xfId="0" applyFont="1" applyFill="1" applyAlignment="1" applyProtection="1">
      <alignment horizontal="left" vertical="center" wrapText="1"/>
      <protection hidden="1"/>
    </xf>
    <xf numFmtId="0" fontId="21" fillId="2" borderId="0" xfId="0" applyFont="1" applyFill="1" applyAlignment="1" applyProtection="1">
      <alignment horizontal="left"/>
      <protection hidden="1"/>
    </xf>
    <xf numFmtId="0" fontId="21" fillId="2" borderId="12" xfId="0" applyFont="1" applyFill="1" applyBorder="1" applyAlignment="1" applyProtection="1">
      <alignment horizontal="center" vertical="center"/>
      <protection hidden="1"/>
    </xf>
    <xf numFmtId="0" fontId="21" fillId="2" borderId="4" xfId="0" applyFont="1" applyFill="1" applyBorder="1" applyAlignment="1" applyProtection="1">
      <alignment horizontal="center" vertical="center"/>
      <protection hidden="1"/>
    </xf>
    <xf numFmtId="0" fontId="14" fillId="0" borderId="1" xfId="0" applyFont="1" applyBorder="1" applyAlignment="1" applyProtection="1">
      <alignment horizontal="center" vertical="center" wrapText="1"/>
      <protection hidden="1"/>
    </xf>
    <xf numFmtId="14" fontId="47" fillId="8" borderId="0" xfId="0" applyNumberFormat="1" applyFont="1" applyFill="1" applyBorder="1" applyAlignment="1" applyProtection="1">
      <alignment vertical="center"/>
      <protection hidden="1"/>
    </xf>
    <xf numFmtId="0" fontId="47" fillId="2" borderId="0" xfId="0" applyFont="1" applyFill="1" applyBorder="1" applyAlignment="1" applyProtection="1">
      <alignment vertical="center"/>
      <protection hidden="1"/>
    </xf>
    <xf numFmtId="14" fontId="47" fillId="2" borderId="0" xfId="0" applyNumberFormat="1" applyFont="1" applyFill="1" applyBorder="1" applyAlignment="1" applyProtection="1">
      <alignment vertical="center"/>
      <protection hidden="1"/>
    </xf>
    <xf numFmtId="14" fontId="47" fillId="8" borderId="0" xfId="0" applyNumberFormat="1" applyFont="1" applyFill="1" applyBorder="1" applyAlignment="1" applyProtection="1">
      <alignment horizontal="center" vertical="center"/>
      <protection hidden="1"/>
    </xf>
    <xf numFmtId="1" fontId="47" fillId="8" borderId="0" xfId="0" applyNumberFormat="1" applyFont="1" applyFill="1" applyBorder="1" applyAlignment="1" applyProtection="1">
      <alignment vertical="center"/>
      <protection hidden="1"/>
    </xf>
    <xf numFmtId="164" fontId="47" fillId="8" borderId="0" xfId="0" applyNumberFormat="1" applyFont="1" applyFill="1" applyBorder="1" applyAlignment="1" applyProtection="1">
      <alignment vertical="center"/>
      <protection hidden="1"/>
    </xf>
    <xf numFmtId="0" fontId="4" fillId="0" borderId="5" xfId="0" applyFont="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14" fontId="47" fillId="13" borderId="1" xfId="0" applyNumberFormat="1" applyFont="1" applyFill="1" applyBorder="1" applyAlignment="1" applyProtection="1">
      <alignment horizontal="center" vertical="center"/>
      <protection locked="0" hidden="1"/>
    </xf>
    <xf numFmtId="14" fontId="47" fillId="3" borderId="1" xfId="0" applyNumberFormat="1" applyFont="1" applyFill="1" applyBorder="1" applyAlignment="1" applyProtection="1">
      <alignment horizontal="center" vertical="center"/>
      <protection locked="0" hidden="1"/>
    </xf>
    <xf numFmtId="3" fontId="60" fillId="0" borderId="1" xfId="0" applyNumberFormat="1" applyFont="1" applyBorder="1" applyAlignment="1" applyProtection="1">
      <alignment horizontal="right" vertical="center"/>
      <protection hidden="1"/>
    </xf>
    <xf numFmtId="3" fontId="47" fillId="0" borderId="1" xfId="0" applyNumberFormat="1" applyFont="1" applyBorder="1" applyAlignment="1" applyProtection="1">
      <alignment vertical="center"/>
      <protection hidden="1"/>
    </xf>
    <xf numFmtId="0" fontId="55" fillId="0" borderId="1" xfId="0" applyFont="1" applyBorder="1" applyAlignment="1" applyProtection="1">
      <alignment horizontal="center" vertical="center"/>
      <protection hidden="1"/>
    </xf>
    <xf numFmtId="167" fontId="55" fillId="0" borderId="1" xfId="0" applyNumberFormat="1" applyFont="1" applyBorder="1" applyAlignment="1" applyProtection="1">
      <alignment horizontal="center" vertical="center"/>
      <protection hidden="1"/>
    </xf>
    <xf numFmtId="0" fontId="55" fillId="0" borderId="1" xfId="0" applyFont="1" applyBorder="1" applyAlignment="1" applyProtection="1">
      <alignment horizontal="left" vertical="center"/>
      <protection hidden="1"/>
    </xf>
    <xf numFmtId="0" fontId="38" fillId="0" borderId="32" xfId="0" applyFont="1" applyBorder="1" applyAlignment="1" applyProtection="1">
      <alignment horizontal="center" vertical="center"/>
      <protection hidden="1"/>
    </xf>
    <xf numFmtId="167" fontId="47" fillId="11" borderId="1" xfId="0" applyNumberFormat="1" applyFont="1" applyFill="1" applyBorder="1" applyAlignment="1" applyProtection="1">
      <alignment vertical="center"/>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24" fillId="0" borderId="1" xfId="0" applyFont="1" applyBorder="1" applyAlignment="1" applyProtection="1">
      <alignment horizontal="left" vertical="center" wrapText="1"/>
      <protection hidden="1"/>
    </xf>
    <xf numFmtId="167" fontId="55" fillId="0" borderId="1" xfId="0" applyNumberFormat="1" applyFont="1" applyBorder="1" applyAlignment="1" applyProtection="1">
      <alignment horizontal="center" vertical="center"/>
      <protection hidden="1"/>
    </xf>
    <xf numFmtId="0" fontId="8" fillId="0" borderId="0" xfId="0" applyFont="1" applyBorder="1" applyAlignment="1" applyProtection="1">
      <alignment vertical="center" wrapText="1"/>
      <protection hidden="1"/>
    </xf>
    <xf numFmtId="0" fontId="8" fillId="0" borderId="5" xfId="0" applyFont="1" applyBorder="1" applyAlignment="1" applyProtection="1">
      <alignment vertical="center" wrapText="1"/>
      <protection hidden="1"/>
    </xf>
    <xf numFmtId="14" fontId="8" fillId="0" borderId="5" xfId="0" applyNumberFormat="1" applyFont="1" applyBorder="1" applyAlignment="1" applyProtection="1">
      <alignment horizontal="left" vertical="center" wrapText="1"/>
      <protection hidden="1"/>
    </xf>
    <xf numFmtId="0" fontId="8" fillId="0" borderId="15" xfId="0" applyFont="1" applyBorder="1" applyAlignment="1" applyProtection="1">
      <alignment horizontal="right" vertical="center" wrapText="1"/>
      <protection hidden="1"/>
    </xf>
    <xf numFmtId="0" fontId="8" fillId="0" borderId="13" xfId="0" applyFont="1" applyBorder="1" applyAlignment="1" applyProtection="1">
      <alignment vertical="center" wrapText="1"/>
      <protection hidden="1"/>
    </xf>
    <xf numFmtId="0" fontId="8" fillId="0" borderId="10" xfId="0" applyFont="1" applyBorder="1" applyAlignment="1" applyProtection="1">
      <alignment horizontal="right" vertical="center" wrapText="1"/>
      <protection hidden="1"/>
    </xf>
    <xf numFmtId="167" fontId="8" fillId="0" borderId="8" xfId="0" applyNumberFormat="1" applyFont="1" applyBorder="1" applyAlignment="1" applyProtection="1">
      <alignment horizontal="left" vertical="center" wrapText="1"/>
      <protection hidden="1"/>
    </xf>
    <xf numFmtId="0" fontId="85" fillId="0" borderId="1" xfId="0" applyFont="1" applyBorder="1" applyAlignment="1" applyProtection="1">
      <alignment horizontal="center" vertical="center"/>
      <protection hidden="1"/>
    </xf>
    <xf numFmtId="167" fontId="48" fillId="0" borderId="8" xfId="0" applyNumberFormat="1" applyFont="1" applyBorder="1" applyAlignment="1" applyProtection="1">
      <alignment horizontal="left" vertical="center" wrapText="1"/>
      <protection hidden="1"/>
    </xf>
    <xf numFmtId="0" fontId="111" fillId="14" borderId="1" xfId="0" applyFont="1" applyFill="1" applyBorder="1" applyAlignment="1" applyProtection="1">
      <alignment horizontal="center" vertical="center" wrapText="1"/>
      <protection hidden="1"/>
    </xf>
    <xf numFmtId="0" fontId="8" fillId="0" borderId="0" xfId="0" applyFont="1" applyBorder="1" applyAlignment="1" applyProtection="1">
      <alignment wrapText="1"/>
      <protection hidden="1"/>
    </xf>
    <xf numFmtId="0" fontId="113" fillId="3" borderId="1" xfId="0" applyFont="1" applyFill="1" applyBorder="1" applyAlignment="1" applyProtection="1">
      <alignment horizontal="center" vertical="center"/>
      <protection locked="0"/>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47" fillId="3" borderId="1" xfId="0" applyFont="1" applyFill="1" applyBorder="1" applyAlignment="1" applyProtection="1">
      <alignment horizontal="left" vertical="center" wrapText="1"/>
      <protection locked="0"/>
    </xf>
    <xf numFmtId="0" fontId="47" fillId="0" borderId="0" xfId="0" applyFont="1" applyBorder="1" applyAlignment="1" applyProtection="1">
      <alignment horizontal="left" vertical="center" wrapText="1"/>
      <protection hidden="1"/>
    </xf>
    <xf numFmtId="0" fontId="47" fillId="0" borderId="0" xfId="0" applyFont="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47" fillId="9" borderId="1" xfId="0" applyFont="1" applyFill="1" applyBorder="1" applyAlignment="1" applyProtection="1">
      <alignment horizontal="center" vertical="center"/>
      <protection hidden="1"/>
    </xf>
    <xf numFmtId="0" fontId="47" fillId="3" borderId="1" xfId="0" applyFont="1" applyFill="1" applyBorder="1" applyAlignment="1" applyProtection="1">
      <alignment horizontal="left" vertical="center"/>
      <protection locked="0"/>
    </xf>
    <xf numFmtId="0" fontId="87" fillId="12" borderId="1" xfId="0" applyFont="1" applyFill="1" applyBorder="1" applyAlignment="1" applyProtection="1">
      <alignment horizontal="center" vertical="center"/>
      <protection hidden="1"/>
    </xf>
    <xf numFmtId="0" fontId="89" fillId="3" borderId="1" xfId="1" applyFont="1" applyFill="1" applyBorder="1" applyAlignment="1" applyProtection="1">
      <alignment horizontal="left" vertical="center"/>
      <protection locked="0"/>
    </xf>
    <xf numFmtId="1" fontId="47" fillId="3" borderId="1" xfId="0" applyNumberFormat="1" applyFont="1" applyFill="1" applyBorder="1" applyAlignment="1" applyProtection="1">
      <alignment horizontal="left" vertical="center" wrapText="1"/>
      <protection locked="0"/>
    </xf>
    <xf numFmtId="0" fontId="47" fillId="11" borderId="1" xfId="0" applyFont="1" applyFill="1" applyBorder="1" applyAlignment="1" applyProtection="1">
      <alignment horizontal="center" vertical="center" wrapText="1"/>
      <protection hidden="1"/>
    </xf>
    <xf numFmtId="0" fontId="47" fillId="11" borderId="1" xfId="0" applyFont="1" applyFill="1" applyBorder="1" applyAlignment="1" applyProtection="1">
      <alignment horizontal="center" vertical="center"/>
      <protection hidden="1"/>
    </xf>
    <xf numFmtId="0" fontId="94" fillId="10" borderId="1" xfId="0" applyFont="1" applyFill="1" applyBorder="1" applyAlignment="1" applyProtection="1">
      <alignment horizontal="center" vertical="center"/>
      <protection hidden="1"/>
    </xf>
    <xf numFmtId="0" fontId="49" fillId="0" borderId="1" xfId="0" applyFont="1" applyBorder="1" applyAlignment="1" applyProtection="1">
      <alignment horizontal="center" vertical="center"/>
      <protection hidden="1"/>
    </xf>
    <xf numFmtId="0" fontId="47" fillId="0" borderId="1" xfId="0" applyFont="1" applyBorder="1" applyAlignment="1" applyProtection="1">
      <alignment horizontal="center"/>
      <protection hidden="1"/>
    </xf>
    <xf numFmtId="0" fontId="94" fillId="10" borderId="6" xfId="0" applyFont="1" applyFill="1" applyBorder="1" applyAlignment="1" applyProtection="1">
      <alignment horizontal="center" vertical="center"/>
      <protection hidden="1"/>
    </xf>
    <xf numFmtId="0" fontId="94" fillId="10" borderId="12" xfId="0" applyFont="1" applyFill="1" applyBorder="1" applyAlignment="1" applyProtection="1">
      <alignment horizontal="center" vertical="center"/>
      <protection hidden="1"/>
    </xf>
    <xf numFmtId="0" fontId="94" fillId="10" borderId="7" xfId="0" applyFont="1" applyFill="1" applyBorder="1" applyAlignment="1" applyProtection="1">
      <alignment horizontal="center" vertical="center"/>
      <protection hidden="1"/>
    </xf>
    <xf numFmtId="0" fontId="47" fillId="0" borderId="5" xfId="0" applyFont="1" applyBorder="1" applyAlignment="1" applyProtection="1">
      <alignment horizontal="center" vertical="center"/>
      <protection hidden="1"/>
    </xf>
    <xf numFmtId="0" fontId="47" fillId="0" borderId="9" xfId="0" applyFont="1" applyBorder="1" applyAlignment="1" applyProtection="1">
      <alignment horizontal="center" vertical="center"/>
      <protection hidden="1"/>
    </xf>
    <xf numFmtId="0" fontId="94" fillId="10" borderId="2" xfId="0" applyFont="1" applyFill="1" applyBorder="1" applyAlignment="1" applyProtection="1">
      <alignment horizontal="center" vertical="center"/>
      <protection hidden="1"/>
    </xf>
    <xf numFmtId="0" fontId="94" fillId="10" borderId="4" xfId="0" applyFont="1" applyFill="1" applyBorder="1" applyAlignment="1" applyProtection="1">
      <alignment horizontal="center" vertical="center"/>
      <protection hidden="1"/>
    </xf>
    <xf numFmtId="0" fontId="94" fillId="10" borderId="3" xfId="0" applyFont="1" applyFill="1" applyBorder="1" applyAlignment="1" applyProtection="1">
      <alignment horizontal="center" vertical="center"/>
      <protection hidden="1"/>
    </xf>
    <xf numFmtId="0" fontId="47" fillId="0" borderId="14" xfId="0" applyFont="1" applyBorder="1" applyAlignment="1" applyProtection="1">
      <alignment horizontal="center" vertical="center"/>
      <protection hidden="1"/>
    </xf>
    <xf numFmtId="0" fontId="91" fillId="2" borderId="1" xfId="0" applyFont="1" applyFill="1" applyBorder="1" applyAlignment="1" applyProtection="1">
      <alignment horizontal="center" vertical="center" wrapText="1"/>
      <protection hidden="1"/>
    </xf>
    <xf numFmtId="0" fontId="5" fillId="0" borderId="0" xfId="0" applyFont="1" applyAlignment="1" applyProtection="1">
      <alignment horizontal="center"/>
      <protection hidden="1"/>
    </xf>
    <xf numFmtId="14" fontId="13" fillId="0" borderId="2" xfId="0" applyNumberFormat="1" applyFont="1" applyBorder="1" applyAlignment="1" applyProtection="1">
      <alignment horizontal="center" vertical="center" wrapText="1"/>
      <protection hidden="1"/>
    </xf>
    <xf numFmtId="0" fontId="13" fillId="0" borderId="4" xfId="0" applyFont="1" applyBorder="1" applyAlignment="1" applyProtection="1">
      <alignment horizontal="center" vertical="center" wrapText="1"/>
      <protection hidden="1"/>
    </xf>
    <xf numFmtId="0" fontId="13" fillId="0" borderId="3" xfId="0" applyFont="1" applyBorder="1" applyAlignment="1" applyProtection="1">
      <alignment horizontal="center" vertical="center" wrapText="1"/>
      <protection hidden="1"/>
    </xf>
    <xf numFmtId="164" fontId="24" fillId="0" borderId="2" xfId="0" applyNumberFormat="1" applyFont="1" applyBorder="1" applyAlignment="1" applyProtection="1">
      <alignment horizontal="center" vertical="center" wrapText="1"/>
      <protection hidden="1"/>
    </xf>
    <xf numFmtId="164" fontId="24" fillId="0" borderId="3" xfId="0" applyNumberFormat="1" applyFont="1" applyBorder="1" applyAlignment="1" applyProtection="1">
      <alignment horizontal="center" vertical="center" wrapText="1"/>
      <protection hidden="1"/>
    </xf>
    <xf numFmtId="165" fontId="24" fillId="0" borderId="2" xfId="0" applyNumberFormat="1" applyFont="1" applyBorder="1" applyAlignment="1" applyProtection="1">
      <alignment horizontal="center" vertical="center" wrapText="1"/>
      <protection hidden="1"/>
    </xf>
    <xf numFmtId="165" fontId="24" fillId="0" borderId="4" xfId="0" applyNumberFormat="1" applyFont="1" applyBorder="1" applyAlignment="1" applyProtection="1">
      <alignment horizontal="center" vertical="center" wrapText="1"/>
      <protection hidden="1"/>
    </xf>
    <xf numFmtId="165" fontId="24" fillId="0" borderId="3" xfId="0" applyNumberFormat="1" applyFont="1" applyBorder="1" applyAlignment="1" applyProtection="1">
      <alignment horizontal="center" vertical="center" wrapText="1"/>
      <protection hidden="1"/>
    </xf>
    <xf numFmtId="14" fontId="14" fillId="0" borderId="2" xfId="0" applyNumberFormat="1" applyFont="1" applyBorder="1" applyAlignment="1" applyProtection="1">
      <alignment horizontal="center" vertical="center" wrapText="1"/>
      <protection hidden="1"/>
    </xf>
    <xf numFmtId="0" fontId="14" fillId="0" borderId="4" xfId="0" applyFont="1" applyBorder="1" applyAlignment="1" applyProtection="1">
      <alignment horizontal="center" vertical="center" wrapText="1"/>
      <protection hidden="1"/>
    </xf>
    <xf numFmtId="0" fontId="14" fillId="0" borderId="3" xfId="0" applyFont="1" applyBorder="1" applyAlignment="1" applyProtection="1">
      <alignment horizontal="center" vertical="center" wrapText="1"/>
      <protection hidden="1"/>
    </xf>
    <xf numFmtId="0" fontId="10" fillId="0" borderId="0" xfId="0" applyFont="1" applyAlignment="1" applyProtection="1">
      <alignment horizontal="left" vertical="center"/>
      <protection hidden="1"/>
    </xf>
    <xf numFmtId="0" fontId="10" fillId="0" borderId="1" xfId="0" applyFont="1" applyBorder="1" applyAlignment="1" applyProtection="1">
      <alignment horizontal="center" vertical="center" wrapText="1"/>
      <protection hidden="1"/>
    </xf>
    <xf numFmtId="0" fontId="14" fillId="0" borderId="2" xfId="0" applyFont="1" applyBorder="1" applyAlignment="1" applyProtection="1">
      <alignment horizontal="left" vertical="center" wrapText="1"/>
      <protection hidden="1"/>
    </xf>
    <xf numFmtId="0" fontId="14" fillId="0" borderId="4" xfId="0" applyFont="1" applyBorder="1" applyAlignment="1" applyProtection="1">
      <alignment horizontal="left" vertical="center" wrapText="1"/>
      <protection hidden="1"/>
    </xf>
    <xf numFmtId="0" fontId="14" fillId="0" borderId="3" xfId="0" applyFont="1" applyBorder="1" applyAlignment="1" applyProtection="1">
      <alignment horizontal="left" vertical="center" wrapText="1"/>
      <protection hidden="1"/>
    </xf>
    <xf numFmtId="0" fontId="0" fillId="0" borderId="12" xfId="0"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10" fillId="0" borderId="0" xfId="0" applyFont="1" applyAlignment="1" applyProtection="1">
      <alignment horizontal="left" vertical="center" wrapText="1"/>
      <protection hidden="1"/>
    </xf>
    <xf numFmtId="0" fontId="10" fillId="0" borderId="8" xfId="0" applyFont="1" applyBorder="1" applyAlignment="1" applyProtection="1">
      <alignment horizontal="left" vertical="center"/>
      <protection hidden="1"/>
    </xf>
    <xf numFmtId="164" fontId="4" fillId="2" borderId="2" xfId="0" applyNumberFormat="1" applyFont="1" applyFill="1" applyBorder="1" applyAlignment="1" applyProtection="1">
      <alignment horizontal="center" vertical="center"/>
      <protection hidden="1"/>
    </xf>
    <xf numFmtId="164" fontId="4" fillId="2" borderId="3" xfId="0" applyNumberFormat="1" applyFont="1" applyFill="1" applyBorder="1" applyAlignment="1" applyProtection="1">
      <alignment horizontal="center" vertical="center"/>
      <protection hidden="1"/>
    </xf>
    <xf numFmtId="165" fontId="4" fillId="2" borderId="2" xfId="0" applyNumberFormat="1" applyFont="1" applyFill="1" applyBorder="1" applyAlignment="1" applyProtection="1">
      <alignment horizontal="center" vertical="center"/>
      <protection hidden="1"/>
    </xf>
    <xf numFmtId="165" fontId="4" fillId="2" borderId="4" xfId="0" applyNumberFormat="1" applyFont="1" applyFill="1" applyBorder="1" applyAlignment="1" applyProtection="1">
      <alignment horizontal="center" vertical="center"/>
      <protection hidden="1"/>
    </xf>
    <xf numFmtId="165" fontId="4" fillId="2" borderId="3" xfId="0" applyNumberFormat="1" applyFont="1" applyFill="1" applyBorder="1" applyAlignment="1" applyProtection="1">
      <alignment horizontal="center" vertical="center"/>
      <protection hidden="1"/>
    </xf>
    <xf numFmtId="164" fontId="4" fillId="0" borderId="2" xfId="0" applyNumberFormat="1" applyFont="1" applyBorder="1" applyAlignment="1" applyProtection="1">
      <alignment horizontal="center" vertical="center"/>
      <protection hidden="1"/>
    </xf>
    <xf numFmtId="164" fontId="4" fillId="0" borderId="3" xfId="0" applyNumberFormat="1" applyFont="1" applyBorder="1" applyAlignment="1" applyProtection="1">
      <alignment horizontal="center" vertical="center"/>
      <protection hidden="1"/>
    </xf>
    <xf numFmtId="165" fontId="4" fillId="0" borderId="2" xfId="0" applyNumberFormat="1" applyFont="1" applyBorder="1" applyAlignment="1" applyProtection="1">
      <alignment horizontal="center" vertical="center"/>
      <protection hidden="1"/>
    </xf>
    <xf numFmtId="165" fontId="4" fillId="0" borderId="4" xfId="0" applyNumberFormat="1" applyFont="1" applyBorder="1" applyAlignment="1" applyProtection="1">
      <alignment horizontal="center" vertical="center"/>
      <protection hidden="1"/>
    </xf>
    <xf numFmtId="165" fontId="4" fillId="0" borderId="3" xfId="0" applyNumberFormat="1" applyFont="1" applyBorder="1" applyAlignment="1" applyProtection="1">
      <alignment horizontal="center" vertical="center"/>
      <protection hidden="1"/>
    </xf>
    <xf numFmtId="0" fontId="7" fillId="0" borderId="0" xfId="0" applyFont="1" applyAlignment="1" applyProtection="1">
      <alignment horizontal="center" vertical="center"/>
      <protection hidden="1"/>
    </xf>
    <xf numFmtId="0" fontId="9" fillId="0" borderId="0" xfId="0" applyFont="1" applyAlignment="1" applyProtection="1">
      <alignment horizontal="left" vertical="center"/>
      <protection hidden="1"/>
    </xf>
    <xf numFmtId="0" fontId="14" fillId="0" borderId="0" xfId="0" applyFont="1" applyAlignment="1" applyProtection="1">
      <alignment horizontal="center"/>
      <protection hidden="1"/>
    </xf>
    <xf numFmtId="0" fontId="10" fillId="0" borderId="10" xfId="0" applyFont="1" applyBorder="1" applyAlignment="1" applyProtection="1">
      <alignment horizontal="center" vertical="center" wrapText="1"/>
      <protection hidden="1"/>
    </xf>
    <xf numFmtId="0" fontId="10" fillId="0" borderId="0" xfId="0" applyFont="1" applyBorder="1" applyAlignment="1" applyProtection="1">
      <alignment horizontal="center" vertical="center" wrapText="1"/>
      <protection hidden="1"/>
    </xf>
    <xf numFmtId="0" fontId="15" fillId="0" borderId="0" xfId="0" applyFont="1" applyAlignment="1" applyProtection="1">
      <alignment horizontal="center" vertical="center" wrapText="1"/>
      <protection hidden="1"/>
    </xf>
    <xf numFmtId="0" fontId="15" fillId="0" borderId="8" xfId="0" applyFont="1" applyBorder="1" applyAlignment="1" applyProtection="1">
      <alignment horizontal="center" vertical="center" wrapText="1"/>
      <protection hidden="1"/>
    </xf>
    <xf numFmtId="0" fontId="10" fillId="0" borderId="8" xfId="0" applyFont="1" applyBorder="1" applyAlignment="1" applyProtection="1">
      <alignment horizontal="center" vertical="center" wrapText="1"/>
      <protection hidden="1"/>
    </xf>
    <xf numFmtId="0" fontId="54" fillId="0" borderId="10" xfId="0" applyFont="1" applyBorder="1" applyAlignment="1" applyProtection="1">
      <alignment horizontal="center" vertical="center" wrapText="1"/>
      <protection hidden="1"/>
    </xf>
    <xf numFmtId="0" fontId="54" fillId="0" borderId="8" xfId="0" applyFont="1" applyBorder="1" applyAlignment="1" applyProtection="1">
      <alignment horizontal="center" vertical="center" wrapText="1"/>
      <protection hidden="1"/>
    </xf>
    <xf numFmtId="0" fontId="10" fillId="0" borderId="10" xfId="0" applyFont="1" applyBorder="1" applyAlignment="1" applyProtection="1">
      <alignment horizontal="center" vertical="center"/>
      <protection hidden="1"/>
    </xf>
    <xf numFmtId="0" fontId="10" fillId="0" borderId="8" xfId="0" applyFont="1" applyBorder="1" applyAlignment="1" applyProtection="1">
      <alignment horizontal="center" vertical="center"/>
      <protection hidden="1"/>
    </xf>
    <xf numFmtId="0" fontId="10" fillId="0" borderId="0" xfId="0" applyFont="1" applyAlignment="1" applyProtection="1">
      <alignment horizontal="center" vertical="center" wrapText="1"/>
      <protection hidden="1"/>
    </xf>
    <xf numFmtId="0" fontId="32" fillId="0" borderId="0" xfId="0" applyFont="1" applyAlignment="1" applyProtection="1">
      <alignment horizontal="left" wrapText="1"/>
      <protection hidden="1"/>
    </xf>
    <xf numFmtId="0" fontId="32" fillId="0" borderId="8" xfId="0" applyFont="1" applyBorder="1" applyAlignment="1" applyProtection="1">
      <alignment horizontal="left" wrapText="1"/>
      <protection hidden="1"/>
    </xf>
    <xf numFmtId="0" fontId="10" fillId="0" borderId="8" xfId="0" applyFont="1" applyBorder="1" applyAlignment="1" applyProtection="1">
      <alignment horizontal="left" vertical="center" wrapText="1"/>
      <protection hidden="1"/>
    </xf>
    <xf numFmtId="0" fontId="10" fillId="0" borderId="11" xfId="0" applyFont="1" applyBorder="1" applyAlignment="1" applyProtection="1">
      <alignment horizontal="center" vertical="center" wrapText="1"/>
      <protection hidden="1"/>
    </xf>
    <xf numFmtId="0" fontId="14" fillId="0" borderId="2" xfId="0" applyFont="1" applyBorder="1" applyAlignment="1" applyProtection="1">
      <alignment horizontal="center" vertical="center" wrapText="1"/>
      <protection hidden="1"/>
    </xf>
    <xf numFmtId="0" fontId="63" fillId="0" borderId="2" xfId="0" applyFont="1" applyBorder="1" applyAlignment="1" applyProtection="1">
      <alignment horizontal="left" vertical="center" wrapText="1"/>
      <protection hidden="1"/>
    </xf>
    <xf numFmtId="0" fontId="63" fillId="0" borderId="4" xfId="0" applyFont="1" applyBorder="1" applyAlignment="1" applyProtection="1">
      <alignment horizontal="left" vertical="center" wrapText="1"/>
      <protection hidden="1"/>
    </xf>
    <xf numFmtId="0" fontId="63" fillId="0" borderId="3" xfId="0" applyFont="1" applyBorder="1" applyAlignment="1" applyProtection="1">
      <alignment horizontal="left" vertical="center" wrapText="1"/>
      <protection hidden="1"/>
    </xf>
    <xf numFmtId="14" fontId="14" fillId="0" borderId="4" xfId="0" applyNumberFormat="1" applyFont="1" applyBorder="1" applyAlignment="1" applyProtection="1">
      <alignment horizontal="center" vertical="center" wrapText="1"/>
      <protection hidden="1"/>
    </xf>
    <xf numFmtId="14" fontId="14" fillId="0" borderId="3" xfId="0" applyNumberFormat="1" applyFont="1" applyBorder="1" applyAlignment="1" applyProtection="1">
      <alignment horizontal="center" vertical="center" wrapText="1"/>
      <protection hidden="1"/>
    </xf>
    <xf numFmtId="0" fontId="0" fillId="0" borderId="1" xfId="0" applyFont="1" applyBorder="1" applyAlignment="1" applyProtection="1">
      <alignment horizontal="left" vertical="center"/>
      <protection hidden="1"/>
    </xf>
    <xf numFmtId="0" fontId="0" fillId="0" borderId="1" xfId="0"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2" xfId="0" applyBorder="1" applyAlignment="1" applyProtection="1">
      <alignment horizontal="left" vertical="center"/>
      <protection hidden="1"/>
    </xf>
    <xf numFmtId="0" fontId="0" fillId="0" borderId="4" xfId="0" applyBorder="1" applyAlignment="1" applyProtection="1">
      <alignment horizontal="left" vertical="center"/>
      <protection hidden="1"/>
    </xf>
    <xf numFmtId="0" fontId="0" fillId="0" borderId="3" xfId="0" applyBorder="1" applyAlignment="1" applyProtection="1">
      <alignment horizontal="left" vertical="center"/>
      <protection hidden="1"/>
    </xf>
    <xf numFmtId="0" fontId="1" fillId="0" borderId="1" xfId="0" applyFont="1" applyBorder="1" applyAlignment="1" applyProtection="1">
      <alignment horizontal="center" vertical="center"/>
      <protection hidden="1"/>
    </xf>
    <xf numFmtId="0" fontId="1" fillId="0" borderId="1" xfId="0" applyFont="1" applyBorder="1" applyAlignment="1" applyProtection="1">
      <alignment horizontal="left" vertical="center"/>
      <protection hidden="1"/>
    </xf>
    <xf numFmtId="0" fontId="0" fillId="0" borderId="0" xfId="0" applyAlignment="1" applyProtection="1">
      <alignment horizontal="center"/>
      <protection hidden="1"/>
    </xf>
    <xf numFmtId="0" fontId="1" fillId="0" borderId="1" xfId="0" applyFont="1" applyBorder="1" applyAlignment="1" applyProtection="1">
      <alignment horizontal="left" vertical="center" wrapText="1"/>
      <protection hidden="1"/>
    </xf>
    <xf numFmtId="0" fontId="0" fillId="0" borderId="0" xfId="0" applyAlignment="1" applyProtection="1">
      <alignment horizontal="justify" vertical="top" wrapText="1"/>
      <protection hidden="1"/>
    </xf>
    <xf numFmtId="0" fontId="0" fillId="0" borderId="0" xfId="0" applyAlignment="1" applyProtection="1">
      <alignment horizontal="left" vertical="center" wrapText="1"/>
      <protection hidden="1"/>
    </xf>
    <xf numFmtId="0" fontId="4" fillId="0" borderId="2" xfId="0" applyFont="1" applyBorder="1" applyAlignment="1" applyProtection="1">
      <alignment horizontal="left" vertical="center" wrapText="1"/>
      <protection hidden="1"/>
    </xf>
    <xf numFmtId="0" fontId="4" fillId="0" borderId="4" xfId="0" applyFont="1" applyBorder="1" applyAlignment="1" applyProtection="1">
      <alignment horizontal="left" vertical="center" wrapText="1"/>
      <protection hidden="1"/>
    </xf>
    <xf numFmtId="0" fontId="4" fillId="0" borderId="3" xfId="0" applyFont="1" applyBorder="1" applyAlignment="1" applyProtection="1">
      <alignment horizontal="left" vertical="center" wrapText="1"/>
      <protection hidden="1"/>
    </xf>
    <xf numFmtId="0" fontId="4" fillId="0" borderId="1" xfId="0" applyFont="1" applyBorder="1" applyAlignment="1" applyProtection="1">
      <alignment horizontal="left" vertical="center"/>
      <protection hidden="1"/>
    </xf>
    <xf numFmtId="0" fontId="4" fillId="2" borderId="2" xfId="0" applyFont="1" applyFill="1" applyBorder="1" applyAlignment="1" applyProtection="1">
      <alignment horizontal="left" vertical="center" wrapText="1"/>
      <protection hidden="1"/>
    </xf>
    <xf numFmtId="0" fontId="4" fillId="2" borderId="4" xfId="0" applyFont="1" applyFill="1" applyBorder="1" applyAlignment="1" applyProtection="1">
      <alignment horizontal="left" vertical="center" wrapText="1"/>
      <protection hidden="1"/>
    </xf>
    <xf numFmtId="0" fontId="4" fillId="2" borderId="3" xfId="0" applyFont="1" applyFill="1" applyBorder="1" applyAlignment="1" applyProtection="1">
      <alignment horizontal="left" vertical="center" wrapText="1"/>
      <protection hidden="1"/>
    </xf>
    <xf numFmtId="0" fontId="56" fillId="0" borderId="1" xfId="0" applyFont="1" applyBorder="1" applyAlignment="1" applyProtection="1">
      <alignment horizontal="left" vertical="center"/>
      <protection hidden="1"/>
    </xf>
    <xf numFmtId="14" fontId="4" fillId="0" borderId="1" xfId="0" applyNumberFormat="1" applyFont="1" applyBorder="1" applyAlignment="1" applyProtection="1">
      <alignment horizontal="left" vertical="center"/>
      <protection hidden="1"/>
    </xf>
    <xf numFmtId="0" fontId="4" fillId="0" borderId="6" xfId="0" applyFont="1" applyBorder="1" applyAlignment="1" applyProtection="1">
      <alignment horizontal="left" vertical="center"/>
      <protection hidden="1"/>
    </xf>
    <xf numFmtId="0" fontId="4" fillId="0" borderId="12" xfId="0" applyFont="1" applyBorder="1" applyAlignment="1" applyProtection="1">
      <alignment horizontal="left" vertical="center"/>
      <protection hidden="1"/>
    </xf>
    <xf numFmtId="0" fontId="4" fillId="0" borderId="7" xfId="0" applyFont="1" applyBorder="1" applyAlignment="1" applyProtection="1">
      <alignment horizontal="left" vertical="center"/>
      <protection hidden="1"/>
    </xf>
    <xf numFmtId="0" fontId="41" fillId="0" borderId="0" xfId="0" applyFont="1" applyAlignment="1" applyProtection="1">
      <alignment horizontal="center" vertical="center"/>
      <protection hidden="1"/>
    </xf>
    <xf numFmtId="0" fontId="1" fillId="0" borderId="5" xfId="0" applyFont="1" applyBorder="1" applyAlignment="1" applyProtection="1">
      <alignment horizontal="center" vertical="center" wrapText="1"/>
      <protection hidden="1"/>
    </xf>
    <xf numFmtId="0" fontId="1" fillId="0" borderId="9" xfId="0" applyFont="1" applyBorder="1" applyAlignment="1" applyProtection="1">
      <alignment horizontal="center" vertical="center" wrapText="1"/>
      <protection hidden="1"/>
    </xf>
    <xf numFmtId="0" fontId="1" fillId="0" borderId="14" xfId="0" applyFont="1" applyBorder="1" applyAlignment="1" applyProtection="1">
      <alignment horizontal="center" vertical="center" wrapText="1"/>
      <protection hidden="1"/>
    </xf>
    <xf numFmtId="0" fontId="1" fillId="0" borderId="2" xfId="0" applyFont="1" applyBorder="1" applyAlignment="1" applyProtection="1">
      <alignment horizontal="left" vertical="center" wrapText="1"/>
      <protection hidden="1"/>
    </xf>
    <xf numFmtId="0" fontId="13" fillId="0" borderId="1" xfId="0" applyFont="1" applyBorder="1" applyAlignment="1" applyProtection="1">
      <alignment horizontal="left" vertical="center" wrapText="1"/>
      <protection hidden="1"/>
    </xf>
    <xf numFmtId="0" fontId="0" fillId="0" borderId="0" xfId="0" applyAlignment="1" applyProtection="1">
      <alignment horizontal="center" wrapText="1"/>
      <protection hidden="1"/>
    </xf>
    <xf numFmtId="0" fontId="0" fillId="0" borderId="0" xfId="0" applyAlignment="1" applyProtection="1">
      <alignment horizontal="center" vertical="center" wrapText="1"/>
      <protection hidden="1"/>
    </xf>
    <xf numFmtId="0" fontId="4" fillId="0" borderId="14" xfId="0" applyFont="1" applyBorder="1" applyAlignment="1" applyProtection="1">
      <alignment horizontal="left" vertical="center"/>
      <protection hidden="1"/>
    </xf>
    <xf numFmtId="0" fontId="4" fillId="2" borderId="1" xfId="0" applyFont="1" applyFill="1" applyBorder="1" applyAlignment="1" applyProtection="1">
      <alignment horizontal="left" vertical="center"/>
      <protection hidden="1"/>
    </xf>
    <xf numFmtId="0" fontId="8" fillId="0" borderId="1" xfId="0" applyFont="1" applyBorder="1" applyAlignment="1" applyProtection="1">
      <alignment horizontal="left" vertical="center" wrapText="1"/>
      <protection hidden="1"/>
    </xf>
    <xf numFmtId="0" fontId="0" fillId="0" borderId="15" xfId="0" applyBorder="1" applyAlignment="1" applyProtection="1">
      <alignment horizontal="left" vertical="center"/>
      <protection hidden="1"/>
    </xf>
    <xf numFmtId="0" fontId="0" fillId="0" borderId="11" xfId="0" applyBorder="1" applyAlignment="1" applyProtection="1">
      <alignment horizontal="left" vertical="center"/>
      <protection hidden="1"/>
    </xf>
    <xf numFmtId="0" fontId="0" fillId="0" borderId="13" xfId="0" applyBorder="1" applyAlignment="1" applyProtection="1">
      <alignment horizontal="left" vertical="center"/>
      <protection hidden="1"/>
    </xf>
    <xf numFmtId="14" fontId="4" fillId="0" borderId="14" xfId="0" applyNumberFormat="1" applyFont="1" applyBorder="1" applyAlignment="1" applyProtection="1">
      <alignment horizontal="left" vertical="center"/>
      <protection hidden="1"/>
    </xf>
    <xf numFmtId="168" fontId="4" fillId="0" borderId="14" xfId="0" applyNumberFormat="1" applyFont="1" applyBorder="1" applyAlignment="1" applyProtection="1">
      <alignment horizontal="left" vertical="center"/>
      <protection hidden="1"/>
    </xf>
    <xf numFmtId="0" fontId="4" fillId="0" borderId="15" xfId="0" applyFont="1" applyBorder="1" applyAlignment="1" applyProtection="1">
      <alignment horizontal="left" vertical="center"/>
      <protection hidden="1"/>
    </xf>
    <xf numFmtId="0" fontId="4" fillId="0" borderId="11" xfId="0" applyFont="1" applyBorder="1" applyAlignment="1" applyProtection="1">
      <alignment horizontal="left" vertical="center"/>
      <protection hidden="1"/>
    </xf>
    <xf numFmtId="0" fontId="4" fillId="0" borderId="13" xfId="0" applyFont="1" applyBorder="1" applyAlignment="1" applyProtection="1">
      <alignment horizontal="left" vertical="center"/>
      <protection hidden="1"/>
    </xf>
    <xf numFmtId="0" fontId="4" fillId="0" borderId="10" xfId="0" applyFont="1" applyBorder="1" applyAlignment="1" applyProtection="1">
      <alignment horizontal="left" vertical="center"/>
      <protection hidden="1"/>
    </xf>
    <xf numFmtId="0" fontId="4" fillId="0" borderId="0" xfId="0" applyFont="1" applyBorder="1" applyAlignment="1" applyProtection="1">
      <alignment horizontal="left" vertical="center"/>
      <protection hidden="1"/>
    </xf>
    <xf numFmtId="0" fontId="4" fillId="0" borderId="8" xfId="0" applyFont="1" applyBorder="1" applyAlignment="1" applyProtection="1">
      <alignment horizontal="left" vertical="center"/>
      <protection hidden="1"/>
    </xf>
    <xf numFmtId="0" fontId="22" fillId="0" borderId="1" xfId="0" applyFont="1" applyBorder="1" applyAlignment="1" applyProtection="1">
      <alignment horizontal="center" vertical="center" wrapText="1"/>
      <protection hidden="1"/>
    </xf>
    <xf numFmtId="0" fontId="24" fillId="0" borderId="0" xfId="0" applyFont="1" applyAlignment="1" applyProtection="1">
      <alignment horizontal="center"/>
      <protection hidden="1"/>
    </xf>
    <xf numFmtId="0" fontId="24" fillId="0" borderId="0" xfId="0" applyFont="1" applyAlignment="1" applyProtection="1">
      <alignment horizontal="center" wrapText="1"/>
      <protection hidden="1"/>
    </xf>
    <xf numFmtId="0" fontId="27" fillId="0" borderId="12"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left" vertical="center" wrapText="1"/>
      <protection hidden="1"/>
    </xf>
    <xf numFmtId="0" fontId="22" fillId="0" borderId="1" xfId="0" applyFont="1" applyBorder="1" applyAlignment="1" applyProtection="1">
      <alignment horizontal="justify" vertical="center" wrapText="1"/>
      <protection hidden="1"/>
    </xf>
    <xf numFmtId="0" fontId="83" fillId="0" borderId="0" xfId="0" applyFont="1" applyAlignment="1" applyProtection="1">
      <alignment horizontal="center" vertical="center" wrapText="1"/>
      <protection hidden="1"/>
    </xf>
    <xf numFmtId="0" fontId="83" fillId="0" borderId="0" xfId="0" applyFont="1" applyAlignment="1" applyProtection="1">
      <alignment horizontal="right" vertical="center" wrapText="1"/>
      <protection hidden="1"/>
    </xf>
    <xf numFmtId="14" fontId="85" fillId="0" borderId="0" xfId="0" applyNumberFormat="1" applyFont="1" applyAlignment="1" applyProtection="1">
      <alignment horizontal="left" vertical="center"/>
      <protection hidden="1"/>
    </xf>
    <xf numFmtId="0" fontId="24" fillId="0" borderId="0" xfId="0" applyFont="1" applyAlignment="1" applyProtection="1">
      <alignment horizontal="center" vertical="center" wrapText="1"/>
      <protection hidden="1"/>
    </xf>
    <xf numFmtId="0" fontId="103" fillId="0" borderId="0" xfId="0" applyFont="1" applyAlignment="1" applyProtection="1">
      <alignment horizontal="left" vertical="center"/>
      <protection hidden="1"/>
    </xf>
    <xf numFmtId="0" fontId="83" fillId="0" borderId="0" xfId="0" applyFont="1" applyAlignment="1" applyProtection="1">
      <alignment horizontal="left" vertical="center"/>
      <protection hidden="1"/>
    </xf>
    <xf numFmtId="0" fontId="83" fillId="0" borderId="0" xfId="0" applyFont="1" applyAlignment="1" applyProtection="1">
      <alignment horizontal="left" vertical="center" wrapText="1"/>
      <protection hidden="1"/>
    </xf>
    <xf numFmtId="0" fontId="86" fillId="0" borderId="0" xfId="0" applyFont="1" applyAlignment="1" applyProtection="1">
      <alignment horizontal="center" vertical="center" wrapText="1"/>
      <protection hidden="1"/>
    </xf>
    <xf numFmtId="0" fontId="22" fillId="0" borderId="0" xfId="0" applyFont="1" applyAlignment="1" applyProtection="1">
      <alignment horizontal="center" vertical="justify" wrapText="1"/>
      <protection hidden="1"/>
    </xf>
    <xf numFmtId="0" fontId="85" fillId="0" borderId="0" xfId="0" applyFont="1" applyAlignment="1" applyProtection="1">
      <alignment horizontal="left" vertical="center"/>
      <protection hidden="1"/>
    </xf>
    <xf numFmtId="0" fontId="24" fillId="0" borderId="2" xfId="0" applyFont="1" applyBorder="1" applyAlignment="1" applyProtection="1">
      <alignment horizontal="center" vertical="center" wrapText="1"/>
      <protection hidden="1"/>
    </xf>
    <xf numFmtId="0" fontId="24" fillId="0" borderId="4" xfId="0" applyFont="1" applyBorder="1" applyAlignment="1" applyProtection="1">
      <alignment horizontal="center" vertical="center" wrapText="1"/>
      <protection hidden="1"/>
    </xf>
    <xf numFmtId="0" fontId="24" fillId="0" borderId="3" xfId="0" applyFont="1" applyBorder="1" applyAlignment="1" applyProtection="1">
      <alignment horizontal="center" vertical="center" wrapText="1"/>
      <protection hidden="1"/>
    </xf>
    <xf numFmtId="0" fontId="51" fillId="0" borderId="0" xfId="0" applyFont="1" applyAlignment="1" applyProtection="1">
      <alignment horizontal="center" vertical="center" wrapText="1"/>
      <protection hidden="1"/>
    </xf>
    <xf numFmtId="0" fontId="85" fillId="0" borderId="1" xfId="0" applyFont="1" applyBorder="1" applyAlignment="1" applyProtection="1">
      <alignment horizontal="left" vertical="center" wrapText="1"/>
      <protection hidden="1"/>
    </xf>
    <xf numFmtId="0" fontId="85" fillId="2" borderId="1" xfId="0" applyFont="1" applyFill="1" applyBorder="1" applyAlignment="1" applyProtection="1">
      <alignment horizontal="left" vertical="center" wrapText="1"/>
      <protection hidden="1"/>
    </xf>
    <xf numFmtId="0" fontId="83" fillId="0" borderId="1" xfId="0" applyFont="1" applyBorder="1" applyAlignment="1" applyProtection="1">
      <alignment horizontal="right" vertical="center" wrapText="1"/>
      <protection hidden="1"/>
    </xf>
    <xf numFmtId="0" fontId="83" fillId="2" borderId="1" xfId="0" applyFont="1" applyFill="1" applyBorder="1" applyAlignment="1" applyProtection="1">
      <alignment horizontal="right" vertical="center" wrapText="1"/>
      <protection hidden="1"/>
    </xf>
    <xf numFmtId="0" fontId="85" fillId="0" borderId="2" xfId="0" applyFont="1" applyBorder="1" applyAlignment="1" applyProtection="1">
      <alignment horizontal="left" vertical="center" wrapText="1"/>
      <protection hidden="1"/>
    </xf>
    <xf numFmtId="0" fontId="85" fillId="0" borderId="4" xfId="0" applyFont="1" applyBorder="1" applyAlignment="1" applyProtection="1">
      <alignment horizontal="left" vertical="center" wrapText="1"/>
      <protection hidden="1"/>
    </xf>
    <xf numFmtId="0" fontId="85" fillId="0" borderId="3" xfId="0" applyFont="1" applyBorder="1" applyAlignment="1" applyProtection="1">
      <alignment horizontal="left" vertical="center" wrapText="1"/>
      <protection hidden="1"/>
    </xf>
    <xf numFmtId="0" fontId="85" fillId="0" borderId="16" xfId="0" applyFont="1" applyBorder="1" applyAlignment="1" applyProtection="1">
      <alignment horizontal="left" vertical="center" wrapText="1"/>
      <protection hidden="1"/>
    </xf>
    <xf numFmtId="0" fontId="85" fillId="0" borderId="30" xfId="0" applyFont="1" applyBorder="1" applyAlignment="1" applyProtection="1">
      <alignment horizontal="left" vertical="center" wrapText="1"/>
      <protection hidden="1"/>
    </xf>
    <xf numFmtId="0" fontId="85" fillId="0" borderId="17" xfId="0" applyFont="1" applyBorder="1" applyAlignment="1" applyProtection="1">
      <alignment horizontal="left" vertical="center" wrapText="1"/>
      <protection hidden="1"/>
    </xf>
    <xf numFmtId="0" fontId="50" fillId="0" borderId="0" xfId="0" applyFont="1" applyAlignment="1" applyProtection="1">
      <alignment horizontal="center" vertical="center" wrapText="1"/>
      <protection hidden="1"/>
    </xf>
    <xf numFmtId="0" fontId="85" fillId="0" borderId="0" xfId="0" applyFont="1" applyAlignment="1" applyProtection="1">
      <alignment horizontal="center" vertical="center" wrapText="1"/>
      <protection hidden="1"/>
    </xf>
    <xf numFmtId="0" fontId="84" fillId="0" borderId="0" xfId="0" applyFont="1" applyAlignment="1" applyProtection="1">
      <alignment horizontal="center" vertical="center" wrapText="1"/>
      <protection hidden="1"/>
    </xf>
    <xf numFmtId="0" fontId="103" fillId="0" borderId="0" xfId="0" applyFont="1" applyAlignment="1" applyProtection="1">
      <alignment horizontal="left" vertical="center" wrapText="1"/>
      <protection hidden="1"/>
    </xf>
    <xf numFmtId="0" fontId="85" fillId="0" borderId="0" xfId="0" applyFont="1" applyAlignment="1" applyProtection="1">
      <alignment horizontal="left" vertical="center" wrapText="1"/>
      <protection hidden="1"/>
    </xf>
    <xf numFmtId="0" fontId="48" fillId="0" borderId="0" xfId="0" applyFont="1" applyAlignment="1" applyProtection="1">
      <alignment horizontal="left" vertical="center" wrapText="1"/>
      <protection hidden="1"/>
    </xf>
    <xf numFmtId="0" fontId="44" fillId="0" borderId="0" xfId="0" applyFont="1" applyAlignment="1" applyProtection="1">
      <alignment horizontal="left" vertical="center" wrapText="1"/>
      <protection hidden="1"/>
    </xf>
    <xf numFmtId="14" fontId="103" fillId="0" borderId="0" xfId="0" applyNumberFormat="1" applyFont="1" applyAlignment="1" applyProtection="1">
      <alignment horizontal="center" vertical="center" wrapText="1"/>
      <protection hidden="1"/>
    </xf>
    <xf numFmtId="14" fontId="103" fillId="0" borderId="0" xfId="0" applyNumberFormat="1" applyFont="1" applyAlignment="1" applyProtection="1">
      <alignment horizontal="left" vertical="center" wrapText="1"/>
      <protection hidden="1"/>
    </xf>
    <xf numFmtId="0" fontId="44" fillId="0" borderId="0" xfId="0" applyFont="1" applyAlignment="1" applyProtection="1">
      <alignment horizontal="center" vertical="center" wrapText="1"/>
      <protection hidden="1"/>
    </xf>
    <xf numFmtId="0" fontId="84" fillId="0" borderId="0" xfId="0" applyFont="1" applyAlignment="1" applyProtection="1">
      <alignment horizontal="center"/>
      <protection hidden="1"/>
    </xf>
    <xf numFmtId="0" fontId="44" fillId="0" borderId="0" xfId="0" applyFont="1" applyAlignment="1" applyProtection="1">
      <alignment horizontal="center" vertical="center"/>
      <protection hidden="1"/>
    </xf>
    <xf numFmtId="14" fontId="85" fillId="0" borderId="0" xfId="0" applyNumberFormat="1" applyFont="1" applyAlignment="1" applyProtection="1">
      <alignment horizontal="left" vertical="center" wrapText="1"/>
      <protection hidden="1"/>
    </xf>
    <xf numFmtId="0" fontId="32" fillId="0" borderId="0" xfId="0" applyFont="1" applyAlignment="1" applyProtection="1">
      <alignment horizontal="center" vertical="center" wrapText="1"/>
      <protection hidden="1"/>
    </xf>
    <xf numFmtId="0" fontId="83" fillId="0" borderId="0" xfId="0" applyFont="1" applyAlignment="1" applyProtection="1">
      <alignment horizontal="center" vertical="center"/>
      <protection hidden="1"/>
    </xf>
    <xf numFmtId="14" fontId="85" fillId="0" borderId="0" xfId="0" applyNumberFormat="1" applyFont="1" applyAlignment="1" applyProtection="1">
      <alignment horizontal="center" vertical="center" wrapText="1"/>
      <protection hidden="1"/>
    </xf>
    <xf numFmtId="0" fontId="84" fillId="0" borderId="0" xfId="0" applyFont="1" applyAlignment="1" applyProtection="1">
      <alignment horizontal="center" vertical="center"/>
      <protection hidden="1"/>
    </xf>
    <xf numFmtId="0" fontId="48" fillId="0" borderId="0" xfId="0" applyFont="1" applyAlignment="1" applyProtection="1">
      <alignment horizontal="right" vertical="center" wrapText="1"/>
      <protection hidden="1"/>
    </xf>
    <xf numFmtId="0" fontId="55" fillId="0" borderId="0" xfId="0" applyFont="1" applyAlignment="1" applyProtection="1">
      <alignment horizontal="left" vertical="center" wrapText="1"/>
      <protection hidden="1"/>
    </xf>
    <xf numFmtId="0" fontId="44" fillId="0" borderId="0" xfId="0" applyFont="1" applyAlignment="1" applyProtection="1">
      <alignment horizontal="left" vertical="center"/>
      <protection hidden="1"/>
    </xf>
    <xf numFmtId="0" fontId="22" fillId="0" borderId="1" xfId="0" applyFont="1" applyBorder="1" applyAlignment="1" applyProtection="1">
      <alignment horizontal="left"/>
      <protection hidden="1"/>
    </xf>
    <xf numFmtId="0" fontId="22" fillId="0" borderId="0" xfId="0" applyFont="1" applyAlignment="1" applyProtection="1">
      <alignment horizontal="center" vertical="center" wrapText="1"/>
      <protection hidden="1"/>
    </xf>
    <xf numFmtId="14" fontId="21" fillId="0" borderId="0" xfId="0" applyNumberFormat="1" applyFont="1" applyAlignment="1" applyProtection="1">
      <alignment horizontal="left" vertical="center" wrapText="1"/>
      <protection hidden="1"/>
    </xf>
    <xf numFmtId="0" fontId="8" fillId="0" borderId="15" xfId="0" applyFont="1" applyBorder="1" applyAlignment="1" applyProtection="1">
      <alignment horizontal="center"/>
      <protection hidden="1"/>
    </xf>
    <xf numFmtId="0" fontId="8" fillId="0" borderId="11" xfId="0" applyFont="1" applyBorder="1" applyAlignment="1" applyProtection="1">
      <alignment horizontal="center"/>
      <protection hidden="1"/>
    </xf>
    <xf numFmtId="0" fontId="8" fillId="0" borderId="13" xfId="0" applyFont="1" applyBorder="1" applyAlignment="1" applyProtection="1">
      <alignment horizontal="center"/>
      <protection hidden="1"/>
    </xf>
    <xf numFmtId="0" fontId="8" fillId="0" borderId="5" xfId="0" applyFont="1" applyBorder="1" applyAlignment="1" applyProtection="1">
      <alignment horizontal="center" vertical="center"/>
      <protection hidden="1"/>
    </xf>
    <xf numFmtId="0" fontId="8" fillId="0" borderId="9" xfId="0" applyFont="1" applyBorder="1" applyAlignment="1" applyProtection="1">
      <alignment horizontal="center" vertical="center"/>
      <protection hidden="1"/>
    </xf>
    <xf numFmtId="0" fontId="8" fillId="0" borderId="14" xfId="0" applyFont="1" applyBorder="1" applyAlignment="1" applyProtection="1">
      <alignment horizontal="center" vertical="center"/>
      <protection hidden="1"/>
    </xf>
    <xf numFmtId="0" fontId="8" fillId="0" borderId="5" xfId="0" applyFont="1" applyBorder="1" applyAlignment="1" applyProtection="1">
      <alignment horizontal="center" vertical="center" wrapText="1"/>
      <protection hidden="1"/>
    </xf>
    <xf numFmtId="0" fontId="8" fillId="0" borderId="9" xfId="0" applyFont="1" applyBorder="1" applyAlignment="1" applyProtection="1">
      <alignment horizontal="center" vertical="center" wrapText="1"/>
      <protection hidden="1"/>
    </xf>
    <xf numFmtId="0" fontId="8" fillId="0" borderId="14" xfId="0" applyFont="1" applyBorder="1" applyAlignment="1" applyProtection="1">
      <alignment horizontal="center" vertical="center" wrapText="1"/>
      <protection hidden="1"/>
    </xf>
    <xf numFmtId="0" fontId="7" fillId="0" borderId="6" xfId="0" applyFont="1" applyBorder="1" applyAlignment="1" applyProtection="1">
      <alignment horizontal="left" vertical="center"/>
      <protection hidden="1"/>
    </xf>
    <xf numFmtId="0" fontId="7" fillId="0" borderId="12" xfId="0" applyFont="1" applyBorder="1" applyAlignment="1" applyProtection="1">
      <alignment horizontal="left" vertical="center"/>
      <protection hidden="1"/>
    </xf>
    <xf numFmtId="0" fontId="7" fillId="0" borderId="7" xfId="0" applyFont="1" applyBorder="1" applyAlignment="1" applyProtection="1">
      <alignment horizontal="left" vertical="center"/>
      <protection hidden="1"/>
    </xf>
    <xf numFmtId="0" fontId="55" fillId="0" borderId="1" xfId="0" applyFont="1" applyBorder="1" applyAlignment="1" applyProtection="1">
      <alignment horizontal="center" vertical="center"/>
      <protection hidden="1"/>
    </xf>
    <xf numFmtId="0" fontId="46" fillId="0" borderId="0" xfId="0" applyFont="1" applyAlignment="1" applyProtection="1">
      <alignment horizontal="center" vertical="center"/>
      <protection hidden="1"/>
    </xf>
    <xf numFmtId="0" fontId="30"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8" fillId="0" borderId="1" xfId="0" applyFont="1" applyBorder="1" applyAlignment="1" applyProtection="1">
      <alignment horizontal="center" vertical="center"/>
      <protection hidden="1"/>
    </xf>
    <xf numFmtId="0" fontId="47" fillId="2" borderId="2" xfId="0" applyFont="1" applyFill="1" applyBorder="1" applyAlignment="1" applyProtection="1">
      <alignment horizontal="center" vertical="center"/>
      <protection hidden="1"/>
    </xf>
    <xf numFmtId="0" fontId="47" fillId="2" borderId="4" xfId="0" applyFont="1" applyFill="1" applyBorder="1" applyAlignment="1" applyProtection="1">
      <alignment horizontal="center" vertical="center"/>
      <protection hidden="1"/>
    </xf>
    <xf numFmtId="0" fontId="47" fillId="2" borderId="3" xfId="0" applyFont="1" applyFill="1" applyBorder="1" applyAlignment="1" applyProtection="1">
      <alignment horizontal="center" vertical="center"/>
      <protection hidden="1"/>
    </xf>
    <xf numFmtId="0" fontId="47" fillId="0" borderId="2" xfId="0" applyFont="1" applyBorder="1" applyAlignment="1" applyProtection="1">
      <alignment horizontal="left" vertical="center"/>
      <protection hidden="1"/>
    </xf>
    <xf numFmtId="0" fontId="47" fillId="0" borderId="4" xfId="0" applyFont="1" applyBorder="1" applyAlignment="1" applyProtection="1">
      <alignment horizontal="left" vertical="center"/>
      <protection hidden="1"/>
    </xf>
    <xf numFmtId="0" fontId="47" fillId="0" borderId="3" xfId="0" applyFont="1" applyBorder="1" applyAlignment="1" applyProtection="1">
      <alignment horizontal="left" vertical="center"/>
      <protection hidden="1"/>
    </xf>
    <xf numFmtId="0" fontId="55" fillId="0" borderId="1" xfId="0" applyFont="1" applyBorder="1" applyAlignment="1" applyProtection="1">
      <alignment horizontal="left" vertical="center"/>
      <protection hidden="1"/>
    </xf>
    <xf numFmtId="14" fontId="47" fillId="0" borderId="2" xfId="0" applyNumberFormat="1" applyFont="1" applyBorder="1" applyAlignment="1" applyProtection="1">
      <alignment horizontal="center" vertical="center"/>
      <protection hidden="1"/>
    </xf>
    <xf numFmtId="0" fontId="47" fillId="0" borderId="4" xfId="0" applyFont="1" applyBorder="1" applyAlignment="1" applyProtection="1">
      <alignment horizontal="center" vertical="center"/>
      <protection hidden="1"/>
    </xf>
    <xf numFmtId="0" fontId="47" fillId="0" borderId="3" xfId="0" applyFont="1" applyBorder="1" applyAlignment="1" applyProtection="1">
      <alignment horizontal="center" vertical="center"/>
      <protection hidden="1"/>
    </xf>
    <xf numFmtId="0" fontId="56" fillId="0" borderId="1" xfId="0" applyFont="1" applyBorder="1" applyAlignment="1" applyProtection="1">
      <alignment horizontal="left" vertical="center" wrapText="1"/>
      <protection hidden="1"/>
    </xf>
    <xf numFmtId="0" fontId="7" fillId="0" borderId="2" xfId="0" applyFont="1" applyBorder="1" applyAlignment="1" applyProtection="1">
      <alignment horizontal="left" vertical="center" wrapText="1"/>
      <protection hidden="1"/>
    </xf>
    <xf numFmtId="0" fontId="7" fillId="0" borderId="4" xfId="0" applyFont="1" applyBorder="1" applyAlignment="1" applyProtection="1">
      <alignment horizontal="left" vertical="center" wrapText="1"/>
      <protection hidden="1"/>
    </xf>
    <xf numFmtId="0" fontId="7" fillId="0" borderId="3" xfId="0" applyFont="1" applyBorder="1" applyAlignment="1" applyProtection="1">
      <alignment horizontal="left" vertical="center" wrapText="1"/>
      <protection hidden="1"/>
    </xf>
    <xf numFmtId="0" fontId="7" fillId="0" borderId="2" xfId="0" applyFont="1" applyBorder="1" applyAlignment="1" applyProtection="1">
      <alignment horizontal="left" vertical="center"/>
      <protection hidden="1"/>
    </xf>
    <xf numFmtId="0" fontId="7" fillId="0" borderId="4" xfId="0" applyFont="1" applyBorder="1" applyAlignment="1" applyProtection="1">
      <alignment horizontal="left" vertical="center"/>
      <protection hidden="1"/>
    </xf>
    <xf numFmtId="0" fontId="7" fillId="0" borderId="3" xfId="0" applyFont="1" applyBorder="1" applyAlignment="1" applyProtection="1">
      <alignment horizontal="left" vertical="center"/>
      <protection hidden="1"/>
    </xf>
    <xf numFmtId="0" fontId="27" fillId="2" borderId="2" xfId="0" applyFont="1" applyFill="1" applyBorder="1" applyAlignment="1" applyProtection="1">
      <alignment horizontal="left" vertical="center" wrapText="1"/>
      <protection hidden="1"/>
    </xf>
    <xf numFmtId="0" fontId="27" fillId="2" borderId="4" xfId="0" applyFont="1" applyFill="1" applyBorder="1" applyAlignment="1" applyProtection="1">
      <alignment horizontal="left" vertical="center" wrapText="1"/>
      <protection hidden="1"/>
    </xf>
    <xf numFmtId="0" fontId="27" fillId="2" borderId="3" xfId="0" applyFont="1" applyFill="1" applyBorder="1" applyAlignment="1" applyProtection="1">
      <alignment horizontal="left" vertical="center" wrapText="1"/>
      <protection hidden="1"/>
    </xf>
    <xf numFmtId="167" fontId="47" fillId="0" borderId="1" xfId="0" applyNumberFormat="1" applyFont="1" applyBorder="1" applyAlignment="1" applyProtection="1">
      <alignment horizontal="center" vertical="center"/>
      <protection hidden="1"/>
    </xf>
    <xf numFmtId="0" fontId="7" fillId="0" borderId="1" xfId="0" applyFont="1" applyBorder="1" applyAlignment="1" applyProtection="1">
      <alignment horizontal="center" vertical="center"/>
      <protection hidden="1"/>
    </xf>
    <xf numFmtId="14" fontId="47" fillId="0" borderId="6" xfId="0" applyNumberFormat="1" applyFont="1" applyBorder="1" applyAlignment="1" applyProtection="1">
      <alignment horizontal="center" vertical="center"/>
      <protection hidden="1"/>
    </xf>
    <xf numFmtId="0" fontId="47" fillId="0" borderId="12" xfId="0" applyFont="1" applyBorder="1" applyAlignment="1" applyProtection="1">
      <alignment horizontal="center" vertical="center"/>
      <protection hidden="1"/>
    </xf>
    <xf numFmtId="0" fontId="47" fillId="0" borderId="7" xfId="0" applyFont="1" applyBorder="1" applyAlignment="1" applyProtection="1">
      <alignment horizontal="center" vertical="center"/>
      <protection hidden="1"/>
    </xf>
    <xf numFmtId="14" fontId="7" fillId="0" borderId="15" xfId="0" applyNumberFormat="1" applyFont="1" applyBorder="1" applyAlignment="1" applyProtection="1">
      <alignment horizontal="center" vertical="center"/>
      <protection hidden="1"/>
    </xf>
    <xf numFmtId="14" fontId="7" fillId="0" borderId="11" xfId="0" applyNumberFormat="1" applyFont="1" applyBorder="1" applyAlignment="1" applyProtection="1">
      <alignment horizontal="center" vertical="center"/>
      <protection hidden="1"/>
    </xf>
    <xf numFmtId="14" fontId="7" fillId="0" borderId="13" xfId="0" applyNumberFormat="1" applyFont="1" applyBorder="1" applyAlignment="1" applyProtection="1">
      <alignment horizontal="center" vertical="center"/>
      <protection hidden="1"/>
    </xf>
    <xf numFmtId="0" fontId="7" fillId="0" borderId="1" xfId="0" applyFont="1" applyBorder="1" applyAlignment="1" applyProtection="1">
      <alignment horizontal="left" vertical="center"/>
      <protection hidden="1"/>
    </xf>
    <xf numFmtId="0" fontId="28" fillId="0" borderId="1" xfId="0" applyFont="1" applyBorder="1" applyAlignment="1" applyProtection="1">
      <alignment horizontal="left" vertical="center" wrapText="1"/>
      <protection hidden="1"/>
    </xf>
    <xf numFmtId="0" fontId="8" fillId="0" borderId="6" xfId="0" applyFont="1" applyBorder="1" applyAlignment="1" applyProtection="1">
      <alignment horizontal="left" vertical="center" wrapText="1"/>
      <protection hidden="1"/>
    </xf>
    <xf numFmtId="0" fontId="8" fillId="0" borderId="7" xfId="0" applyFont="1" applyBorder="1" applyAlignment="1" applyProtection="1">
      <alignment horizontal="left" vertical="center" wrapText="1"/>
      <protection hidden="1"/>
    </xf>
    <xf numFmtId="0" fontId="5" fillId="0" borderId="15" xfId="0" applyFont="1" applyBorder="1" applyAlignment="1" applyProtection="1">
      <alignment horizontal="center" vertical="center"/>
      <protection hidden="1"/>
    </xf>
    <xf numFmtId="0" fontId="5" fillId="0" borderId="11" xfId="0" applyFont="1" applyBorder="1" applyAlignment="1" applyProtection="1">
      <alignment horizontal="center" vertical="center"/>
      <protection hidden="1"/>
    </xf>
    <xf numFmtId="0" fontId="5" fillId="0" borderId="13" xfId="0" applyFont="1" applyBorder="1" applyAlignment="1" applyProtection="1">
      <alignment horizontal="center" vertical="center"/>
      <protection hidden="1"/>
    </xf>
    <xf numFmtId="0" fontId="31" fillId="0" borderId="6" xfId="0" applyFont="1" applyBorder="1" applyAlignment="1" applyProtection="1">
      <alignment horizontal="center" vertical="center"/>
      <protection hidden="1"/>
    </xf>
    <xf numFmtId="0" fontId="31" fillId="0" borderId="12" xfId="0" applyFont="1" applyBorder="1" applyAlignment="1" applyProtection="1">
      <alignment horizontal="center" vertical="center"/>
      <protection hidden="1"/>
    </xf>
    <xf numFmtId="0" fontId="31" fillId="0" borderId="7" xfId="0" applyFont="1" applyBorder="1" applyAlignment="1" applyProtection="1">
      <alignment horizontal="center" vertical="center"/>
      <protection hidden="1"/>
    </xf>
    <xf numFmtId="0" fontId="48" fillId="0" borderId="6" xfId="0" applyFont="1" applyBorder="1" applyAlignment="1" applyProtection="1">
      <alignment horizontal="justify" vertical="center" wrapText="1"/>
      <protection hidden="1"/>
    </xf>
    <xf numFmtId="0" fontId="48" fillId="0" borderId="7" xfId="0" applyFont="1" applyBorder="1" applyAlignment="1" applyProtection="1">
      <alignment horizontal="justify" vertical="center" wrapText="1"/>
      <protection hidden="1"/>
    </xf>
    <xf numFmtId="0" fontId="27" fillId="0" borderId="1" xfId="0" applyFont="1" applyBorder="1" applyAlignment="1" applyProtection="1">
      <alignment horizontal="center" vertical="center" wrapText="1"/>
      <protection hidden="1"/>
    </xf>
    <xf numFmtId="0" fontId="8" fillId="0" borderId="2" xfId="0" applyFont="1" applyBorder="1" applyAlignment="1" applyProtection="1">
      <alignment horizontal="justify" vertical="justify" wrapText="1"/>
      <protection hidden="1"/>
    </xf>
    <xf numFmtId="0" fontId="8" fillId="0" borderId="3" xfId="0" applyFont="1" applyBorder="1" applyAlignment="1" applyProtection="1">
      <alignment horizontal="justify" vertical="justify" wrapText="1"/>
      <protection hidden="1"/>
    </xf>
    <xf numFmtId="0" fontId="48" fillId="0" borderId="15" xfId="0" applyFont="1" applyBorder="1" applyAlignment="1" applyProtection="1">
      <alignment horizontal="right" vertical="center" wrapText="1"/>
      <protection hidden="1"/>
    </xf>
    <xf numFmtId="0" fontId="48" fillId="0" borderId="13" xfId="0" applyFont="1" applyBorder="1" applyAlignment="1" applyProtection="1">
      <alignment horizontal="right" vertical="center" wrapText="1"/>
      <protection hidden="1"/>
    </xf>
    <xf numFmtId="0" fontId="55" fillId="0" borderId="10" xfId="0" applyFont="1" applyBorder="1" applyAlignment="1" applyProtection="1">
      <alignment horizontal="left" vertical="center" wrapText="1"/>
      <protection hidden="1"/>
    </xf>
    <xf numFmtId="0" fontId="55" fillId="0" borderId="8" xfId="0" applyFont="1" applyBorder="1" applyAlignment="1" applyProtection="1">
      <alignment horizontal="left" vertical="center" wrapText="1"/>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8" fillId="0" borderId="1" xfId="0" applyFont="1" applyBorder="1" applyAlignment="1" applyProtection="1">
      <alignment horizontal="center" wrapText="1"/>
      <protection hidden="1"/>
    </xf>
    <xf numFmtId="0" fontId="8" fillId="0" borderId="1" xfId="0" applyFont="1" applyBorder="1" applyAlignment="1" applyProtection="1">
      <alignment horizontal="justify" vertical="center" wrapText="1"/>
      <protection hidden="1"/>
    </xf>
    <xf numFmtId="0" fontId="8" fillId="0" borderId="1" xfId="0" applyFont="1" applyBorder="1" applyAlignment="1" applyProtection="1">
      <alignment horizontal="center" vertical="center" wrapText="1"/>
      <protection hidden="1"/>
    </xf>
    <xf numFmtId="0" fontId="100" fillId="0" borderId="34" xfId="0" applyFont="1" applyBorder="1" applyAlignment="1" applyProtection="1">
      <alignment horizontal="center" vertical="center" wrapText="1"/>
      <protection hidden="1"/>
    </xf>
    <xf numFmtId="0" fontId="100" fillId="0" borderId="20" xfId="0" applyFont="1" applyBorder="1" applyAlignment="1" applyProtection="1">
      <alignment horizontal="center" vertical="center" wrapText="1"/>
      <protection hidden="1"/>
    </xf>
    <xf numFmtId="0" fontId="39" fillId="0" borderId="0" xfId="0" applyFont="1" applyAlignment="1" applyProtection="1">
      <alignment horizontal="left"/>
      <protection hidden="1"/>
    </xf>
    <xf numFmtId="0" fontId="38" fillId="0" borderId="32" xfId="0" applyFont="1" applyBorder="1" applyAlignment="1" applyProtection="1">
      <alignment horizontal="center" vertical="center"/>
      <protection hidden="1"/>
    </xf>
    <xf numFmtId="0" fontId="38" fillId="0" borderId="1" xfId="0" applyFont="1" applyBorder="1" applyAlignment="1" applyProtection="1">
      <alignment horizontal="center" vertical="center"/>
      <protection hidden="1"/>
    </xf>
    <xf numFmtId="0" fontId="107" fillId="0" borderId="0" xfId="0" applyFont="1" applyBorder="1" applyAlignment="1" applyProtection="1">
      <alignment horizontal="center" vertical="center" wrapText="1"/>
      <protection hidden="1"/>
    </xf>
    <xf numFmtId="0" fontId="57" fillId="0" borderId="18" xfId="0" applyFont="1" applyBorder="1" applyAlignment="1" applyProtection="1">
      <alignment horizontal="left" vertical="center" wrapText="1"/>
      <protection hidden="1"/>
    </xf>
    <xf numFmtId="0" fontId="57" fillId="0" borderId="19" xfId="0" applyFont="1" applyBorder="1" applyAlignment="1" applyProtection="1">
      <alignment horizontal="left" vertical="center" wrapText="1"/>
      <protection hidden="1"/>
    </xf>
    <xf numFmtId="0" fontId="57" fillId="0" borderId="1" xfId="0" applyFont="1" applyBorder="1" applyAlignment="1" applyProtection="1">
      <alignment horizontal="left" vertical="center"/>
      <protection hidden="1"/>
    </xf>
    <xf numFmtId="0" fontId="57" fillId="0" borderId="33" xfId="0" applyFont="1" applyBorder="1" applyAlignment="1" applyProtection="1">
      <alignment horizontal="left" vertical="center"/>
      <protection hidden="1"/>
    </xf>
    <xf numFmtId="14" fontId="45" fillId="0" borderId="1" xfId="0" applyNumberFormat="1" applyFont="1" applyBorder="1" applyAlignment="1" applyProtection="1">
      <alignment horizontal="center" vertical="center"/>
      <protection hidden="1"/>
    </xf>
    <xf numFmtId="14" fontId="45" fillId="0" borderId="33" xfId="0" applyNumberFormat="1" applyFont="1" applyBorder="1" applyAlignment="1" applyProtection="1">
      <alignment horizontal="center" vertical="center"/>
      <protection hidden="1"/>
    </xf>
    <xf numFmtId="0" fontId="38" fillId="0" borderId="33" xfId="0" applyFont="1" applyBorder="1" applyAlignment="1" applyProtection="1">
      <alignment horizontal="center" vertical="center"/>
      <protection hidden="1"/>
    </xf>
    <xf numFmtId="0" fontId="38" fillId="0" borderId="32" xfId="0" applyFont="1" applyBorder="1" applyAlignment="1" applyProtection="1">
      <alignment horizontal="justify" vertical="center" wrapText="1"/>
      <protection hidden="1"/>
    </xf>
    <xf numFmtId="0" fontId="38" fillId="0" borderId="1" xfId="0" applyFont="1" applyBorder="1" applyAlignment="1" applyProtection="1">
      <alignment horizontal="justify" vertical="center" wrapText="1"/>
      <protection hidden="1"/>
    </xf>
    <xf numFmtId="0" fontId="38" fillId="0" borderId="33" xfId="0" applyFont="1" applyBorder="1" applyAlignment="1" applyProtection="1">
      <alignment horizontal="justify" vertical="center" wrapText="1"/>
      <protection hidden="1"/>
    </xf>
    <xf numFmtId="0" fontId="26" fillId="0" borderId="12" xfId="0" applyFont="1" applyBorder="1" applyAlignment="1" applyProtection="1">
      <alignment horizontal="center" vertical="center"/>
      <protection hidden="1"/>
    </xf>
    <xf numFmtId="0" fontId="4" fillId="0" borderId="0" xfId="0" applyFont="1" applyAlignment="1" applyProtection="1">
      <alignment horizontal="center"/>
      <protection hidden="1"/>
    </xf>
    <xf numFmtId="0" fontId="4" fillId="0" borderId="0" xfId="0" applyFont="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2" xfId="0" applyFont="1" applyBorder="1" applyAlignment="1" applyProtection="1">
      <alignment horizontal="left" vertical="center"/>
      <protection hidden="1"/>
    </xf>
    <xf numFmtId="0" fontId="8" fillId="0" borderId="4" xfId="0" applyFont="1" applyBorder="1" applyAlignment="1" applyProtection="1">
      <alignment horizontal="left" vertical="center"/>
      <protection hidden="1"/>
    </xf>
    <xf numFmtId="0" fontId="8" fillId="0" borderId="3" xfId="0" applyFont="1" applyBorder="1" applyAlignment="1" applyProtection="1">
      <alignment horizontal="left" vertical="center"/>
      <protection hidden="1"/>
    </xf>
    <xf numFmtId="0" fontId="27" fillId="0" borderId="1" xfId="0" applyFont="1" applyBorder="1" applyAlignment="1" applyProtection="1">
      <alignment horizontal="center" vertical="center"/>
      <protection hidden="1"/>
    </xf>
    <xf numFmtId="0" fontId="99" fillId="4" borderId="1" xfId="0" applyFont="1" applyFill="1" applyBorder="1" applyAlignment="1">
      <alignment horizontal="center" vertical="center" wrapText="1"/>
    </xf>
    <xf numFmtId="0" fontId="35" fillId="0" borderId="0" xfId="0" applyFont="1" applyAlignment="1" applyProtection="1">
      <alignment horizontal="center"/>
      <protection hidden="1"/>
    </xf>
    <xf numFmtId="0" fontId="36" fillId="0" borderId="0" xfId="0" quotePrefix="1" applyFont="1" applyAlignment="1" applyProtection="1">
      <alignment horizontal="justify" vertical="center" wrapText="1"/>
      <protection hidden="1"/>
    </xf>
    <xf numFmtId="0" fontId="36" fillId="0" borderId="0" xfId="0" quotePrefix="1" applyFont="1" applyAlignment="1" applyProtection="1">
      <alignment horizontal="left" vertical="center" wrapText="1"/>
      <protection locked="0"/>
    </xf>
    <xf numFmtId="1" fontId="62" fillId="6" borderId="9" xfId="0" applyNumberFormat="1" applyFont="1" applyFill="1" applyBorder="1" applyAlignment="1">
      <alignment horizontal="center" vertical="center" wrapText="1"/>
    </xf>
    <xf numFmtId="0" fontId="62" fillId="6" borderId="14" xfId="0" applyFont="1" applyFill="1" applyBorder="1" applyAlignment="1">
      <alignment horizontal="center" vertical="center" wrapText="1"/>
    </xf>
    <xf numFmtId="1" fontId="61" fillId="6" borderId="9" xfId="0" applyNumberFormat="1" applyFont="1" applyFill="1" applyBorder="1" applyAlignment="1" applyProtection="1">
      <alignment horizontal="center" vertical="center" wrapText="1"/>
      <protection hidden="1"/>
    </xf>
    <xf numFmtId="0" fontId="70" fillId="2" borderId="22" xfId="0" applyFont="1" applyFill="1" applyBorder="1" applyAlignment="1" applyProtection="1">
      <alignment horizontal="center" vertical="center" wrapText="1"/>
      <protection hidden="1"/>
    </xf>
    <xf numFmtId="0" fontId="70" fillId="2" borderId="23" xfId="0" applyFont="1" applyFill="1" applyBorder="1" applyAlignment="1" applyProtection="1">
      <alignment horizontal="center" vertical="center" wrapText="1"/>
      <protection hidden="1"/>
    </xf>
    <xf numFmtId="0" fontId="70" fillId="2" borderId="25" xfId="0" applyFont="1" applyFill="1" applyBorder="1" applyAlignment="1" applyProtection="1">
      <alignment horizontal="center" vertical="center" wrapText="1"/>
      <protection hidden="1"/>
    </xf>
    <xf numFmtId="0" fontId="72" fillId="2" borderId="22" xfId="0" applyFont="1" applyFill="1" applyBorder="1" applyAlignment="1" applyProtection="1">
      <alignment horizontal="center" vertical="center" wrapText="1"/>
      <protection hidden="1"/>
    </xf>
    <xf numFmtId="0" fontId="72" fillId="2" borderId="23" xfId="0" applyFont="1" applyFill="1" applyBorder="1" applyAlignment="1" applyProtection="1">
      <alignment horizontal="center" vertical="center" wrapText="1"/>
      <protection hidden="1"/>
    </xf>
    <xf numFmtId="0" fontId="72" fillId="2" borderId="25" xfId="0" applyFont="1" applyFill="1" applyBorder="1" applyAlignment="1" applyProtection="1">
      <alignment horizontal="center" vertical="center" wrapText="1"/>
      <protection hidden="1"/>
    </xf>
    <xf numFmtId="0" fontId="80" fillId="3" borderId="9" xfId="0" applyFont="1" applyFill="1" applyBorder="1" applyAlignment="1">
      <alignment horizontal="center" vertical="center" wrapText="1"/>
    </xf>
    <xf numFmtId="0" fontId="10" fillId="6" borderId="9" xfId="0" applyFont="1" applyFill="1" applyBorder="1" applyAlignment="1">
      <alignment horizontal="center" vertical="center" wrapText="1"/>
    </xf>
    <xf numFmtId="0" fontId="62" fillId="6" borderId="9" xfId="0" applyFont="1" applyFill="1" applyBorder="1" applyAlignment="1">
      <alignment horizontal="center" vertical="center" wrapText="1"/>
    </xf>
    <xf numFmtId="1" fontId="62" fillId="6" borderId="10" xfId="0" applyNumberFormat="1" applyFont="1" applyFill="1" applyBorder="1" applyAlignment="1" applyProtection="1">
      <alignment horizontal="center" vertical="center" wrapText="1"/>
      <protection hidden="1"/>
    </xf>
    <xf numFmtId="0" fontId="62" fillId="6" borderId="5" xfId="0" applyFont="1" applyFill="1" applyBorder="1" applyAlignment="1">
      <alignment horizontal="center" vertical="center" wrapText="1"/>
    </xf>
    <xf numFmtId="166" fontId="75" fillId="5" borderId="5" xfId="0" applyNumberFormat="1" applyFont="1" applyFill="1" applyBorder="1" applyAlignment="1" applyProtection="1">
      <alignment horizontal="center" vertical="center" wrapText="1"/>
      <protection hidden="1"/>
    </xf>
    <xf numFmtId="166" fontId="75" fillId="5" borderId="9" xfId="0" applyNumberFormat="1" applyFont="1" applyFill="1" applyBorder="1" applyAlignment="1" applyProtection="1">
      <alignment horizontal="center" vertical="center" wrapText="1"/>
      <protection hidden="1"/>
    </xf>
    <xf numFmtId="0" fontId="61" fillId="6" borderId="9" xfId="0" applyFont="1" applyFill="1" applyBorder="1" applyAlignment="1" applyProtection="1">
      <alignment horizontal="center" vertical="center" wrapText="1"/>
      <protection hidden="1"/>
    </xf>
    <xf numFmtId="0" fontId="62" fillId="6" borderId="9" xfId="0" applyFont="1" applyFill="1" applyBorder="1" applyAlignment="1" applyProtection="1">
      <alignment horizontal="center" vertical="center" wrapText="1"/>
      <protection hidden="1"/>
    </xf>
    <xf numFmtId="0" fontId="62" fillId="7" borderId="18" xfId="0" applyFont="1" applyFill="1" applyBorder="1" applyAlignment="1">
      <alignment horizontal="center" vertical="center" wrapText="1"/>
    </xf>
    <xf numFmtId="0" fontId="62" fillId="7" borderId="20" xfId="0" applyFont="1" applyFill="1" applyBorder="1" applyAlignment="1">
      <alignment horizontal="center" vertical="center" wrapText="1"/>
    </xf>
    <xf numFmtId="1" fontId="62" fillId="7" borderId="18" xfId="0" applyNumberFormat="1" applyFont="1" applyFill="1" applyBorder="1" applyAlignment="1">
      <alignment horizontal="center" vertical="center" wrapText="1"/>
    </xf>
    <xf numFmtId="1" fontId="62" fillId="7" borderId="20" xfId="0" applyNumberFormat="1" applyFont="1" applyFill="1" applyBorder="1" applyAlignment="1">
      <alignment horizontal="center" vertical="center" wrapText="1"/>
    </xf>
    <xf numFmtId="0" fontId="62" fillId="7" borderId="18" xfId="0" applyFont="1" applyFill="1" applyBorder="1" applyAlignment="1" applyProtection="1">
      <alignment horizontal="center" vertical="center" wrapText="1"/>
      <protection hidden="1"/>
    </xf>
    <xf numFmtId="0" fontId="62" fillId="7" borderId="20" xfId="0" applyFont="1" applyFill="1" applyBorder="1" applyAlignment="1" applyProtection="1">
      <alignment horizontal="center" vertical="center" wrapText="1"/>
      <protection hidden="1"/>
    </xf>
    <xf numFmtId="1" fontId="61" fillId="7" borderId="18" xfId="0" applyNumberFormat="1" applyFont="1" applyFill="1" applyBorder="1" applyAlignment="1" applyProtection="1">
      <alignment horizontal="center" vertical="center" wrapText="1"/>
      <protection hidden="1"/>
    </xf>
    <xf numFmtId="1" fontId="61" fillId="7" borderId="20" xfId="0" applyNumberFormat="1" applyFont="1" applyFill="1" applyBorder="1" applyAlignment="1" applyProtection="1">
      <alignment horizontal="center" vertical="center" wrapText="1"/>
      <protection hidden="1"/>
    </xf>
    <xf numFmtId="0" fontId="79" fillId="3" borderId="27" xfId="0" applyFont="1" applyFill="1" applyBorder="1" applyAlignment="1">
      <alignment horizontal="center" vertical="center" wrapText="1"/>
    </xf>
    <xf numFmtId="0" fontId="79" fillId="3" borderId="29" xfId="0" applyFont="1" applyFill="1" applyBorder="1" applyAlignment="1">
      <alignment horizontal="center" vertical="center" wrapText="1"/>
    </xf>
    <xf numFmtId="1" fontId="80" fillId="3" borderId="18" xfId="0" applyNumberFormat="1" applyFont="1" applyFill="1" applyBorder="1" applyAlignment="1" applyProtection="1">
      <alignment horizontal="center" vertical="center" wrapText="1"/>
      <protection hidden="1"/>
    </xf>
    <xf numFmtId="1" fontId="80" fillId="3" borderId="20" xfId="0" applyNumberFormat="1" applyFont="1" applyFill="1" applyBorder="1" applyAlignment="1" applyProtection="1">
      <alignment horizontal="center" vertical="center" wrapText="1"/>
      <protection hidden="1"/>
    </xf>
    <xf numFmtId="1" fontId="62" fillId="7" borderId="18" xfId="0" applyNumberFormat="1" applyFont="1" applyFill="1" applyBorder="1" applyAlignment="1" applyProtection="1">
      <alignment horizontal="center" vertical="center" wrapText="1"/>
      <protection hidden="1"/>
    </xf>
    <xf numFmtId="1" fontId="62" fillId="7" borderId="20" xfId="0" applyNumberFormat="1" applyFont="1" applyFill="1" applyBorder="1" applyAlignment="1" applyProtection="1">
      <alignment horizontal="center" vertical="center" wrapText="1"/>
      <protection hidden="1"/>
    </xf>
    <xf numFmtId="0" fontId="10" fillId="7" borderId="27" xfId="0" applyFont="1" applyFill="1" applyBorder="1" applyAlignment="1">
      <alignment horizontal="center" vertical="center" wrapText="1"/>
    </xf>
    <xf numFmtId="0" fontId="10" fillId="7" borderId="29" xfId="0" applyFont="1" applyFill="1" applyBorder="1" applyAlignment="1">
      <alignment horizontal="center" vertical="center" wrapText="1"/>
    </xf>
    <xf numFmtId="0" fontId="10" fillId="7" borderId="18" xfId="0" applyFont="1" applyFill="1" applyBorder="1" applyAlignment="1">
      <alignment horizontal="center" vertical="center" wrapText="1"/>
    </xf>
    <xf numFmtId="0" fontId="10" fillId="7" borderId="20" xfId="0" applyFont="1" applyFill="1" applyBorder="1" applyAlignment="1">
      <alignment horizontal="center" vertical="center" wrapText="1"/>
    </xf>
    <xf numFmtId="0" fontId="62" fillId="6" borderId="6" xfId="0" applyFont="1" applyFill="1" applyBorder="1" applyAlignment="1">
      <alignment horizontal="center" vertical="center" wrapText="1"/>
    </xf>
    <xf numFmtId="0" fontId="62" fillId="6" borderId="15" xfId="0" applyFont="1" applyFill="1" applyBorder="1" applyAlignment="1">
      <alignment horizontal="center" vertical="center" wrapText="1"/>
    </xf>
    <xf numFmtId="0" fontId="62" fillId="7" borderId="26" xfId="0" applyFont="1" applyFill="1" applyBorder="1" applyAlignment="1">
      <alignment horizontal="center" vertical="center" wrapText="1"/>
    </xf>
    <xf numFmtId="0" fontId="62" fillId="7" borderId="28" xfId="0" applyFont="1" applyFill="1" applyBorder="1" applyAlignment="1">
      <alignment horizontal="center" vertical="center" wrapText="1"/>
    </xf>
    <xf numFmtId="0" fontId="79" fillId="3" borderId="18" xfId="0" applyFont="1" applyFill="1" applyBorder="1" applyAlignment="1">
      <alignment horizontal="center" vertical="center" wrapText="1"/>
    </xf>
    <xf numFmtId="0" fontId="79" fillId="3" borderId="20" xfId="0" applyFont="1" applyFill="1" applyBorder="1" applyAlignment="1">
      <alignment horizontal="center" vertical="center" wrapText="1"/>
    </xf>
    <xf numFmtId="0" fontId="79" fillId="3" borderId="19" xfId="0" applyFont="1" applyFill="1" applyBorder="1" applyAlignment="1">
      <alignment horizontal="center" vertical="center" wrapText="1"/>
    </xf>
    <xf numFmtId="0" fontId="79" fillId="3" borderId="21" xfId="0" applyFont="1" applyFill="1" applyBorder="1" applyAlignment="1">
      <alignment horizontal="center" vertical="center" wrapText="1"/>
    </xf>
    <xf numFmtId="0" fontId="62" fillId="2" borderId="3"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3.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4.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5.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6.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7.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8.xml.rels><?xml version="1.0" encoding="UTF-8" standalone="yes"?>
<Relationships xmlns="http://schemas.openxmlformats.org/package/2006/relationships"><Relationship Id="rId1" Type="http://schemas.openxmlformats.org/officeDocument/2006/relationships/hyperlink" Target="#'DATA INPUT'!C2"/></Relationships>
</file>

<file path=xl/drawings/drawing1.xml><?xml version="1.0" encoding="utf-8"?>
<xdr:wsDr xmlns:xdr="http://schemas.openxmlformats.org/drawingml/2006/spreadsheetDrawing" xmlns:a="http://schemas.openxmlformats.org/drawingml/2006/main">
  <xdr:twoCellAnchor>
    <xdr:from>
      <xdr:col>9</xdr:col>
      <xdr:colOff>2371725</xdr:colOff>
      <xdr:row>15</xdr:row>
      <xdr:rowOff>180975</xdr:rowOff>
    </xdr:from>
    <xdr:to>
      <xdr:col>10</xdr:col>
      <xdr:colOff>8890</xdr:colOff>
      <xdr:row>16</xdr:row>
      <xdr:rowOff>153035</xdr:rowOff>
    </xdr:to>
    <xdr:sp macro="" textlink="">
      <xdr:nvSpPr>
        <xdr:cNvPr id="9" name="Text Box 85">
          <a:extLst>
            <a:ext uri="{FF2B5EF4-FFF2-40B4-BE49-F238E27FC236}">
              <a16:creationId xmlns:a16="http://schemas.microsoft.com/office/drawing/2014/main" xmlns="" id="{55D7790A-2EC9-43D1-A6D2-24D1CF1BA74E}"/>
            </a:ext>
          </a:extLst>
        </xdr:cNvPr>
        <xdr:cNvSpPr txBox="1">
          <a:spLocks noChangeArrowheads="1"/>
        </xdr:cNvSpPr>
      </xdr:nvSpPr>
      <xdr:spPr bwMode="auto">
        <a:xfrm>
          <a:off x="17449800" y="3286125"/>
          <a:ext cx="713740" cy="1720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4</xdr:col>
      <xdr:colOff>85725</xdr:colOff>
      <xdr:row>6</xdr:row>
      <xdr:rowOff>95249</xdr:rowOff>
    </xdr:from>
    <xdr:to>
      <xdr:col>5</xdr:col>
      <xdr:colOff>771525</xdr:colOff>
      <xdr:row>11</xdr:row>
      <xdr:rowOff>152399</xdr:rowOff>
    </xdr:to>
    <xdr:sp macro="" textlink="">
      <xdr:nvSpPr>
        <xdr:cNvPr id="98" name="Flowchart: Alternate Process 97"/>
        <xdr:cNvSpPr/>
      </xdr:nvSpPr>
      <xdr:spPr>
        <a:xfrm>
          <a:off x="9486900" y="1828799"/>
          <a:ext cx="2647950" cy="1533525"/>
        </a:xfrm>
        <a:prstGeom prst="flowChartAlternateProcess">
          <a:avLst/>
        </a:prstGeom>
        <a:solidFill>
          <a:srgbClr val="00B0F0"/>
        </a:solidFill>
        <a:ln w="57150" cap="flat">
          <a:solidFill>
            <a:srgbClr val="7030A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noAutofit/>
        </a:bodyPr>
        <a:lstStyle/>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Prepared and designed by:</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PURUSHOTHAM.  P</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Department of Collegiate Education, Bengaluru.</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Email:</a:t>
          </a:r>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 </a:t>
          </a:r>
        </a:p>
        <a:p>
          <a:pPr algn="l"/>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sppurushotham65@gmail.com</a:t>
          </a:r>
          <a:endParaRPr lang="en-IN" sz="1200" b="1" i="0" normalizeH="0">
            <a:ln>
              <a:solidFill>
                <a:schemeClr val="bg2">
                  <a:lumMod val="10000"/>
                </a:schemeClr>
              </a:solidFill>
            </a:ln>
            <a:solidFill>
              <a:schemeClr val="accent4">
                <a:lumMod val="50000"/>
              </a:schemeClr>
            </a:solidFill>
            <a:latin typeface="Courgette" pitchFamily="2" charset="0"/>
            <a:cs typeface="Arial" pitchFamily="34" charset="0"/>
          </a:endParaRPr>
        </a:p>
      </xdr:txBody>
    </xdr:sp>
    <xdr:clientData fPrintsWithSheet="0"/>
  </xdr:twoCellAnchor>
  <xdr:twoCellAnchor editAs="absolute">
    <xdr:from>
      <xdr:col>3</xdr:col>
      <xdr:colOff>285748</xdr:colOff>
      <xdr:row>94</xdr:row>
      <xdr:rowOff>142876</xdr:rowOff>
    </xdr:from>
    <xdr:to>
      <xdr:col>4</xdr:col>
      <xdr:colOff>952499</xdr:colOff>
      <xdr:row>98</xdr:row>
      <xdr:rowOff>180976</xdr:rowOff>
    </xdr:to>
    <xdr:sp macro="" textlink="">
      <xdr:nvSpPr>
        <xdr:cNvPr id="101" name="Rounded Rectangle 100"/>
        <xdr:cNvSpPr>
          <a:spLocks noChangeAspect="1"/>
        </xdr:cNvSpPr>
      </xdr:nvSpPr>
      <xdr:spPr>
        <a:xfrm>
          <a:off x="7724773" y="27327226"/>
          <a:ext cx="2628901" cy="1409700"/>
        </a:xfrm>
        <a:prstGeom prst="roundRect">
          <a:avLst/>
        </a:prstGeom>
        <a:solidFill>
          <a:srgbClr val="00B0F0"/>
        </a:solidFill>
        <a:ln w="57150">
          <a:solidFill>
            <a:srgbClr val="FF0000"/>
          </a:solidFill>
        </a:ln>
        <a:effectLst/>
        <a:scene3d>
          <a:camera prst="orthographicFront">
            <a:rot lat="0" lon="0" rev="0"/>
          </a:camera>
          <a:lightRig rig="glow" dir="t">
            <a:rot lat="0" lon="0" rev="14100000"/>
          </a:lightRig>
        </a:scene3d>
        <a:sp3d prstMaterial="softEdge">
          <a:bevelT w="127000" prst="artDeco"/>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0">
          <a:noAutofit/>
        </a:bodyPr>
        <a:lstStyle/>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Prepared and designed by:</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PURUSHOTHAM.  P</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Department of Collegiate Education, Bengaluru.</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Email:</a:t>
          </a:r>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 </a:t>
          </a:r>
        </a:p>
        <a:p>
          <a:pPr algn="l"/>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sppurushotham65@gmail.com</a:t>
          </a:r>
          <a:endParaRPr lang="en-IN" sz="1200" b="1" i="0" normalizeH="0">
            <a:solidFill>
              <a:schemeClr val="bg2">
                <a:lumMod val="10000"/>
              </a:schemeClr>
            </a:solidFill>
            <a:effectLst>
              <a:innerShdw blurRad="114300">
                <a:prstClr val="black"/>
              </a:innerShdw>
            </a:effectLst>
            <a:latin typeface="Courgette" pitchFamily="2" charset="0"/>
            <a:cs typeface="Arial" pitchFamily="34" charset="0"/>
          </a:endParaRPr>
        </a:p>
      </xdr:txBody>
    </xdr:sp>
    <xdr:clientData fPrintsWithSheet="0"/>
  </xdr:twoCellAnchor>
  <xdr:twoCellAnchor editAs="absolute">
    <xdr:from>
      <xdr:col>3</xdr:col>
      <xdr:colOff>1876425</xdr:colOff>
      <xdr:row>1</xdr:row>
      <xdr:rowOff>104775</xdr:rowOff>
    </xdr:from>
    <xdr:to>
      <xdr:col>4</xdr:col>
      <xdr:colOff>1647825</xdr:colOff>
      <xdr:row>3</xdr:row>
      <xdr:rowOff>161925</xdr:rowOff>
    </xdr:to>
    <xdr:sp macro="" textlink="">
      <xdr:nvSpPr>
        <xdr:cNvPr id="2" name="Snip Same Side Corner Rectangle 1"/>
        <xdr:cNvSpPr/>
      </xdr:nvSpPr>
      <xdr:spPr>
        <a:xfrm>
          <a:off x="9315450" y="361950"/>
          <a:ext cx="1733550" cy="647700"/>
        </a:xfrm>
        <a:prstGeom prst="snip2SameRect">
          <a:avLst/>
        </a:prstGeom>
        <a:solidFill>
          <a:srgbClr val="FFFF00"/>
        </a:solidFill>
        <a:ln w="44450">
          <a:solidFill>
            <a:schemeClr val="accent2">
              <a:lumMod val="75000"/>
            </a:schemeClr>
          </a:solidFill>
        </a:ln>
        <a:effectLst>
          <a:glow rad="228600">
            <a:schemeClr val="accent3">
              <a:satMod val="175000"/>
              <a:alpha val="40000"/>
            </a:schemeClr>
          </a:glow>
          <a:outerShdw blurRad="40000" dist="23000" dir="5400000" rotWithShape="0">
            <a:srgbClr val="000000">
              <a:alpha val="35000"/>
            </a:srgbClr>
          </a:outerShdw>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IN" sz="1100" b="0">
              <a:solidFill>
                <a:srgbClr val="002060"/>
              </a:solidFill>
              <a:latin typeface="+mj-lt"/>
            </a:rPr>
            <a:t>Enter your details in "</a:t>
          </a:r>
          <a:r>
            <a:rPr lang="en-IN" sz="1100" b="1">
              <a:solidFill>
                <a:srgbClr val="002060"/>
              </a:solidFill>
              <a:latin typeface="+mj-lt"/>
            </a:rPr>
            <a:t>YELLOW COLOURED</a:t>
          </a:r>
          <a:r>
            <a:rPr lang="en-IN" sz="1100" b="0">
              <a:solidFill>
                <a:srgbClr val="002060"/>
              </a:solidFill>
              <a:latin typeface="+mj-lt"/>
            </a:rPr>
            <a:t>"</a:t>
          </a:r>
          <a:r>
            <a:rPr lang="en-IN" sz="1100" b="0" baseline="0">
              <a:solidFill>
                <a:srgbClr val="002060"/>
              </a:solidFill>
              <a:latin typeface="+mj-lt"/>
            </a:rPr>
            <a:t> Cells only</a:t>
          </a:r>
          <a:endParaRPr lang="en-IN" sz="1100" b="0">
            <a:solidFill>
              <a:srgbClr val="002060"/>
            </a:solidFill>
            <a:latin typeface="+mj-lt"/>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22</xdr:col>
      <xdr:colOff>209550</xdr:colOff>
      <xdr:row>1</xdr:row>
      <xdr:rowOff>171450</xdr:rowOff>
    </xdr:from>
    <xdr:to>
      <xdr:col>27</xdr:col>
      <xdr:colOff>219074</xdr:colOff>
      <xdr:row>9</xdr:row>
      <xdr:rowOff>133350</xdr:rowOff>
    </xdr:to>
    <xdr:grpSp>
      <xdr:nvGrpSpPr>
        <xdr:cNvPr id="2" name="Group 1">
          <a:extLst>
            <a:ext uri="{FF2B5EF4-FFF2-40B4-BE49-F238E27FC236}">
              <a16:creationId xmlns:a16="http://schemas.microsoft.com/office/drawing/2014/main" xmlns="" id="{658EC28C-BBEE-4B2E-B5EF-85FB0CE63F9F}"/>
            </a:ext>
          </a:extLst>
        </xdr:cNvPr>
        <xdr:cNvGrpSpPr>
          <a:grpSpLocks/>
        </xdr:cNvGrpSpPr>
      </xdr:nvGrpSpPr>
      <xdr:grpSpPr bwMode="auto">
        <a:xfrm>
          <a:off x="5114925" y="409575"/>
          <a:ext cx="1104899" cy="1352550"/>
          <a:chOff x="8761" y="-2230"/>
          <a:chExt cx="2428" cy="2220"/>
        </a:xfrm>
      </xdr:grpSpPr>
      <xdr:sp macro="" textlink="">
        <xdr:nvSpPr>
          <xdr:cNvPr id="3" name="Freeform 6">
            <a:extLst>
              <a:ext uri="{FF2B5EF4-FFF2-40B4-BE49-F238E27FC236}">
                <a16:creationId xmlns:a16="http://schemas.microsoft.com/office/drawing/2014/main" xmlns="" id="{239B4E9B-57A8-43C9-B135-F450CCF8A139}"/>
              </a:ext>
            </a:extLst>
          </xdr:cNvPr>
          <xdr:cNvSpPr>
            <a:spLocks/>
          </xdr:cNvSpPr>
        </xdr:nvSpPr>
        <xdr:spPr bwMode="auto">
          <a:xfrm>
            <a:off x="8761" y="-2230"/>
            <a:ext cx="2428" cy="2220"/>
          </a:xfrm>
          <a:custGeom>
            <a:avLst/>
            <a:gdLst>
              <a:gd name="T0" fmla="+- 0 9131 8761"/>
              <a:gd name="T1" fmla="*/ T0 w 2428"/>
              <a:gd name="T2" fmla="+- 0 -2230 -2230"/>
              <a:gd name="T3" fmla="*/ -2230 h 2220"/>
              <a:gd name="T4" fmla="+- 0 9071 8761"/>
              <a:gd name="T5" fmla="*/ T4 w 2428"/>
              <a:gd name="T6" fmla="+- 0 -2225 -2230"/>
              <a:gd name="T7" fmla="*/ -2225 h 2220"/>
              <a:gd name="T8" fmla="+- 0 8987 8761"/>
              <a:gd name="T9" fmla="*/ T8 w 2428"/>
              <a:gd name="T10" fmla="+- 0 -2201 -2230"/>
              <a:gd name="T11" fmla="*/ -2201 h 2220"/>
              <a:gd name="T12" fmla="+- 0 8912 8761"/>
              <a:gd name="T13" fmla="*/ T12 w 2428"/>
              <a:gd name="T14" fmla="+- 0 -2159 -2230"/>
              <a:gd name="T15" fmla="*/ -2159 h 2220"/>
              <a:gd name="T16" fmla="+- 0 8850 8761"/>
              <a:gd name="T17" fmla="*/ T16 w 2428"/>
              <a:gd name="T18" fmla="+- 0 -2101 -2230"/>
              <a:gd name="T19" fmla="*/ -2101 h 2220"/>
              <a:gd name="T20" fmla="+- 0 8802 8761"/>
              <a:gd name="T21" fmla="*/ T20 w 2428"/>
              <a:gd name="T22" fmla="+- 0 -2030 -2230"/>
              <a:gd name="T23" fmla="*/ -2030 h 2220"/>
              <a:gd name="T24" fmla="+- 0 8772 8761"/>
              <a:gd name="T25" fmla="*/ T24 w 2428"/>
              <a:gd name="T26" fmla="+- 0 -1949 -2230"/>
              <a:gd name="T27" fmla="*/ -1949 h 2220"/>
              <a:gd name="T28" fmla="+- 0 8761 8761"/>
              <a:gd name="T29" fmla="*/ T28 w 2428"/>
              <a:gd name="T30" fmla="+- 0 -1860 -2230"/>
              <a:gd name="T31" fmla="*/ -1860 h 2220"/>
              <a:gd name="T32" fmla="+- 0 8761 8761"/>
              <a:gd name="T33" fmla="*/ T32 w 2428"/>
              <a:gd name="T34" fmla="+- 0 -380 -2230"/>
              <a:gd name="T35" fmla="*/ -380 h 2220"/>
              <a:gd name="T36" fmla="+- 0 8766 8761"/>
              <a:gd name="T37" fmla="*/ T36 w 2428"/>
              <a:gd name="T38" fmla="+- 0 -320 -2230"/>
              <a:gd name="T39" fmla="*/ -320 h 2220"/>
              <a:gd name="T40" fmla="+- 0 8790 8761"/>
              <a:gd name="T41" fmla="*/ T40 w 2428"/>
              <a:gd name="T42" fmla="+- 0 -236 -2230"/>
              <a:gd name="T43" fmla="*/ -236 h 2220"/>
              <a:gd name="T44" fmla="+- 0 8832 8761"/>
              <a:gd name="T45" fmla="*/ T44 w 2428"/>
              <a:gd name="T46" fmla="+- 0 -161 -2230"/>
              <a:gd name="T47" fmla="*/ -161 h 2220"/>
              <a:gd name="T48" fmla="+- 0 8890 8761"/>
              <a:gd name="T49" fmla="*/ T48 w 2428"/>
              <a:gd name="T50" fmla="+- 0 -99 -2230"/>
              <a:gd name="T51" fmla="*/ -99 h 2220"/>
              <a:gd name="T52" fmla="+- 0 8961 8761"/>
              <a:gd name="T53" fmla="*/ T52 w 2428"/>
              <a:gd name="T54" fmla="+- 0 -51 -2230"/>
              <a:gd name="T55" fmla="*/ -51 h 2220"/>
              <a:gd name="T56" fmla="+- 0 9042 8761"/>
              <a:gd name="T57" fmla="*/ T56 w 2428"/>
              <a:gd name="T58" fmla="+- 0 -21 -2230"/>
              <a:gd name="T59" fmla="*/ -21 h 2220"/>
              <a:gd name="T60" fmla="+- 0 9131 8761"/>
              <a:gd name="T61" fmla="*/ T60 w 2428"/>
              <a:gd name="T62" fmla="+- 0 -10 -2230"/>
              <a:gd name="T63" fmla="*/ -10 h 2220"/>
              <a:gd name="T64" fmla="+- 0 10819 8761"/>
              <a:gd name="T65" fmla="*/ T64 w 2428"/>
              <a:gd name="T66" fmla="+- 0 -10 -2230"/>
              <a:gd name="T67" fmla="*/ -10 h 2220"/>
              <a:gd name="T68" fmla="+- 0 10879 8761"/>
              <a:gd name="T69" fmla="*/ T68 w 2428"/>
              <a:gd name="T70" fmla="+- 0 -15 -2230"/>
              <a:gd name="T71" fmla="*/ -15 h 2220"/>
              <a:gd name="T72" fmla="+- 0 10963 8761"/>
              <a:gd name="T73" fmla="*/ T72 w 2428"/>
              <a:gd name="T74" fmla="+- 0 -39 -2230"/>
              <a:gd name="T75" fmla="*/ -39 h 2220"/>
              <a:gd name="T76" fmla="+- 0 11038 8761"/>
              <a:gd name="T77" fmla="*/ T76 w 2428"/>
              <a:gd name="T78" fmla="+- 0 -81 -2230"/>
              <a:gd name="T79" fmla="*/ -81 h 2220"/>
              <a:gd name="T80" fmla="+- 0 11100 8761"/>
              <a:gd name="T81" fmla="*/ T80 w 2428"/>
              <a:gd name="T82" fmla="+- 0 -139 -2230"/>
              <a:gd name="T83" fmla="*/ -139 h 2220"/>
              <a:gd name="T84" fmla="+- 0 11148 8761"/>
              <a:gd name="T85" fmla="*/ T84 w 2428"/>
              <a:gd name="T86" fmla="+- 0 -210 -2230"/>
              <a:gd name="T87" fmla="*/ -210 h 2220"/>
              <a:gd name="T88" fmla="+- 0 11178 8761"/>
              <a:gd name="T89" fmla="*/ T88 w 2428"/>
              <a:gd name="T90" fmla="+- 0 -291 -2230"/>
              <a:gd name="T91" fmla="*/ -291 h 2220"/>
              <a:gd name="T92" fmla="+- 0 11189 8761"/>
              <a:gd name="T93" fmla="*/ T92 w 2428"/>
              <a:gd name="T94" fmla="+- 0 -380 -2230"/>
              <a:gd name="T95" fmla="*/ -380 h 2220"/>
              <a:gd name="T96" fmla="+- 0 11189 8761"/>
              <a:gd name="T97" fmla="*/ T96 w 2428"/>
              <a:gd name="T98" fmla="+- 0 -1860 -2230"/>
              <a:gd name="T99" fmla="*/ -1860 h 2220"/>
              <a:gd name="T100" fmla="+- 0 11184 8761"/>
              <a:gd name="T101" fmla="*/ T100 w 2428"/>
              <a:gd name="T102" fmla="+- 0 -1920 -2230"/>
              <a:gd name="T103" fmla="*/ -1920 h 2220"/>
              <a:gd name="T104" fmla="+- 0 11160 8761"/>
              <a:gd name="T105" fmla="*/ T104 w 2428"/>
              <a:gd name="T106" fmla="+- 0 -2004 -2230"/>
              <a:gd name="T107" fmla="*/ -2004 h 2220"/>
              <a:gd name="T108" fmla="+- 0 11118 8761"/>
              <a:gd name="T109" fmla="*/ T108 w 2428"/>
              <a:gd name="T110" fmla="+- 0 -2078 -2230"/>
              <a:gd name="T111" fmla="*/ -2078 h 2220"/>
              <a:gd name="T112" fmla="+- 0 11060 8761"/>
              <a:gd name="T113" fmla="*/ T112 w 2428"/>
              <a:gd name="T114" fmla="+- 0 -2141 -2230"/>
              <a:gd name="T115" fmla="*/ -2141 h 2220"/>
              <a:gd name="T116" fmla="+- 0 10989 8761"/>
              <a:gd name="T117" fmla="*/ T116 w 2428"/>
              <a:gd name="T118" fmla="+- 0 -2189 -2230"/>
              <a:gd name="T119" fmla="*/ -2189 h 2220"/>
              <a:gd name="T120" fmla="+- 0 10908 8761"/>
              <a:gd name="T121" fmla="*/ T120 w 2428"/>
              <a:gd name="T122" fmla="+- 0 -2219 -2230"/>
              <a:gd name="T123" fmla="*/ -2219 h 2220"/>
              <a:gd name="T124" fmla="+- 0 10819 8761"/>
              <a:gd name="T125" fmla="*/ T124 w 2428"/>
              <a:gd name="T126" fmla="+- 0 -2230 -2230"/>
              <a:gd name="T127" fmla="*/ -2230 h 2220"/>
              <a:gd name="T128" fmla="+- 0 9131 8761"/>
              <a:gd name="T129" fmla="*/ T128 w 2428"/>
              <a:gd name="T130" fmla="+- 0 -2230 -2230"/>
              <a:gd name="T131" fmla="*/ -2230 h 2220"/>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 ang="0">
                <a:pos x="T65" y="T67"/>
              </a:cxn>
              <a:cxn ang="0">
                <a:pos x="T69" y="T71"/>
              </a:cxn>
              <a:cxn ang="0">
                <a:pos x="T73" y="T75"/>
              </a:cxn>
              <a:cxn ang="0">
                <a:pos x="T77" y="T79"/>
              </a:cxn>
              <a:cxn ang="0">
                <a:pos x="T81" y="T83"/>
              </a:cxn>
              <a:cxn ang="0">
                <a:pos x="T85" y="T87"/>
              </a:cxn>
              <a:cxn ang="0">
                <a:pos x="T89" y="T91"/>
              </a:cxn>
              <a:cxn ang="0">
                <a:pos x="T93" y="T95"/>
              </a:cxn>
              <a:cxn ang="0">
                <a:pos x="T97" y="T99"/>
              </a:cxn>
              <a:cxn ang="0">
                <a:pos x="T101" y="T103"/>
              </a:cxn>
              <a:cxn ang="0">
                <a:pos x="T105" y="T107"/>
              </a:cxn>
              <a:cxn ang="0">
                <a:pos x="T109" y="T111"/>
              </a:cxn>
              <a:cxn ang="0">
                <a:pos x="T113" y="T115"/>
              </a:cxn>
              <a:cxn ang="0">
                <a:pos x="T117" y="T119"/>
              </a:cxn>
              <a:cxn ang="0">
                <a:pos x="T121" y="T123"/>
              </a:cxn>
              <a:cxn ang="0">
                <a:pos x="T125" y="T127"/>
              </a:cxn>
              <a:cxn ang="0">
                <a:pos x="T129" y="T131"/>
              </a:cxn>
            </a:cxnLst>
            <a:rect l="0" t="0" r="r" b="b"/>
            <a:pathLst>
              <a:path w="2428" h="2220">
                <a:moveTo>
                  <a:pt x="370" y="0"/>
                </a:moveTo>
                <a:lnTo>
                  <a:pt x="310" y="5"/>
                </a:lnTo>
                <a:lnTo>
                  <a:pt x="226" y="29"/>
                </a:lnTo>
                <a:lnTo>
                  <a:pt x="151" y="71"/>
                </a:lnTo>
                <a:lnTo>
                  <a:pt x="89" y="129"/>
                </a:lnTo>
                <a:lnTo>
                  <a:pt x="41" y="200"/>
                </a:lnTo>
                <a:lnTo>
                  <a:pt x="11" y="281"/>
                </a:lnTo>
                <a:lnTo>
                  <a:pt x="0" y="370"/>
                </a:lnTo>
                <a:lnTo>
                  <a:pt x="0" y="1850"/>
                </a:lnTo>
                <a:lnTo>
                  <a:pt x="5" y="1910"/>
                </a:lnTo>
                <a:lnTo>
                  <a:pt x="29" y="1994"/>
                </a:lnTo>
                <a:lnTo>
                  <a:pt x="71" y="2069"/>
                </a:lnTo>
                <a:lnTo>
                  <a:pt x="129" y="2131"/>
                </a:lnTo>
                <a:lnTo>
                  <a:pt x="200" y="2179"/>
                </a:lnTo>
                <a:lnTo>
                  <a:pt x="281" y="2209"/>
                </a:lnTo>
                <a:lnTo>
                  <a:pt x="370" y="2220"/>
                </a:lnTo>
                <a:lnTo>
                  <a:pt x="2058" y="2220"/>
                </a:lnTo>
                <a:lnTo>
                  <a:pt x="2118" y="2215"/>
                </a:lnTo>
                <a:lnTo>
                  <a:pt x="2202" y="2191"/>
                </a:lnTo>
                <a:lnTo>
                  <a:pt x="2277" y="2149"/>
                </a:lnTo>
                <a:lnTo>
                  <a:pt x="2339" y="2091"/>
                </a:lnTo>
                <a:lnTo>
                  <a:pt x="2387" y="2020"/>
                </a:lnTo>
                <a:lnTo>
                  <a:pt x="2417" y="1939"/>
                </a:lnTo>
                <a:lnTo>
                  <a:pt x="2428" y="1850"/>
                </a:lnTo>
                <a:lnTo>
                  <a:pt x="2428" y="370"/>
                </a:lnTo>
                <a:lnTo>
                  <a:pt x="2423" y="310"/>
                </a:lnTo>
                <a:lnTo>
                  <a:pt x="2399" y="226"/>
                </a:lnTo>
                <a:lnTo>
                  <a:pt x="2357" y="152"/>
                </a:lnTo>
                <a:lnTo>
                  <a:pt x="2299" y="89"/>
                </a:lnTo>
                <a:lnTo>
                  <a:pt x="2228" y="41"/>
                </a:lnTo>
                <a:lnTo>
                  <a:pt x="2147" y="11"/>
                </a:lnTo>
                <a:lnTo>
                  <a:pt x="2058" y="0"/>
                </a:lnTo>
                <a:lnTo>
                  <a:pt x="370" y="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IN"/>
          </a:p>
        </xdr:txBody>
      </xdr:sp>
    </xdr:grpSp>
    <xdr:clientData/>
  </xdr:twoCellAnchor>
  <xdr:twoCellAnchor>
    <xdr:from>
      <xdr:col>3</xdr:col>
      <xdr:colOff>104775</xdr:colOff>
      <xdr:row>36</xdr:row>
      <xdr:rowOff>0</xdr:rowOff>
    </xdr:from>
    <xdr:to>
      <xdr:col>6</xdr:col>
      <xdr:colOff>490855</xdr:colOff>
      <xdr:row>36</xdr:row>
      <xdr:rowOff>153035</xdr:rowOff>
    </xdr:to>
    <xdr:sp macro="" textlink="">
      <xdr:nvSpPr>
        <xdr:cNvPr id="13" name="Text Box 86">
          <a:extLst>
            <a:ext uri="{FF2B5EF4-FFF2-40B4-BE49-F238E27FC236}">
              <a16:creationId xmlns:a16="http://schemas.microsoft.com/office/drawing/2014/main" xmlns="" id="{6E7E25DE-6CBE-4A51-A46A-A4D99EA3DF53}"/>
            </a:ext>
          </a:extLst>
        </xdr:cNvPr>
        <xdr:cNvSpPr txBox="1">
          <a:spLocks noChangeArrowheads="1"/>
        </xdr:cNvSpPr>
      </xdr:nvSpPr>
      <xdr:spPr bwMode="auto">
        <a:xfrm>
          <a:off x="762000" y="5743575"/>
          <a:ext cx="767080" cy="1530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xdr:from>
      <xdr:col>8</xdr:col>
      <xdr:colOff>161925</xdr:colOff>
      <xdr:row>36</xdr:row>
      <xdr:rowOff>180975</xdr:rowOff>
    </xdr:from>
    <xdr:to>
      <xdr:col>11</xdr:col>
      <xdr:colOff>532765</xdr:colOff>
      <xdr:row>37</xdr:row>
      <xdr:rowOff>153035</xdr:rowOff>
    </xdr:to>
    <xdr:sp macro="" textlink="">
      <xdr:nvSpPr>
        <xdr:cNvPr id="14" name="Text Box 85">
          <a:extLst>
            <a:ext uri="{FF2B5EF4-FFF2-40B4-BE49-F238E27FC236}">
              <a16:creationId xmlns:a16="http://schemas.microsoft.com/office/drawing/2014/main" xmlns="" id="{C56143EC-4288-4BB3-A709-7746AF551457}"/>
            </a:ext>
          </a:extLst>
        </xdr:cNvPr>
        <xdr:cNvSpPr txBox="1">
          <a:spLocks noChangeArrowheads="1"/>
        </xdr:cNvSpPr>
      </xdr:nvSpPr>
      <xdr:spPr bwMode="auto">
        <a:xfrm>
          <a:off x="1914525" y="5924550"/>
          <a:ext cx="713740" cy="162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30</xdr:col>
      <xdr:colOff>123825</xdr:colOff>
      <xdr:row>3</xdr:row>
      <xdr:rowOff>19050</xdr:rowOff>
    </xdr:from>
    <xdr:to>
      <xdr:col>44</xdr:col>
      <xdr:colOff>123825</xdr:colOff>
      <xdr:row>18</xdr:row>
      <xdr:rowOff>142875</xdr:rowOff>
    </xdr:to>
    <xdr:sp macro="" textlink="">
      <xdr:nvSpPr>
        <xdr:cNvPr id="7" name="32-Point Star 6"/>
        <xdr:cNvSpPr/>
      </xdr:nvSpPr>
      <xdr:spPr>
        <a:xfrm>
          <a:off x="6781800" y="657225"/>
          <a:ext cx="3067050" cy="2686050"/>
        </a:xfrm>
        <a:prstGeom prst="star32">
          <a:avLst/>
        </a:prstGeom>
        <a:ln w="158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31</xdr:col>
      <xdr:colOff>180974</xdr:colOff>
      <xdr:row>19</xdr:row>
      <xdr:rowOff>9525</xdr:rowOff>
    </xdr:from>
    <xdr:to>
      <xdr:col>43</xdr:col>
      <xdr:colOff>28575</xdr:colOff>
      <xdr:row>26</xdr:row>
      <xdr:rowOff>66675</xdr:rowOff>
    </xdr:to>
    <xdr:sp macro="" textlink="">
      <xdr:nvSpPr>
        <xdr:cNvPr id="10" name="Left-Right Arrow 9">
          <a:hlinkClick xmlns:r="http://schemas.openxmlformats.org/officeDocument/2006/relationships" r:id="rId1"/>
          <a:extLst>
            <a:ext uri="{FF2B5EF4-FFF2-40B4-BE49-F238E27FC236}"/>
          </a:extLst>
        </xdr:cNvPr>
        <xdr:cNvSpPr>
          <a:spLocks noChangeAspect="1"/>
        </xdr:cNvSpPr>
      </xdr:nvSpPr>
      <xdr:spPr>
        <a:xfrm>
          <a:off x="7058024" y="34575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7</xdr:col>
      <xdr:colOff>276225</xdr:colOff>
      <xdr:row>2</xdr:row>
      <xdr:rowOff>47625</xdr:rowOff>
    </xdr:from>
    <xdr:to>
      <xdr:col>12</xdr:col>
      <xdr:colOff>323850</xdr:colOff>
      <xdr:row>5</xdr:row>
      <xdr:rowOff>209550</xdr:rowOff>
    </xdr:to>
    <xdr:sp macro="" textlink="">
      <xdr:nvSpPr>
        <xdr:cNvPr id="3" name="32-Point Star 2"/>
        <xdr:cNvSpPr/>
      </xdr:nvSpPr>
      <xdr:spPr>
        <a:xfrm>
          <a:off x="6086475" y="63817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8</xdr:col>
      <xdr:colOff>85725</xdr:colOff>
      <xdr:row>5</xdr:row>
      <xdr:rowOff>447675</xdr:rowOff>
    </xdr:from>
    <xdr:to>
      <xdr:col>12</xdr:col>
      <xdr:colOff>123826</xdr:colOff>
      <xdr:row>8</xdr:row>
      <xdr:rowOff>28575</xdr:rowOff>
    </xdr:to>
    <xdr:sp macro="" textlink="">
      <xdr:nvSpPr>
        <xdr:cNvPr id="4" name="Left-Right Arrow 3">
          <a:hlinkClick xmlns:r="http://schemas.openxmlformats.org/officeDocument/2006/relationships" r:id="rId1"/>
          <a:extLst>
            <a:ext uri="{FF2B5EF4-FFF2-40B4-BE49-F238E27FC236}"/>
          </a:extLst>
        </xdr:cNvPr>
        <xdr:cNvSpPr>
          <a:spLocks noChangeAspect="1"/>
        </xdr:cNvSpPr>
      </xdr:nvSpPr>
      <xdr:spPr>
        <a:xfrm>
          <a:off x="6477000" y="356235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171450</xdr:colOff>
      <xdr:row>1</xdr:row>
      <xdr:rowOff>352425</xdr:rowOff>
    </xdr:from>
    <xdr:to>
      <xdr:col>10</xdr:col>
      <xdr:colOff>190500</xdr:colOff>
      <xdr:row>5</xdr:row>
      <xdr:rowOff>476250</xdr:rowOff>
    </xdr:to>
    <xdr:sp macro="" textlink="">
      <xdr:nvSpPr>
        <xdr:cNvPr id="2" name="32-Point Star 1"/>
        <xdr:cNvSpPr/>
      </xdr:nvSpPr>
      <xdr:spPr>
        <a:xfrm>
          <a:off x="66484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5</xdr:col>
      <xdr:colOff>552450</xdr:colOff>
      <xdr:row>5</xdr:row>
      <xdr:rowOff>609600</xdr:rowOff>
    </xdr:from>
    <xdr:to>
      <xdr:col>9</xdr:col>
      <xdr:colOff>590551</xdr:colOff>
      <xdr:row>7</xdr:row>
      <xdr:rowOff>266700</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7029450" y="35052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3</xdr:col>
      <xdr:colOff>53338</xdr:colOff>
      <xdr:row>43</xdr:row>
      <xdr:rowOff>38100</xdr:rowOff>
    </xdr:from>
    <xdr:to>
      <xdr:col>11</xdr:col>
      <xdr:colOff>66675</xdr:colOff>
      <xdr:row>44</xdr:row>
      <xdr:rowOff>57150</xdr:rowOff>
    </xdr:to>
    <xdr:sp macro="" textlink="">
      <xdr:nvSpPr>
        <xdr:cNvPr id="3" name="Rectangle 2">
          <a:extLst>
            <a:ext uri="{FF2B5EF4-FFF2-40B4-BE49-F238E27FC236}">
              <a16:creationId xmlns:a16="http://schemas.microsoft.com/office/drawing/2014/main" xmlns="" id="{00000000-0008-0000-0200-000003000000}"/>
            </a:ext>
          </a:extLst>
        </xdr:cNvPr>
        <xdr:cNvSpPr/>
      </xdr:nvSpPr>
      <xdr:spPr>
        <a:xfrm>
          <a:off x="1339213" y="13277850"/>
          <a:ext cx="3442337" cy="2228850"/>
        </a:xfrm>
        <a:prstGeom prst="rect">
          <a:avLst/>
        </a:prstGeom>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a:p>
      </xdr:txBody>
    </xdr:sp>
    <xdr:clientData/>
  </xdr:twoCellAnchor>
  <xdr:twoCellAnchor editAs="absolute">
    <xdr:from>
      <xdr:col>14</xdr:col>
      <xdr:colOff>295275</xdr:colOff>
      <xdr:row>2</xdr:row>
      <xdr:rowOff>104775</xdr:rowOff>
    </xdr:from>
    <xdr:to>
      <xdr:col>16</xdr:col>
      <xdr:colOff>847725</xdr:colOff>
      <xdr:row>11</xdr:row>
      <xdr:rowOff>152400</xdr:rowOff>
    </xdr:to>
    <xdr:sp macro="" textlink="">
      <xdr:nvSpPr>
        <xdr:cNvPr id="4" name="32-Point Star 3"/>
        <xdr:cNvSpPr/>
      </xdr:nvSpPr>
      <xdr:spPr>
        <a:xfrm>
          <a:off x="6381750" y="58102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15</xdr:col>
      <xdr:colOff>28575</xdr:colOff>
      <xdr:row>12</xdr:row>
      <xdr:rowOff>95250</xdr:rowOff>
    </xdr:from>
    <xdr:to>
      <xdr:col>16</xdr:col>
      <xdr:colOff>600076</xdr:colOff>
      <xdr:row>17</xdr:row>
      <xdr:rowOff>66675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6724650" y="34004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7</xdr:col>
      <xdr:colOff>180975</xdr:colOff>
      <xdr:row>2</xdr:row>
      <xdr:rowOff>114300</xdr:rowOff>
    </xdr:from>
    <xdr:to>
      <xdr:col>12</xdr:col>
      <xdr:colOff>200025</xdr:colOff>
      <xdr:row>6</xdr:row>
      <xdr:rowOff>257175</xdr:rowOff>
    </xdr:to>
    <xdr:sp macro="" textlink="">
      <xdr:nvSpPr>
        <xdr:cNvPr id="4" name="32-Point Star 3"/>
        <xdr:cNvSpPr/>
      </xdr:nvSpPr>
      <xdr:spPr>
        <a:xfrm>
          <a:off x="6610350" y="74295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571500</xdr:colOff>
      <xdr:row>6</xdr:row>
      <xdr:rowOff>409575</xdr:rowOff>
    </xdr:from>
    <xdr:to>
      <xdr:col>12</xdr:col>
      <xdr:colOff>1</xdr:colOff>
      <xdr:row>8</xdr:row>
      <xdr:rowOff>142875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7000875" y="35814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3</xdr:col>
      <xdr:colOff>133350</xdr:colOff>
      <xdr:row>2</xdr:row>
      <xdr:rowOff>57150</xdr:rowOff>
    </xdr:from>
    <xdr:to>
      <xdr:col>7</xdr:col>
      <xdr:colOff>838200</xdr:colOff>
      <xdr:row>7</xdr:row>
      <xdr:rowOff>352425</xdr:rowOff>
    </xdr:to>
    <xdr:sp macro="" textlink="">
      <xdr:nvSpPr>
        <xdr:cNvPr id="2" name="32-Point Star 1"/>
        <xdr:cNvSpPr/>
      </xdr:nvSpPr>
      <xdr:spPr>
        <a:xfrm>
          <a:off x="6143625" y="685800"/>
          <a:ext cx="3067050" cy="2686050"/>
        </a:xfrm>
        <a:prstGeom prst="star32">
          <a:avLst/>
        </a:prstGeom>
        <a:ln w="2222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xdr:col>
      <xdr:colOff>514350</xdr:colOff>
      <xdr:row>8</xdr:row>
      <xdr:rowOff>66675</xdr:rowOff>
    </xdr:from>
    <xdr:to>
      <xdr:col>7</xdr:col>
      <xdr:colOff>628651</xdr:colOff>
      <xdr:row>10</xdr:row>
      <xdr:rowOff>352425</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6524625" y="34956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6</xdr:col>
      <xdr:colOff>285750</xdr:colOff>
      <xdr:row>1</xdr:row>
      <xdr:rowOff>66675</xdr:rowOff>
    </xdr:from>
    <xdr:to>
      <xdr:col>11</xdr:col>
      <xdr:colOff>304800</xdr:colOff>
      <xdr:row>6</xdr:row>
      <xdr:rowOff>247650</xdr:rowOff>
    </xdr:to>
    <xdr:sp macro="" textlink="">
      <xdr:nvSpPr>
        <xdr:cNvPr id="5" name="32-Point Star 4"/>
        <xdr:cNvSpPr/>
      </xdr:nvSpPr>
      <xdr:spPr>
        <a:xfrm>
          <a:off x="63817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114300</xdr:colOff>
      <xdr:row>6</xdr:row>
      <xdr:rowOff>428625</xdr:rowOff>
    </xdr:from>
    <xdr:to>
      <xdr:col>11</xdr:col>
      <xdr:colOff>152401</xdr:colOff>
      <xdr:row>9</xdr:row>
      <xdr:rowOff>171450</xdr:rowOff>
    </xdr:to>
    <xdr:sp macro="" textlink="">
      <xdr:nvSpPr>
        <xdr:cNvPr id="6" name="Left-Right Arrow 5">
          <a:hlinkClick xmlns:r="http://schemas.openxmlformats.org/officeDocument/2006/relationships" r:id="rId1"/>
          <a:extLst>
            <a:ext uri="{FF2B5EF4-FFF2-40B4-BE49-F238E27FC236}"/>
          </a:extLst>
        </xdr:cNvPr>
        <xdr:cNvSpPr>
          <a:spLocks noChangeAspect="1"/>
        </xdr:cNvSpPr>
      </xdr:nvSpPr>
      <xdr:spPr>
        <a:xfrm>
          <a:off x="6819900" y="35528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5</xdr:col>
      <xdr:colOff>266700</xdr:colOff>
      <xdr:row>3</xdr:row>
      <xdr:rowOff>238126</xdr:rowOff>
    </xdr:from>
    <xdr:to>
      <xdr:col>10</xdr:col>
      <xdr:colOff>28575</xdr:colOff>
      <xdr:row>5</xdr:row>
      <xdr:rowOff>619125</xdr:rowOff>
    </xdr:to>
    <xdr:sp macro="" textlink="">
      <xdr:nvSpPr>
        <xdr:cNvPr id="2" name="Left Arrow 1"/>
        <xdr:cNvSpPr/>
      </xdr:nvSpPr>
      <xdr:spPr>
        <a:xfrm>
          <a:off x="6657975" y="1476376"/>
          <a:ext cx="2809875" cy="1628774"/>
        </a:xfrm>
        <a:prstGeom prst="leftArrow">
          <a:avLst/>
        </a:prstGeom>
        <a:ln w="285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a:t>
          </a:r>
          <a:r>
            <a:rPr lang="en-IN" sz="1200" b="1" cap="all" spc="0">
              <a:ln w="9000" cmpd="sng">
                <a:solidFill>
                  <a:schemeClr val="accent4">
                    <a:shade val="50000"/>
                    <a:satMod val="120000"/>
                  </a:schemeClr>
                </a:solidFill>
                <a:prstDash val="solid"/>
              </a:ln>
              <a:solidFill>
                <a:srgbClr val="002060"/>
              </a:solidFill>
              <a:effectLst>
                <a:reflection blurRad="12700" stA="28000" endPos="45000" dist="1000" dir="5400000" sy="-100000" algn="bl" rotWithShape="0"/>
              </a:effectLst>
              <a:latin typeface="Arial Black" pitchFamily="34" charset="0"/>
            </a:rPr>
            <a:t>SERVICE PARTICULARS</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IN THIS SHEET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37</xdr:row>
      <xdr:rowOff>123825</xdr:rowOff>
    </xdr:from>
    <xdr:to>
      <xdr:col>2</xdr:col>
      <xdr:colOff>409575</xdr:colOff>
      <xdr:row>37</xdr:row>
      <xdr:rowOff>381000</xdr:rowOff>
    </xdr:to>
    <xdr:sp macro="" textlink="">
      <xdr:nvSpPr>
        <xdr:cNvPr id="5" name="Rounded Rectangle 4"/>
        <xdr:cNvSpPr/>
      </xdr:nvSpPr>
      <xdr:spPr>
        <a:xfrm>
          <a:off x="5562600" y="931545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33</xdr:row>
      <xdr:rowOff>0</xdr:rowOff>
    </xdr:from>
    <xdr:to>
      <xdr:col>2</xdr:col>
      <xdr:colOff>409575</xdr:colOff>
      <xdr:row>34</xdr:row>
      <xdr:rowOff>28575</xdr:rowOff>
    </xdr:to>
    <xdr:sp macro="" textlink="">
      <xdr:nvSpPr>
        <xdr:cNvPr id="6" name="Rounded Rectangle 5"/>
        <xdr:cNvSpPr/>
      </xdr:nvSpPr>
      <xdr:spPr>
        <a:xfrm>
          <a:off x="5562600" y="82772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31</xdr:row>
      <xdr:rowOff>0</xdr:rowOff>
    </xdr:from>
    <xdr:to>
      <xdr:col>2</xdr:col>
      <xdr:colOff>409575</xdr:colOff>
      <xdr:row>32</xdr:row>
      <xdr:rowOff>28575</xdr:rowOff>
    </xdr:to>
    <xdr:sp macro="" textlink="">
      <xdr:nvSpPr>
        <xdr:cNvPr id="7" name="Rounded Rectangle 6"/>
        <xdr:cNvSpPr/>
      </xdr:nvSpPr>
      <xdr:spPr>
        <a:xfrm>
          <a:off x="5562600" y="78200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29</xdr:row>
      <xdr:rowOff>0</xdr:rowOff>
    </xdr:from>
    <xdr:to>
      <xdr:col>2</xdr:col>
      <xdr:colOff>409575</xdr:colOff>
      <xdr:row>30</xdr:row>
      <xdr:rowOff>28575</xdr:rowOff>
    </xdr:to>
    <xdr:sp macro="" textlink="">
      <xdr:nvSpPr>
        <xdr:cNvPr id="8" name="Rounded Rectangle 7"/>
        <xdr:cNvSpPr/>
      </xdr:nvSpPr>
      <xdr:spPr>
        <a:xfrm>
          <a:off x="5562600" y="73628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xdr:row>
      <xdr:rowOff>0</xdr:rowOff>
    </xdr:from>
    <xdr:to>
      <xdr:col>2</xdr:col>
      <xdr:colOff>409575</xdr:colOff>
      <xdr:row>3</xdr:row>
      <xdr:rowOff>28575</xdr:rowOff>
    </xdr:to>
    <xdr:sp macro="" textlink="">
      <xdr:nvSpPr>
        <xdr:cNvPr id="9" name="Rounded Rectangle 8"/>
        <xdr:cNvSpPr/>
      </xdr:nvSpPr>
      <xdr:spPr>
        <a:xfrm>
          <a:off x="5562600" y="69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4</xdr:row>
      <xdr:rowOff>0</xdr:rowOff>
    </xdr:from>
    <xdr:to>
      <xdr:col>2</xdr:col>
      <xdr:colOff>409575</xdr:colOff>
      <xdr:row>5</xdr:row>
      <xdr:rowOff>28575</xdr:rowOff>
    </xdr:to>
    <xdr:sp macro="" textlink="">
      <xdr:nvSpPr>
        <xdr:cNvPr id="10" name="Rounded Rectangle 9"/>
        <xdr:cNvSpPr/>
      </xdr:nvSpPr>
      <xdr:spPr>
        <a:xfrm>
          <a:off x="5562600" y="115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6</xdr:row>
      <xdr:rowOff>0</xdr:rowOff>
    </xdr:from>
    <xdr:to>
      <xdr:col>2</xdr:col>
      <xdr:colOff>409575</xdr:colOff>
      <xdr:row>7</xdr:row>
      <xdr:rowOff>28575</xdr:rowOff>
    </xdr:to>
    <xdr:sp macro="" textlink="">
      <xdr:nvSpPr>
        <xdr:cNvPr id="12" name="Rounded Rectangle 11"/>
        <xdr:cNvSpPr/>
      </xdr:nvSpPr>
      <xdr:spPr>
        <a:xfrm>
          <a:off x="5562600" y="1609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8</xdr:row>
      <xdr:rowOff>57150</xdr:rowOff>
    </xdr:from>
    <xdr:to>
      <xdr:col>2</xdr:col>
      <xdr:colOff>428625</xdr:colOff>
      <xdr:row>8</xdr:row>
      <xdr:rowOff>314325</xdr:rowOff>
    </xdr:to>
    <xdr:sp macro="" textlink="">
      <xdr:nvSpPr>
        <xdr:cNvPr id="13" name="Rounded Rectangle 12"/>
        <xdr:cNvSpPr/>
      </xdr:nvSpPr>
      <xdr:spPr>
        <a:xfrm>
          <a:off x="5581650" y="212407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10</xdr:row>
      <xdr:rowOff>0</xdr:rowOff>
    </xdr:from>
    <xdr:to>
      <xdr:col>2</xdr:col>
      <xdr:colOff>409575</xdr:colOff>
      <xdr:row>11</xdr:row>
      <xdr:rowOff>28575</xdr:rowOff>
    </xdr:to>
    <xdr:sp macro="" textlink="">
      <xdr:nvSpPr>
        <xdr:cNvPr id="14" name="Rounded Rectangle 13"/>
        <xdr:cNvSpPr/>
      </xdr:nvSpPr>
      <xdr:spPr>
        <a:xfrm>
          <a:off x="5562600" y="2676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12</xdr:row>
      <xdr:rowOff>0</xdr:rowOff>
    </xdr:from>
    <xdr:to>
      <xdr:col>2</xdr:col>
      <xdr:colOff>409575</xdr:colOff>
      <xdr:row>13</xdr:row>
      <xdr:rowOff>28575</xdr:rowOff>
    </xdr:to>
    <xdr:sp macro="" textlink="">
      <xdr:nvSpPr>
        <xdr:cNvPr id="15" name="Rounded Rectangle 14"/>
        <xdr:cNvSpPr/>
      </xdr:nvSpPr>
      <xdr:spPr>
        <a:xfrm>
          <a:off x="5562600" y="3133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14</xdr:row>
      <xdr:rowOff>0</xdr:rowOff>
    </xdr:from>
    <xdr:to>
      <xdr:col>2</xdr:col>
      <xdr:colOff>409575</xdr:colOff>
      <xdr:row>15</xdr:row>
      <xdr:rowOff>28575</xdr:rowOff>
    </xdr:to>
    <xdr:sp macro="" textlink="">
      <xdr:nvSpPr>
        <xdr:cNvPr id="16" name="Rounded Rectangle 15"/>
        <xdr:cNvSpPr/>
      </xdr:nvSpPr>
      <xdr:spPr>
        <a:xfrm>
          <a:off x="5562600" y="35909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16</xdr:row>
      <xdr:rowOff>0</xdr:rowOff>
    </xdr:from>
    <xdr:to>
      <xdr:col>2</xdr:col>
      <xdr:colOff>409575</xdr:colOff>
      <xdr:row>17</xdr:row>
      <xdr:rowOff>28575</xdr:rowOff>
    </xdr:to>
    <xdr:sp macro="" textlink="">
      <xdr:nvSpPr>
        <xdr:cNvPr id="17" name="Rounded Rectangle 16"/>
        <xdr:cNvSpPr/>
      </xdr:nvSpPr>
      <xdr:spPr>
        <a:xfrm>
          <a:off x="5562600" y="40481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18</xdr:row>
      <xdr:rowOff>0</xdr:rowOff>
    </xdr:from>
    <xdr:to>
      <xdr:col>2</xdr:col>
      <xdr:colOff>409575</xdr:colOff>
      <xdr:row>19</xdr:row>
      <xdr:rowOff>28575</xdr:rowOff>
    </xdr:to>
    <xdr:sp macro="" textlink="">
      <xdr:nvSpPr>
        <xdr:cNvPr id="18" name="Rounded Rectangle 17"/>
        <xdr:cNvSpPr/>
      </xdr:nvSpPr>
      <xdr:spPr>
        <a:xfrm>
          <a:off x="5562600" y="450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20</xdr:row>
      <xdr:rowOff>0</xdr:rowOff>
    </xdr:from>
    <xdr:to>
      <xdr:col>2</xdr:col>
      <xdr:colOff>409575</xdr:colOff>
      <xdr:row>21</xdr:row>
      <xdr:rowOff>28575</xdr:rowOff>
    </xdr:to>
    <xdr:sp macro="" textlink="">
      <xdr:nvSpPr>
        <xdr:cNvPr id="19" name="Rounded Rectangle 18"/>
        <xdr:cNvSpPr/>
      </xdr:nvSpPr>
      <xdr:spPr>
        <a:xfrm>
          <a:off x="5562600" y="496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25</xdr:row>
      <xdr:rowOff>142875</xdr:rowOff>
    </xdr:from>
    <xdr:to>
      <xdr:col>2</xdr:col>
      <xdr:colOff>428625</xdr:colOff>
      <xdr:row>25</xdr:row>
      <xdr:rowOff>400050</xdr:rowOff>
    </xdr:to>
    <xdr:sp macro="" textlink="">
      <xdr:nvSpPr>
        <xdr:cNvPr id="20" name="Rounded Rectangle 19"/>
        <xdr:cNvSpPr/>
      </xdr:nvSpPr>
      <xdr:spPr>
        <a:xfrm>
          <a:off x="5581650" y="624840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27</xdr:row>
      <xdr:rowOff>0</xdr:rowOff>
    </xdr:from>
    <xdr:to>
      <xdr:col>2</xdr:col>
      <xdr:colOff>409575</xdr:colOff>
      <xdr:row>28</xdr:row>
      <xdr:rowOff>28575</xdr:rowOff>
    </xdr:to>
    <xdr:sp macro="" textlink="">
      <xdr:nvSpPr>
        <xdr:cNvPr id="21" name="Rounded Rectangle 20"/>
        <xdr:cNvSpPr/>
      </xdr:nvSpPr>
      <xdr:spPr>
        <a:xfrm>
          <a:off x="5562600" y="69056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35</xdr:row>
      <xdr:rowOff>0</xdr:rowOff>
    </xdr:from>
    <xdr:to>
      <xdr:col>2</xdr:col>
      <xdr:colOff>409575</xdr:colOff>
      <xdr:row>36</xdr:row>
      <xdr:rowOff>28575</xdr:rowOff>
    </xdr:to>
    <xdr:sp macro="" textlink="">
      <xdr:nvSpPr>
        <xdr:cNvPr id="22" name="Rounded Rectangle 21"/>
        <xdr:cNvSpPr/>
      </xdr:nvSpPr>
      <xdr:spPr>
        <a:xfrm>
          <a:off x="5562600" y="87344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876299</xdr:colOff>
      <xdr:row>3</xdr:row>
      <xdr:rowOff>123826</xdr:rowOff>
    </xdr:from>
    <xdr:to>
      <xdr:col>6</xdr:col>
      <xdr:colOff>1752600</xdr:colOff>
      <xdr:row>3</xdr:row>
      <xdr:rowOff>923926</xdr:rowOff>
    </xdr:to>
    <xdr:sp macro="" textlink="">
      <xdr:nvSpPr>
        <xdr:cNvPr id="2" name="Left Arrow 1"/>
        <xdr:cNvSpPr/>
      </xdr:nvSpPr>
      <xdr:spPr>
        <a:xfrm>
          <a:off x="6543674" y="1066801"/>
          <a:ext cx="4067176" cy="800100"/>
        </a:xfrm>
        <a:prstGeom prst="leftArrow">
          <a:avLst/>
        </a:prstGeom>
        <a:solidFill>
          <a:srgbClr val="FFFF00"/>
        </a:solidFill>
        <a:ln w="57150">
          <a:solidFill>
            <a:srgbClr val="FF0000"/>
          </a:solidFill>
        </a:ln>
        <a:effectLst>
          <a:glow rad="1016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600" b="0" cap="none" spc="0">
              <a:ln>
                <a:noFill/>
              </a:ln>
              <a:solidFill>
                <a:srgbClr val="C00000"/>
              </a:solidFill>
              <a:effectLst/>
              <a:latin typeface="Aharoni" pitchFamily="2" charset="-79"/>
              <a:cs typeface="Aharoni" pitchFamily="2" charset="-79"/>
            </a:rPr>
            <a:t>This form is only for teaching staff</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0</xdr:col>
      <xdr:colOff>619125</xdr:colOff>
      <xdr:row>0</xdr:row>
      <xdr:rowOff>46784</xdr:rowOff>
    </xdr:from>
    <xdr:ext cx="10629900" cy="335057"/>
    <xdr:sp macro="" textlink="">
      <xdr:nvSpPr>
        <xdr:cNvPr id="2" name="Rounded Rectangle 1">
          <a:extLst>
            <a:ext uri="{FF2B5EF4-FFF2-40B4-BE49-F238E27FC236}">
              <a16:creationId xmlns:a16="http://schemas.microsoft.com/office/drawing/2014/main" xmlns="" id="{00000000-0008-0000-0000-000002000000}"/>
            </a:ext>
          </a:extLst>
        </xdr:cNvPr>
        <xdr:cNvSpPr>
          <a:spLocks noChangeAspect="1"/>
        </xdr:cNvSpPr>
      </xdr:nvSpPr>
      <xdr:spPr>
        <a:xfrm>
          <a:off x="619125" y="46784"/>
          <a:ext cx="10629900" cy="335057"/>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spAutoFit/>
        </a:bodyPr>
        <a:lstStyle/>
        <a:p>
          <a:pPr algn="ctr"/>
          <a:r>
            <a:rPr lang="en-US" sz="1400">
              <a:latin typeface="+mj-lt"/>
            </a:rPr>
            <a:t>Designed and Programmed by P.Purushotham, Stenographer, Commissionerate</a:t>
          </a:r>
          <a:r>
            <a:rPr lang="en-US" sz="1400" baseline="0">
              <a:latin typeface="+mj-lt"/>
            </a:rPr>
            <a:t> of Collegiate Education, Bangalore.</a:t>
          </a:r>
          <a:endParaRPr lang="en-US" sz="1400">
            <a:latin typeface="+mj-lt"/>
          </a:endParaRPr>
        </a:p>
      </xdr:txBody>
    </xdr:sp>
    <xdr:clientData fPrint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DG358"/>
  <sheetViews>
    <sheetView tabSelected="1" zoomScaleNormal="100" workbookViewId="0">
      <selection activeCell="C2" sqref="C2"/>
    </sheetView>
  </sheetViews>
  <sheetFormatPr defaultRowHeight="15.75" x14ac:dyDescent="0.25"/>
  <cols>
    <col min="1" max="1" width="5.85546875" style="226" bestFit="1" customWidth="1"/>
    <col min="2" max="2" width="57.28515625" style="219" customWidth="1"/>
    <col min="3" max="3" width="48.42578125" style="219" customWidth="1"/>
    <col min="4" max="5" width="29.42578125" style="219" customWidth="1"/>
    <col min="6" max="6" width="12.7109375" style="219" customWidth="1"/>
    <col min="7" max="7" width="9.140625" style="219" hidden="1" customWidth="1"/>
    <col min="8" max="8" width="17.5703125" style="219" hidden="1" customWidth="1"/>
    <col min="9" max="9" width="86" style="219" hidden="1" customWidth="1"/>
    <col min="10" max="10" width="39.85546875" style="219" hidden="1" customWidth="1"/>
    <col min="11" max="11" width="13.140625" style="220" hidden="1" customWidth="1"/>
    <col min="12" max="12" width="33.28515625" style="219" hidden="1" customWidth="1"/>
    <col min="13" max="15" width="8" style="219" hidden="1" customWidth="1"/>
    <col min="16" max="17" width="13" style="219" hidden="1" customWidth="1"/>
    <col min="18" max="59" width="8" style="219" hidden="1" customWidth="1"/>
    <col min="60" max="111" width="9.140625" style="219" hidden="1" customWidth="1"/>
    <col min="112" max="229" width="9.140625" style="219" customWidth="1"/>
    <col min="230" max="16384" width="9.140625" style="219"/>
  </cols>
  <sheetData>
    <row r="1" spans="1:95" ht="20.25" customHeight="1" x14ac:dyDescent="0.25">
      <c r="A1" s="380" t="s">
        <v>266</v>
      </c>
      <c r="B1" s="380"/>
      <c r="C1" s="380"/>
      <c r="D1" s="380"/>
      <c r="E1" s="380"/>
      <c r="G1" s="216"/>
      <c r="H1" s="216"/>
      <c r="I1" s="216"/>
      <c r="J1" s="216"/>
      <c r="K1" s="217"/>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16"/>
      <c r="CO1" s="216"/>
      <c r="CP1" s="216"/>
      <c r="CQ1" s="216"/>
    </row>
    <row r="2" spans="1:95" s="216" customFormat="1" ht="23.25" customHeight="1" x14ac:dyDescent="0.25">
      <c r="A2" s="201">
        <v>1</v>
      </c>
      <c r="B2" s="113" t="s">
        <v>39</v>
      </c>
      <c r="C2" s="246"/>
      <c r="D2" s="377"/>
      <c r="E2" s="377"/>
      <c r="K2" s="217" t="str">
        <f>MID($C2,COLUMNS($C$2:C$2),1)</f>
        <v/>
      </c>
      <c r="L2" s="217" t="str">
        <f>MID($C2,COLUMNS($C$2:D$2),1)</f>
        <v/>
      </c>
      <c r="M2" s="217" t="str">
        <f>MID($C2,COLUMNS($C$2:E$2),1)</f>
        <v/>
      </c>
      <c r="N2" s="217" t="str">
        <f>MID($C2,COLUMNS($C$2:F$2),1)</f>
        <v/>
      </c>
      <c r="O2" s="217" t="str">
        <f>MID($C2,COLUMNS($C$2:G$2),1)</f>
        <v/>
      </c>
      <c r="P2" s="217" t="str">
        <f>MID($C2,COLUMNS($C$2:H$2),1)</f>
        <v/>
      </c>
      <c r="Q2" s="217" t="str">
        <f>MID($C2,COLUMNS($C$2:I$2),1)</f>
        <v/>
      </c>
      <c r="R2" s="217" t="str">
        <f>MID($C2,COLUMNS($C$2:J$2),1)</f>
        <v/>
      </c>
      <c r="S2" s="217" t="str">
        <f>MID($C2,COLUMNS($C$2:K$2),1)</f>
        <v/>
      </c>
      <c r="T2" s="217" t="str">
        <f>MID($C2,COLUMNS($C$2:L$2),1)</f>
        <v/>
      </c>
      <c r="U2" s="217" t="str">
        <f>MID($C2,COLUMNS($C$2:M$2),1)</f>
        <v/>
      </c>
      <c r="V2" s="217" t="str">
        <f>MID($C2,COLUMNS($C$2:N$2),1)</f>
        <v/>
      </c>
      <c r="W2" s="217" t="str">
        <f>MID($C2,COLUMNS($C$2:O$2),1)</f>
        <v/>
      </c>
      <c r="X2" s="217" t="str">
        <f>MID($C2,COLUMNS($C$2:P$2),1)</f>
        <v/>
      </c>
      <c r="Y2" s="217" t="str">
        <f>MID($C2,COLUMNS($C$2:Q$2),1)</f>
        <v/>
      </c>
      <c r="Z2" s="217" t="str">
        <f>MID($C2,COLUMNS($C$2:R$2),1)</f>
        <v/>
      </c>
    </row>
    <row r="3" spans="1:95" s="216" customFormat="1" ht="23.25" customHeight="1" x14ac:dyDescent="0.25">
      <c r="A3" s="201">
        <v>2</v>
      </c>
      <c r="B3" s="113" t="s">
        <v>40</v>
      </c>
      <c r="C3" s="246"/>
      <c r="D3" s="377"/>
      <c r="E3" s="377"/>
      <c r="H3" s="338" t="str">
        <f>IF(C3&lt;=0," ",C3)</f>
        <v xml:space="preserve"> </v>
      </c>
      <c r="K3" s="221">
        <f>DAY(C3)</f>
        <v>0</v>
      </c>
      <c r="L3" s="222">
        <f>MONTH(C3)</f>
        <v>1</v>
      </c>
      <c r="M3" s="222">
        <f>YEAR(C3)</f>
        <v>1900</v>
      </c>
      <c r="N3" s="222"/>
      <c r="O3" s="342" t="str">
        <f>IF(K3&lt;=0," ",K3)</f>
        <v xml:space="preserve"> </v>
      </c>
      <c r="P3" s="343">
        <f t="shared" ref="P3" si="0">IF(L3&lt;=0," ",L3)</f>
        <v>1</v>
      </c>
      <c r="Q3" s="342" t="str">
        <f>IF(M3&lt;=1900," ",M3)</f>
        <v xml:space="preserve"> </v>
      </c>
      <c r="R3" s="216" t="str">
        <f>MID($C3,COLUMNS($C$3:M$3),1)</f>
        <v/>
      </c>
      <c r="S3" s="216" t="str">
        <f>MID($C3,COLUMNS($C$3:N$3),1)</f>
        <v/>
      </c>
      <c r="T3" s="216" t="str">
        <f>MID($C3,COLUMNS($C$3:N$3),1)</f>
        <v/>
      </c>
    </row>
    <row r="4" spans="1:95" s="216" customFormat="1" ht="23.25" customHeight="1" x14ac:dyDescent="0.25">
      <c r="A4" s="201">
        <v>3</v>
      </c>
      <c r="B4" s="113" t="s">
        <v>262</v>
      </c>
      <c r="C4" s="316"/>
      <c r="D4" s="377"/>
      <c r="E4" s="377"/>
      <c r="K4" s="217" t="str">
        <f>MID($C4,COLUMNS($C$4:C$4),1)</f>
        <v/>
      </c>
      <c r="L4" s="217" t="str">
        <f>MID($C4,COLUMNS($C$4:D$4),1)</f>
        <v/>
      </c>
      <c r="M4" s="217" t="str">
        <f>MID($C4,COLUMNS($C$4:E$4),1)</f>
        <v/>
      </c>
      <c r="N4" s="217" t="str">
        <f>MID($C4,COLUMNS($C$4:F$4),1)</f>
        <v/>
      </c>
      <c r="O4" s="217" t="str">
        <f>MID($C4,COLUMNS($C$4:G$4),1)</f>
        <v/>
      </c>
      <c r="P4" s="217" t="str">
        <f>MID($C4,COLUMNS($C$4:H$4),1)</f>
        <v/>
      </c>
      <c r="Q4" s="217" t="str">
        <f>MID($C4,COLUMNS($C$4:I$4),1)</f>
        <v/>
      </c>
      <c r="R4" s="217" t="str">
        <f>MID($C4,COLUMNS($C$4:J$4),1)</f>
        <v/>
      </c>
      <c r="S4" s="217" t="str">
        <f>MID($C4,COLUMNS($C$4:K$4),1)</f>
        <v/>
      </c>
      <c r="T4" s="217" t="str">
        <f>MID($C4,COLUMNS($C$4:L$4),1)</f>
        <v/>
      </c>
      <c r="U4" s="217" t="str">
        <f>MID($C4,COLUMNS($C$4:M$4),1)</f>
        <v/>
      </c>
      <c r="V4" s="217" t="str">
        <f>MID($C4,COLUMNS($C$4:N$4),1)</f>
        <v/>
      </c>
      <c r="W4" s="217" t="str">
        <f>MID($C4,COLUMNS($C$4:O$4),1)</f>
        <v/>
      </c>
      <c r="X4" s="217" t="str">
        <f>MID($C4,COLUMNS($C$4:P$4),1)</f>
        <v/>
      </c>
      <c r="Y4" s="217" t="str">
        <f>MID($C4,COLUMNS($C$4:Q$4),1)</f>
        <v/>
      </c>
      <c r="Z4" s="217" t="str">
        <f>MID($C4,COLUMNS($C$4:R$4),1)</f>
        <v/>
      </c>
    </row>
    <row r="5" spans="1:95" ht="23.25" customHeight="1" x14ac:dyDescent="0.25">
      <c r="A5" s="215"/>
      <c r="B5" s="223"/>
      <c r="C5" s="215" t="s">
        <v>41</v>
      </c>
      <c r="D5" s="215" t="s">
        <v>43</v>
      </c>
      <c r="E5" s="215" t="s">
        <v>265</v>
      </c>
      <c r="G5" s="216"/>
      <c r="H5" s="216"/>
      <c r="I5" s="216"/>
      <c r="J5" s="216"/>
      <c r="K5" s="217">
        <v>1</v>
      </c>
      <c r="L5" s="216">
        <v>2</v>
      </c>
      <c r="M5" s="216">
        <v>3</v>
      </c>
      <c r="N5" s="216">
        <v>4</v>
      </c>
      <c r="O5" s="216">
        <v>5</v>
      </c>
      <c r="P5" s="216">
        <v>6</v>
      </c>
      <c r="Q5" s="216">
        <v>7</v>
      </c>
      <c r="R5" s="216">
        <v>8</v>
      </c>
      <c r="S5" s="216">
        <v>9</v>
      </c>
      <c r="T5" s="216">
        <v>10</v>
      </c>
      <c r="U5" s="216">
        <v>11</v>
      </c>
      <c r="V5" s="216">
        <v>12</v>
      </c>
      <c r="W5" s="216">
        <v>13</v>
      </c>
      <c r="X5" s="216">
        <v>14</v>
      </c>
      <c r="Y5" s="216">
        <v>15</v>
      </c>
      <c r="Z5" s="216">
        <v>16</v>
      </c>
      <c r="AA5" s="216">
        <v>17</v>
      </c>
      <c r="AB5" s="216"/>
      <c r="AC5" s="216">
        <v>1</v>
      </c>
      <c r="AD5" s="216">
        <v>2</v>
      </c>
      <c r="AE5" s="216">
        <v>3</v>
      </c>
      <c r="AF5" s="216">
        <v>4</v>
      </c>
      <c r="AG5" s="216">
        <v>5</v>
      </c>
      <c r="AH5" s="216">
        <v>6</v>
      </c>
      <c r="AI5" s="216">
        <v>7</v>
      </c>
      <c r="AJ5" s="216">
        <v>8</v>
      </c>
      <c r="AK5" s="216">
        <v>9</v>
      </c>
      <c r="AL5" s="216">
        <v>10</v>
      </c>
      <c r="AM5" s="216">
        <v>11</v>
      </c>
      <c r="AN5" s="216">
        <v>12</v>
      </c>
      <c r="AO5" s="216">
        <v>13</v>
      </c>
      <c r="AP5" s="216">
        <v>14</v>
      </c>
      <c r="AQ5" s="216"/>
      <c r="AR5" s="216">
        <v>1</v>
      </c>
      <c r="AS5" s="216">
        <v>2</v>
      </c>
      <c r="AT5" s="216">
        <v>3</v>
      </c>
      <c r="AU5" s="216">
        <v>4</v>
      </c>
      <c r="AV5" s="216">
        <v>5</v>
      </c>
      <c r="AW5" s="216">
        <v>6</v>
      </c>
      <c r="AX5" s="216">
        <v>7</v>
      </c>
      <c r="AY5" s="216">
        <v>8</v>
      </c>
      <c r="AZ5" s="216">
        <v>9</v>
      </c>
      <c r="BA5" s="216">
        <v>10</v>
      </c>
      <c r="BB5" s="216">
        <v>11</v>
      </c>
      <c r="BC5" s="216">
        <v>12</v>
      </c>
      <c r="BD5" s="216">
        <v>13</v>
      </c>
      <c r="BE5" s="216"/>
      <c r="BF5" s="216"/>
      <c r="BG5" s="216"/>
      <c r="BH5" s="216"/>
      <c r="BI5" s="216"/>
      <c r="BJ5" s="216"/>
      <c r="BK5" s="216"/>
      <c r="BL5" s="216"/>
      <c r="BM5" s="216"/>
      <c r="BN5" s="216"/>
      <c r="BO5" s="216"/>
      <c r="BP5" s="216"/>
      <c r="BQ5" s="216"/>
      <c r="BR5" s="216"/>
      <c r="BS5" s="216"/>
      <c r="BT5" s="216"/>
      <c r="BU5" s="216"/>
      <c r="BV5" s="216"/>
      <c r="BW5" s="216"/>
      <c r="BX5" s="216"/>
      <c r="BY5" s="216"/>
      <c r="BZ5" s="216"/>
      <c r="CA5" s="216"/>
      <c r="CB5" s="216"/>
      <c r="CC5" s="216"/>
      <c r="CD5" s="216"/>
      <c r="CE5" s="216"/>
      <c r="CF5" s="216"/>
      <c r="CG5" s="216"/>
      <c r="CH5" s="216"/>
      <c r="CI5" s="216"/>
      <c r="CJ5" s="216"/>
      <c r="CK5" s="216"/>
      <c r="CL5" s="216"/>
      <c r="CM5" s="216"/>
      <c r="CN5" s="216"/>
      <c r="CO5" s="216"/>
      <c r="CP5" s="216"/>
      <c r="CQ5" s="216"/>
    </row>
    <row r="6" spans="1:95" ht="23.25" customHeight="1" x14ac:dyDescent="0.25">
      <c r="A6" s="201">
        <v>4</v>
      </c>
      <c r="B6" s="113" t="s">
        <v>42</v>
      </c>
      <c r="C6" s="212"/>
      <c r="D6" s="212"/>
      <c r="E6" s="212"/>
      <c r="G6" s="216"/>
      <c r="H6" s="216"/>
      <c r="I6" s="216" t="str">
        <f>TRIM(C6&amp;"    "&amp;D6&amp;"   "&amp;E6)</f>
        <v/>
      </c>
      <c r="J6" s="216"/>
      <c r="K6" s="217" t="str">
        <f>MID($C6,COLUMNS($C$6:C$6),1)</f>
        <v/>
      </c>
      <c r="L6" s="217" t="str">
        <f>MID($C6,COLUMNS($C$6:D$6),1)</f>
        <v/>
      </c>
      <c r="M6" s="217" t="str">
        <f>MID($C6,COLUMNS($C$6:E$6),1)</f>
        <v/>
      </c>
      <c r="N6" s="217" t="str">
        <f>MID($C6,COLUMNS($C$6:F$6),1)</f>
        <v/>
      </c>
      <c r="O6" s="217" t="str">
        <f>MID($C6,COLUMNS($C$6:G$6),1)</f>
        <v/>
      </c>
      <c r="P6" s="217" t="str">
        <f>MID($C6,COLUMNS($C$6:H$6),1)</f>
        <v/>
      </c>
      <c r="Q6" s="217" t="str">
        <f>MID($C6,COLUMNS($C$6:I$6),1)</f>
        <v/>
      </c>
      <c r="R6" s="217" t="str">
        <f>MID($C6,COLUMNS($C$6:J$6),1)</f>
        <v/>
      </c>
      <c r="S6" s="217" t="str">
        <f>MID($C6,COLUMNS($C$6:K$6),1)</f>
        <v/>
      </c>
      <c r="T6" s="217" t="str">
        <f>MID($C6,COLUMNS($C$6:L$6),1)</f>
        <v/>
      </c>
      <c r="U6" s="217" t="str">
        <f>MID($C6,COLUMNS($C$6:M$6),1)</f>
        <v/>
      </c>
      <c r="V6" s="217" t="str">
        <f>MID($C6,COLUMNS($C$6:N$6),1)</f>
        <v/>
      </c>
      <c r="W6" s="217" t="str">
        <f>MID($C6,COLUMNS($C$6:O$6),1)</f>
        <v/>
      </c>
      <c r="X6" s="217" t="str">
        <f>MID($C6,COLUMNS($C$6:P$6),1)</f>
        <v/>
      </c>
      <c r="Y6" s="217" t="str">
        <f>MID($C6,COLUMNS($C$6:Q$6),1)</f>
        <v/>
      </c>
      <c r="Z6" s="217" t="str">
        <f>MID($C6,COLUMNS($C$6:R$6),1)</f>
        <v/>
      </c>
      <c r="AA6" s="217" t="str">
        <f>MID($C6,COLUMNS($C$6:S$6),1)</f>
        <v/>
      </c>
      <c r="AB6" s="217" t="str">
        <f>MID($C6,COLUMNS($C$6:T$6),1)</f>
        <v/>
      </c>
      <c r="AC6" s="216" t="str">
        <f>MID($D6,COLUMNS($D$6:D$6),1)</f>
        <v/>
      </c>
      <c r="AD6" s="216" t="str">
        <f>MID($D6,COLUMNS($D$6:E$6),1)</f>
        <v/>
      </c>
      <c r="AE6" s="216" t="str">
        <f>MID($D6,COLUMNS($D$6:F$6),1)</f>
        <v/>
      </c>
      <c r="AF6" s="216" t="str">
        <f>MID($D6,COLUMNS($D$6:G$6),1)</f>
        <v/>
      </c>
      <c r="AG6" s="216" t="str">
        <f>MID($D6,COLUMNS($D$6:H$6),1)</f>
        <v/>
      </c>
      <c r="AH6" s="216" t="str">
        <f>MID($D6,COLUMNS($D$6:I$6),1)</f>
        <v/>
      </c>
      <c r="AI6" s="216" t="str">
        <f>MID($D6,COLUMNS($D$6:J$6),1)</f>
        <v/>
      </c>
      <c r="AJ6" s="216" t="str">
        <f>MID($D6,COLUMNS($D$6:K$6),1)</f>
        <v/>
      </c>
      <c r="AK6" s="216" t="str">
        <f>MID($D6,COLUMNS($D$6:L$6),1)</f>
        <v/>
      </c>
      <c r="AL6" s="216" t="str">
        <f>MID($D6,COLUMNS($D$6:M$6),1)</f>
        <v/>
      </c>
      <c r="AM6" s="216" t="str">
        <f>MID($D6,COLUMNS($D$6:N$6),1)</f>
        <v/>
      </c>
      <c r="AN6" s="216" t="str">
        <f>MID($D6,COLUMNS($D$6:O$6),1)</f>
        <v/>
      </c>
      <c r="AO6" s="216" t="str">
        <f>MID($D6,COLUMNS($D$6:P$6),1)</f>
        <v/>
      </c>
      <c r="AP6" s="216" t="str">
        <f>MID($D6,COLUMNS($D$6:Q$6),1)</f>
        <v/>
      </c>
      <c r="AQ6" s="216" t="str">
        <f>MID($D6,COLUMNS($D$6:R$6),1)</f>
        <v/>
      </c>
      <c r="AR6" s="216" t="str">
        <f>MID($E6,COLUMNS($E$6:E$6),1)</f>
        <v/>
      </c>
      <c r="AS6" s="216" t="str">
        <f>MID($E6,COLUMNS($E$6:F$6),1)</f>
        <v/>
      </c>
      <c r="AT6" s="216" t="str">
        <f>MID($E6,COLUMNS($E$6:G$6),1)</f>
        <v/>
      </c>
      <c r="AU6" s="216" t="str">
        <f>MID($E6,COLUMNS($E$6:H$6),1)</f>
        <v/>
      </c>
      <c r="AV6" s="216" t="str">
        <f>MID($E6,COLUMNS($E$6:I$6),1)</f>
        <v/>
      </c>
      <c r="AW6" s="216" t="str">
        <f>MID($E6,COLUMNS($E$6:J$6),1)</f>
        <v/>
      </c>
      <c r="AX6" s="216" t="str">
        <f>MID($E6,COLUMNS($E$6:K$6),1)</f>
        <v/>
      </c>
      <c r="AY6" s="216" t="str">
        <f>MID($E6,COLUMNS($E$6:L$6),1)</f>
        <v/>
      </c>
      <c r="AZ6" s="216" t="str">
        <f>MID($E6,COLUMNS($E$6:M$6),1)</f>
        <v/>
      </c>
      <c r="BA6" s="216" t="str">
        <f>MID($E6,COLUMNS($E$6:N$6),1)</f>
        <v/>
      </c>
      <c r="BB6" s="216" t="str">
        <f>MID($E6,COLUMNS($E$6:O$6),1)</f>
        <v/>
      </c>
      <c r="BC6" s="216" t="str">
        <f>MID($E6,COLUMNS($E$6:P$6),1)</f>
        <v/>
      </c>
      <c r="BD6" s="216" t="str">
        <f>MID($E6,COLUMNS($E$6:Q$6),1)</f>
        <v/>
      </c>
      <c r="BE6" s="216" t="str">
        <f>MID($E6,COLUMNS($E$6:R$6),1)</f>
        <v/>
      </c>
      <c r="BF6" s="216" t="str">
        <f>MID($E6,COLUMNS($E$6:S$6),1)</f>
        <v/>
      </c>
      <c r="BG6" s="216" t="str">
        <f>MID($E6,COLUMNS($E$6:T$6),1)</f>
        <v/>
      </c>
      <c r="BH6" s="216" t="str">
        <f>MID($E6,COLUMNS($E$6:U$6),1)</f>
        <v/>
      </c>
      <c r="BI6" s="216" t="str">
        <f>MID($E6,COLUMNS($E$6:V$6),1)</f>
        <v/>
      </c>
      <c r="BJ6" s="216"/>
      <c r="BK6" s="216"/>
      <c r="BL6" s="216"/>
      <c r="BM6" s="216"/>
      <c r="BN6" s="216"/>
      <c r="BO6" s="216"/>
      <c r="BP6" s="216"/>
      <c r="BQ6" s="216"/>
      <c r="BR6" s="216"/>
      <c r="BS6" s="216"/>
      <c r="BT6" s="216"/>
      <c r="BU6" s="216"/>
      <c r="BV6" s="216"/>
      <c r="BW6" s="216"/>
      <c r="BX6" s="216"/>
      <c r="BY6" s="216"/>
      <c r="BZ6" s="216"/>
      <c r="CA6" s="216"/>
      <c r="CB6" s="216"/>
      <c r="CC6" s="216"/>
      <c r="CD6" s="216"/>
      <c r="CE6" s="216"/>
      <c r="CF6" s="216"/>
      <c r="CG6" s="216"/>
      <c r="CH6" s="216"/>
      <c r="CI6" s="216"/>
      <c r="CJ6" s="216"/>
      <c r="CK6" s="216"/>
      <c r="CL6" s="216"/>
      <c r="CM6" s="216"/>
      <c r="CN6" s="216"/>
      <c r="CO6" s="216"/>
      <c r="CP6" s="216"/>
      <c r="CQ6" s="216"/>
    </row>
    <row r="7" spans="1:95" ht="23.25" customHeight="1" x14ac:dyDescent="0.25">
      <c r="A7" s="201">
        <v>5</v>
      </c>
      <c r="B7" s="114" t="s">
        <v>45</v>
      </c>
      <c r="C7" s="346"/>
      <c r="D7" s="377"/>
      <c r="E7" s="377"/>
      <c r="G7" s="216"/>
      <c r="H7" s="216"/>
      <c r="I7" s="216"/>
      <c r="J7" s="216"/>
      <c r="K7" s="221">
        <f>DAY(C7)</f>
        <v>0</v>
      </c>
      <c r="L7" s="222">
        <f>MONTH(C7)</f>
        <v>1</v>
      </c>
      <c r="M7" s="222">
        <f>YEAR(C7)</f>
        <v>1900</v>
      </c>
      <c r="N7" s="216"/>
      <c r="O7" s="343" t="str">
        <f>IF(K7&lt;=0," ",K7)</f>
        <v xml:space="preserve"> </v>
      </c>
      <c r="P7" s="343">
        <f t="shared" ref="P7" si="1">IF(L7&lt;=0," ",L7)</f>
        <v>1</v>
      </c>
      <c r="Q7" s="342">
        <f t="shared" ref="Q7" si="2">IF(M7&lt;=0," ",M7)</f>
        <v>1900</v>
      </c>
      <c r="R7" s="216"/>
      <c r="S7" s="216"/>
      <c r="T7" s="216"/>
      <c r="U7" s="216"/>
      <c r="V7" s="216"/>
      <c r="W7" s="216"/>
      <c r="X7" s="216"/>
      <c r="Y7" s="216"/>
      <c r="Z7" s="216"/>
      <c r="AA7" s="216"/>
      <c r="AB7" s="216"/>
      <c r="AC7" s="216"/>
      <c r="AD7" s="216"/>
      <c r="AE7" s="216"/>
      <c r="AF7" s="216"/>
      <c r="AG7" s="216"/>
      <c r="AH7" s="216"/>
      <c r="AI7" s="216"/>
      <c r="AJ7" s="216"/>
      <c r="AK7" s="216"/>
      <c r="AL7" s="216"/>
      <c r="AM7" s="216"/>
      <c r="AN7" s="216"/>
      <c r="AO7" s="216"/>
      <c r="AP7" s="216"/>
      <c r="AQ7" s="216"/>
      <c r="AR7" s="216"/>
      <c r="AS7" s="216"/>
      <c r="AT7" s="216"/>
      <c r="AU7" s="216"/>
      <c r="AV7" s="216"/>
      <c r="AW7" s="216"/>
      <c r="AX7" s="216"/>
      <c r="AY7" s="216"/>
      <c r="AZ7" s="216"/>
      <c r="BA7" s="216"/>
      <c r="BB7" s="216"/>
      <c r="BC7" s="216"/>
      <c r="BD7" s="216"/>
      <c r="BE7" s="216"/>
      <c r="BF7" s="216"/>
      <c r="BG7" s="216"/>
      <c r="BH7" s="216"/>
      <c r="BI7" s="216"/>
      <c r="BJ7" s="216"/>
      <c r="BK7" s="216"/>
      <c r="BL7" s="216"/>
      <c r="BM7" s="216"/>
      <c r="BN7" s="216"/>
      <c r="BO7" s="216"/>
      <c r="BP7" s="216"/>
      <c r="BQ7" s="216"/>
      <c r="BR7" s="216"/>
      <c r="BS7" s="216"/>
      <c r="BT7" s="216"/>
      <c r="BU7" s="216"/>
      <c r="BV7" s="216"/>
      <c r="BW7" s="216"/>
      <c r="BX7" s="216"/>
      <c r="BY7" s="216"/>
      <c r="BZ7" s="216"/>
      <c r="CA7" s="216"/>
      <c r="CB7" s="216"/>
      <c r="CC7" s="216"/>
      <c r="CD7" s="216"/>
      <c r="CE7" s="216"/>
      <c r="CF7" s="216"/>
      <c r="CG7" s="216"/>
      <c r="CH7" s="216"/>
      <c r="CI7" s="216"/>
      <c r="CJ7" s="216"/>
      <c r="CK7" s="216"/>
      <c r="CL7" s="216"/>
      <c r="CM7" s="216"/>
      <c r="CN7" s="216"/>
      <c r="CO7" s="216"/>
      <c r="CP7" s="216"/>
      <c r="CQ7" s="216"/>
    </row>
    <row r="8" spans="1:95" ht="23.25" customHeight="1" x14ac:dyDescent="0.25">
      <c r="A8" s="201">
        <v>6</v>
      </c>
      <c r="B8" s="113" t="s">
        <v>267</v>
      </c>
      <c r="C8" s="347"/>
      <c r="D8" s="377"/>
      <c r="E8" s="377"/>
      <c r="G8" s="216"/>
      <c r="H8" s="216"/>
      <c r="I8" s="216"/>
      <c r="J8" s="216"/>
      <c r="K8" s="221">
        <f>DAY(C8)</f>
        <v>0</v>
      </c>
      <c r="L8" s="222">
        <f>MONTH(C8)</f>
        <v>1</v>
      </c>
      <c r="M8" s="222">
        <f>YEAR(C8)</f>
        <v>1900</v>
      </c>
      <c r="N8" s="216"/>
      <c r="O8" s="343" t="str">
        <f t="shared" ref="O8:O10" si="3">IF(K8&lt;=0," ",K8)</f>
        <v xml:space="preserve"> </v>
      </c>
      <c r="P8" s="343">
        <f t="shared" ref="P8:P10" si="4">IF(L8&lt;=0," ",L8)</f>
        <v>1</v>
      </c>
      <c r="Q8" s="342">
        <f t="shared" ref="Q8:Q10" si="5">IF(M8&lt;=0," ",M8)</f>
        <v>1900</v>
      </c>
      <c r="R8" s="216"/>
      <c r="S8" s="216"/>
      <c r="T8" s="216"/>
      <c r="U8" s="216"/>
      <c r="V8" s="216"/>
      <c r="W8" s="216"/>
      <c r="X8" s="216"/>
      <c r="Y8" s="216"/>
      <c r="Z8" s="216"/>
      <c r="AA8" s="216"/>
      <c r="AB8" s="216"/>
      <c r="AC8" s="216"/>
      <c r="AD8" s="216"/>
      <c r="AE8" s="216"/>
      <c r="AF8" s="216"/>
      <c r="AG8" s="216"/>
      <c r="AH8" s="216"/>
      <c r="AI8" s="216"/>
      <c r="AJ8" s="216"/>
      <c r="AK8" s="216"/>
      <c r="AL8" s="216"/>
      <c r="AM8" s="216"/>
      <c r="AN8" s="216"/>
      <c r="AO8" s="216"/>
      <c r="AP8" s="216"/>
      <c r="AQ8" s="216"/>
      <c r="AR8" s="216"/>
      <c r="AS8" s="216"/>
      <c r="AT8" s="216"/>
      <c r="AU8" s="216"/>
      <c r="AV8" s="216"/>
      <c r="AW8" s="216"/>
      <c r="AX8" s="216"/>
      <c r="AY8" s="216"/>
      <c r="AZ8" s="216"/>
      <c r="BA8" s="216"/>
      <c r="BB8" s="216"/>
      <c r="BC8" s="216"/>
      <c r="BD8" s="216"/>
      <c r="BE8" s="216"/>
      <c r="BF8" s="216"/>
      <c r="BG8" s="216"/>
      <c r="BH8" s="216"/>
      <c r="BI8" s="216"/>
      <c r="BJ8" s="216"/>
      <c r="BK8" s="216"/>
      <c r="BL8" s="216"/>
      <c r="BM8" s="216"/>
      <c r="BN8" s="216"/>
      <c r="BO8" s="216"/>
      <c r="BP8" s="216"/>
      <c r="BQ8" s="216"/>
      <c r="BR8" s="216"/>
      <c r="BS8" s="216"/>
      <c r="BT8" s="216"/>
      <c r="BU8" s="216"/>
      <c r="BV8" s="216"/>
      <c r="BW8" s="216"/>
      <c r="BX8" s="216"/>
      <c r="BY8" s="216"/>
      <c r="BZ8" s="216"/>
      <c r="CA8" s="216"/>
      <c r="CB8" s="216"/>
      <c r="CC8" s="216"/>
      <c r="CD8" s="216"/>
      <c r="CE8" s="216"/>
      <c r="CF8" s="216"/>
      <c r="CG8" s="216"/>
      <c r="CH8" s="216"/>
      <c r="CI8" s="216"/>
      <c r="CJ8" s="216"/>
      <c r="CK8" s="216"/>
      <c r="CL8" s="216"/>
      <c r="CM8" s="216"/>
      <c r="CN8" s="216"/>
      <c r="CO8" s="216"/>
      <c r="CP8" s="216"/>
      <c r="CQ8" s="216"/>
    </row>
    <row r="9" spans="1:95" ht="23.25" customHeight="1" x14ac:dyDescent="0.25">
      <c r="A9" s="201">
        <v>7</v>
      </c>
      <c r="B9" s="224" t="s">
        <v>196</v>
      </c>
      <c r="C9" s="347"/>
      <c r="D9" s="377"/>
      <c r="E9" s="377"/>
      <c r="G9" s="216"/>
      <c r="H9" s="216"/>
      <c r="I9" s="216"/>
      <c r="J9" s="216"/>
      <c r="K9" s="221">
        <f>DAY(C9)</f>
        <v>0</v>
      </c>
      <c r="L9" s="222">
        <f>MONTH(C9)</f>
        <v>1</v>
      </c>
      <c r="M9" s="222">
        <f>YEAR(C9)</f>
        <v>1900</v>
      </c>
      <c r="N9" s="216"/>
      <c r="O9" s="343" t="str">
        <f t="shared" si="3"/>
        <v xml:space="preserve"> </v>
      </c>
      <c r="P9" s="343">
        <f t="shared" si="4"/>
        <v>1</v>
      </c>
      <c r="Q9" s="342">
        <f t="shared" si="5"/>
        <v>1900</v>
      </c>
      <c r="R9" s="216"/>
      <c r="S9" s="216"/>
      <c r="T9" s="216"/>
      <c r="U9" s="216"/>
      <c r="V9" s="216"/>
      <c r="W9" s="216"/>
      <c r="X9" s="216"/>
      <c r="Y9" s="216"/>
      <c r="Z9" s="216"/>
      <c r="AA9" s="216"/>
      <c r="AB9" s="216"/>
      <c r="AC9" s="216"/>
      <c r="AD9" s="216"/>
      <c r="AE9" s="216"/>
      <c r="AF9" s="216"/>
      <c r="AG9" s="216"/>
      <c r="AH9" s="216"/>
      <c r="AI9" s="216"/>
      <c r="AJ9" s="216"/>
      <c r="AK9" s="216"/>
      <c r="AL9" s="216"/>
      <c r="AM9" s="216"/>
      <c r="AN9" s="216"/>
      <c r="AO9" s="216"/>
      <c r="AP9" s="216"/>
      <c r="AQ9" s="216"/>
      <c r="AR9" s="216"/>
      <c r="AS9" s="216"/>
      <c r="AT9" s="216"/>
      <c r="AU9" s="216"/>
      <c r="AV9" s="216"/>
      <c r="AW9" s="216"/>
      <c r="AX9" s="216"/>
      <c r="AY9" s="216"/>
      <c r="AZ9" s="216"/>
      <c r="BA9" s="216"/>
      <c r="BB9" s="216"/>
      <c r="BC9" s="216"/>
      <c r="BD9" s="216"/>
      <c r="BE9" s="216"/>
      <c r="BF9" s="216"/>
      <c r="BG9" s="216"/>
      <c r="BH9" s="216"/>
      <c r="BI9" s="216"/>
      <c r="BJ9" s="216"/>
      <c r="BK9" s="216"/>
      <c r="BL9" s="216"/>
      <c r="BM9" s="216"/>
      <c r="BN9" s="216"/>
      <c r="BO9" s="216"/>
      <c r="BP9" s="216"/>
      <c r="BQ9" s="216"/>
      <c r="BR9" s="216"/>
      <c r="BS9" s="216"/>
      <c r="BT9" s="216"/>
      <c r="BU9" s="216"/>
      <c r="BV9" s="216"/>
      <c r="BW9" s="216"/>
      <c r="BX9" s="216"/>
      <c r="BY9" s="216"/>
      <c r="BZ9" s="216"/>
      <c r="CA9" s="216"/>
      <c r="CB9" s="216"/>
      <c r="CC9" s="216"/>
      <c r="CD9" s="216"/>
      <c r="CE9" s="216"/>
      <c r="CF9" s="216"/>
      <c r="CG9" s="216"/>
      <c r="CH9" s="216"/>
      <c r="CI9" s="216"/>
      <c r="CJ9" s="216"/>
      <c r="CK9" s="216"/>
      <c r="CL9" s="216"/>
      <c r="CM9" s="216"/>
      <c r="CN9" s="216"/>
      <c r="CO9" s="216"/>
      <c r="CP9" s="216"/>
      <c r="CQ9" s="216"/>
    </row>
    <row r="10" spans="1:95" ht="23.25" customHeight="1" x14ac:dyDescent="0.25">
      <c r="A10" s="201">
        <v>8</v>
      </c>
      <c r="B10" s="224" t="s">
        <v>268</v>
      </c>
      <c r="C10" s="347"/>
      <c r="D10" s="377"/>
      <c r="E10" s="377"/>
      <c r="G10" s="216"/>
      <c r="H10" s="216"/>
      <c r="I10" s="317">
        <f>TRUNC(C10+1)</f>
        <v>1</v>
      </c>
      <c r="J10" s="216"/>
      <c r="K10" s="221">
        <f>DAY(C10)</f>
        <v>0</v>
      </c>
      <c r="L10" s="222">
        <f>MONTH(C10)</f>
        <v>1</v>
      </c>
      <c r="M10" s="222">
        <f>YEAR(C10)</f>
        <v>1900</v>
      </c>
      <c r="N10" s="216"/>
      <c r="O10" s="343" t="str">
        <f t="shared" si="3"/>
        <v xml:space="preserve"> </v>
      </c>
      <c r="P10" s="343">
        <f t="shared" si="4"/>
        <v>1</v>
      </c>
      <c r="Q10" s="342">
        <f t="shared" si="5"/>
        <v>1900</v>
      </c>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216"/>
      <c r="BJ10" s="216"/>
      <c r="BK10" s="216"/>
      <c r="BL10" s="216"/>
      <c r="BM10" s="21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216"/>
    </row>
    <row r="11" spans="1:95" ht="23.25" customHeight="1" x14ac:dyDescent="0.25">
      <c r="A11" s="201">
        <v>9</v>
      </c>
      <c r="B11" s="114" t="s">
        <v>115</v>
      </c>
      <c r="C11" s="212"/>
      <c r="D11" s="214" t="s">
        <v>303</v>
      </c>
      <c r="E11" s="387"/>
      <c r="G11" s="216"/>
      <c r="H11" s="216"/>
      <c r="I11" s="216"/>
      <c r="J11" s="216"/>
      <c r="K11" s="217" t="str">
        <f>MID($C11,COLUMNS($C$11:C$11),1)</f>
        <v/>
      </c>
      <c r="L11" s="217" t="str">
        <f>MID($C11,COLUMNS($C$11:D$11),1)</f>
        <v/>
      </c>
      <c r="M11" s="217" t="str">
        <f>MID($C11,COLUMNS($C$11:E$11),1)</f>
        <v/>
      </c>
      <c r="N11" s="217" t="str">
        <f>MID($C11,COLUMNS($C$11:F$11),1)</f>
        <v/>
      </c>
      <c r="O11" s="217" t="str">
        <f>MID($C11,COLUMNS($C$11:G$11),1)</f>
        <v/>
      </c>
      <c r="P11" s="217" t="str">
        <f>MID($C11,COLUMNS($C$11:H$11),1)</f>
        <v/>
      </c>
      <c r="Q11" s="217" t="str">
        <f>MID($C11,COLUMNS($C$11:I$11),1)</f>
        <v/>
      </c>
      <c r="R11" s="217" t="str">
        <f>MID($C11,COLUMNS($C$11:J$11),1)</f>
        <v/>
      </c>
      <c r="S11" s="217" t="str">
        <f>MID($C11,COLUMNS($C$11:K$11),1)</f>
        <v/>
      </c>
      <c r="T11" s="217" t="str">
        <f>MID($C11,COLUMNS($C$11:L$11),1)</f>
        <v/>
      </c>
      <c r="U11" s="217" t="str">
        <f>MID($C11,COLUMNS($C$11:M$11),1)</f>
        <v/>
      </c>
      <c r="V11" s="217" t="str">
        <f>MID($C11,COLUMNS($C$11:N$11),1)</f>
        <v/>
      </c>
      <c r="W11" s="217" t="str">
        <f>MID($C11,COLUMNS($C$11:O$11),1)</f>
        <v/>
      </c>
      <c r="X11" s="217" t="str">
        <f>MID($C11,COLUMNS($C$11:P$11),1)</f>
        <v/>
      </c>
      <c r="Y11" s="217" t="str">
        <f>MID($C11,COLUMNS($C$11:Q$11),1)</f>
        <v/>
      </c>
      <c r="Z11" s="217" t="str">
        <f>MID($C11,COLUMNS($C$11:R$11),1)</f>
        <v/>
      </c>
      <c r="AA11" s="217" t="str">
        <f>MID($C11,COLUMNS($C$11:S$11),1)</f>
        <v/>
      </c>
      <c r="AB11" s="217" t="str">
        <f>MID($C11,COLUMNS($C$11:T$11),1)</f>
        <v/>
      </c>
      <c r="AC11" s="217" t="str">
        <f>MID($C11,COLUMNS($C$11:U$11),1)</f>
        <v/>
      </c>
      <c r="AD11" s="217" t="str">
        <f>MID($C11,COLUMNS($C$11:V$11),1)</f>
        <v/>
      </c>
      <c r="AE11" s="217" t="str">
        <f>MID($C11,COLUMNS($C$11:W$11),1)</f>
        <v/>
      </c>
      <c r="AF11" s="217" t="str">
        <f>MID($C11,COLUMNS($C$11:X$11),1)</f>
        <v/>
      </c>
      <c r="AG11" s="217" t="str">
        <f>MID($C11,COLUMNS($C$11:Y$11),1)</f>
        <v/>
      </c>
      <c r="AH11" s="217" t="str">
        <f>MID($C11,COLUMNS($C$11:Z$11),1)</f>
        <v/>
      </c>
      <c r="AI11" s="217" t="str">
        <f>MID($C11,COLUMNS($C$11:AA$11),1)</f>
        <v/>
      </c>
      <c r="AJ11" s="216" t="str">
        <f>MID($C11,COLUMNS($C$11:AE$11),1)</f>
        <v/>
      </c>
      <c r="AK11" s="216" t="str">
        <f>MID($C11,COLUMNS($C$11:AF$11),1)</f>
        <v/>
      </c>
      <c r="AL11" s="216" t="str">
        <f>MID($C11,COLUMNS($C$11:AG$11),1)</f>
        <v/>
      </c>
      <c r="AM11" s="216" t="str">
        <f>MID($C11,COLUMNS($C$11:AH$11),1)</f>
        <v/>
      </c>
      <c r="AN11" s="216" t="str">
        <f>MID($C11,COLUMNS($C$11:AI$11),1)</f>
        <v/>
      </c>
      <c r="AO11" s="216" t="str">
        <f>MID($C11,COLUMNS($C$11:AJ$11),1)</f>
        <v/>
      </c>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row>
    <row r="12" spans="1:95" ht="23.25" customHeight="1" x14ac:dyDescent="0.25">
      <c r="A12" s="201">
        <v>10</v>
      </c>
      <c r="B12" s="114" t="s">
        <v>47</v>
      </c>
      <c r="C12" s="212"/>
      <c r="D12" s="214" t="s">
        <v>272</v>
      </c>
      <c r="E12" s="387"/>
      <c r="G12" s="216"/>
      <c r="H12" s="216"/>
      <c r="I12" s="216"/>
      <c r="J12" s="216"/>
      <c r="K12" s="217" t="str">
        <f>MID($C12,COLUMNS($C$12:C$12),1)</f>
        <v/>
      </c>
      <c r="L12" s="217" t="str">
        <f>MID($C12,COLUMNS($C$12:D$12),1)</f>
        <v/>
      </c>
      <c r="M12" s="217" t="str">
        <f>MID($C12,COLUMNS($C$12:E$12),1)</f>
        <v/>
      </c>
      <c r="N12" s="217" t="str">
        <f>MID($C12,COLUMNS($C$12:F$12),1)</f>
        <v/>
      </c>
      <c r="O12" s="217" t="str">
        <f>MID($C12,COLUMNS($C$12:G$12),1)</f>
        <v/>
      </c>
      <c r="P12" s="217" t="str">
        <f>MID($C12,COLUMNS($C$12:H$12),1)</f>
        <v/>
      </c>
      <c r="Q12" s="217" t="str">
        <f>MID($C12,COLUMNS($C$12:I$12),1)</f>
        <v/>
      </c>
      <c r="R12" s="217" t="str">
        <f>MID($C12,COLUMNS($C$12:J$12),1)</f>
        <v/>
      </c>
      <c r="S12" s="217" t="str">
        <f>MID($C12,COLUMNS($C$12:K$12),1)</f>
        <v/>
      </c>
      <c r="T12" s="217" t="str">
        <f>MID($C12,COLUMNS($C$12:L$12),1)</f>
        <v/>
      </c>
      <c r="U12" s="217" t="str">
        <f>MID($C12,COLUMNS($C$12:M$12),1)</f>
        <v/>
      </c>
      <c r="V12" s="217" t="str">
        <f>MID($C12,COLUMNS($C$12:N$12),1)</f>
        <v/>
      </c>
      <c r="W12" s="217" t="str">
        <f>MID($C12,COLUMNS($C$12:O$12),1)</f>
        <v/>
      </c>
      <c r="X12" s="217" t="str">
        <f>MID($C12,COLUMNS($C$12:P$12),1)</f>
        <v/>
      </c>
      <c r="Y12" s="217" t="str">
        <f>MID($C12,COLUMNS($C$12:Q$12),1)</f>
        <v/>
      </c>
      <c r="Z12" s="217" t="str">
        <f>MID($C12,COLUMNS($C$12:R$12),1)</f>
        <v/>
      </c>
      <c r="AA12" s="217" t="str">
        <f>MID($C12,COLUMNS($C$12:S$12),1)</f>
        <v/>
      </c>
      <c r="AB12" s="217" t="str">
        <f>MID($C12,COLUMNS($C$12:T$12),1)</f>
        <v/>
      </c>
      <c r="AC12" s="217" t="str">
        <f>MID($C12,COLUMNS($C$12:U$12),1)</f>
        <v/>
      </c>
      <c r="AD12" s="217" t="str">
        <f>MID($C12,COLUMNS($C$12:V$12),1)</f>
        <v/>
      </c>
      <c r="AE12" s="217" t="str">
        <f>MID($C12,COLUMNS($C$12:W$12),1)</f>
        <v/>
      </c>
      <c r="AF12" s="217" t="str">
        <f>MID($C12,COLUMNS($C$12:X$12),1)</f>
        <v/>
      </c>
      <c r="AG12" s="217" t="str">
        <f>MID($C12,COLUMNS($C$12:Y$12),1)</f>
        <v/>
      </c>
      <c r="AH12" s="217" t="str">
        <f>MID($C12,COLUMNS($C$12:Z$12),1)</f>
        <v/>
      </c>
      <c r="AI12" s="217" t="str">
        <f>MID($C12,COLUMNS($C$12:AA$12),1)</f>
        <v/>
      </c>
      <c r="AJ12" s="217" t="str">
        <f>MID($C12,COLUMNS($C$12:AB$12),1)</f>
        <v/>
      </c>
      <c r="AK12" s="217" t="str">
        <f>MID($C12,COLUMNS($C$12:AC$12),1)</f>
        <v/>
      </c>
      <c r="AL12" s="217" t="str">
        <f>MID($C12,COLUMNS($C$12:AD$12),1)</f>
        <v/>
      </c>
      <c r="AM12" s="217" t="str">
        <f>MID($C12,COLUMNS($C$12:AE$12),1)</f>
        <v/>
      </c>
      <c r="AN12" s="217" t="str">
        <f>MID($C12,COLUMNS($C$12:AF$12),1)</f>
        <v/>
      </c>
      <c r="AO12" s="217" t="str">
        <f>MID($C12,COLUMNS($C$12:AG$12),1)</f>
        <v/>
      </c>
      <c r="AP12" s="217" t="str">
        <f>MID($C12,COLUMNS($C$12:AH$12),1)</f>
        <v/>
      </c>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row>
    <row r="13" spans="1:95" ht="23.25" customHeight="1" x14ac:dyDescent="0.25">
      <c r="A13" s="201">
        <v>11</v>
      </c>
      <c r="B13" s="114" t="s">
        <v>269</v>
      </c>
      <c r="C13" s="212"/>
      <c r="D13" s="214" t="s">
        <v>272</v>
      </c>
      <c r="E13" s="387"/>
      <c r="G13" s="216"/>
      <c r="H13" s="216"/>
      <c r="I13" s="216"/>
      <c r="J13" s="216"/>
      <c r="K13" s="217" t="str">
        <f>MID($C13,COLUMNS($C$13:C$13),1)</f>
        <v/>
      </c>
      <c r="L13" s="217" t="str">
        <f>MID($C13,COLUMNS($C$13:D$13),1)</f>
        <v/>
      </c>
      <c r="M13" s="217" t="str">
        <f>MID($C13,COLUMNS($C$13:E$13),1)</f>
        <v/>
      </c>
      <c r="N13" s="217" t="str">
        <f>MID($C13,COLUMNS($C$13:F$13),1)</f>
        <v/>
      </c>
      <c r="O13" s="217" t="str">
        <f>MID($C13,COLUMNS($C$13:G$13),1)</f>
        <v/>
      </c>
      <c r="P13" s="217" t="str">
        <f>MID($C13,COLUMNS($C$13:H$13),1)</f>
        <v/>
      </c>
      <c r="Q13" s="217" t="str">
        <f>MID($C13,COLUMNS($C$13:I$13),1)</f>
        <v/>
      </c>
      <c r="R13" s="217" t="str">
        <f>MID($C13,COLUMNS($C$13:J$13),1)</f>
        <v/>
      </c>
      <c r="S13" s="217" t="str">
        <f>MID($C13,COLUMNS($C$13:K$13),1)</f>
        <v/>
      </c>
      <c r="T13" s="217" t="str">
        <f>MID($C13,COLUMNS($C$13:L$13),1)</f>
        <v/>
      </c>
      <c r="U13" s="217" t="str">
        <f>MID($C13,COLUMNS($C$13:M$13),1)</f>
        <v/>
      </c>
      <c r="V13" s="217" t="str">
        <f>MID($C13,COLUMNS($C$13:N$13),1)</f>
        <v/>
      </c>
      <c r="W13" s="217" t="str">
        <f>MID($C13,COLUMNS($C$13:O$13),1)</f>
        <v/>
      </c>
      <c r="X13" s="217" t="str">
        <f>MID($C13,COLUMNS($C$13:P$13),1)</f>
        <v/>
      </c>
      <c r="Y13" s="217" t="str">
        <f>MID($C13,COLUMNS($C$13:Q$13),1)</f>
        <v/>
      </c>
      <c r="Z13" s="217" t="str">
        <f>MID($C13,COLUMNS($C$13:R$13),1)</f>
        <v/>
      </c>
      <c r="AA13" s="217" t="str">
        <f>MID($C13,COLUMNS($C$13:S$13),1)</f>
        <v/>
      </c>
      <c r="AB13" s="217" t="str">
        <f>MID($C13,COLUMNS($C$13:T$13),1)</f>
        <v/>
      </c>
      <c r="AC13" s="217" t="str">
        <f>MID($C13,COLUMNS($C$13:U$13),1)</f>
        <v/>
      </c>
      <c r="AD13" s="217" t="str">
        <f>MID($C13,COLUMNS($C$13:V$13),1)</f>
        <v/>
      </c>
      <c r="AE13" s="217" t="str">
        <f>MID($C13,COLUMNS($C$13:W$13),1)</f>
        <v/>
      </c>
      <c r="AF13" s="217" t="str">
        <f>MID($C13,COLUMNS($C$13:X$13),1)</f>
        <v/>
      </c>
      <c r="AG13" s="217" t="str">
        <f>MID($C13,COLUMNS($C$13:Y$13),1)</f>
        <v/>
      </c>
      <c r="AH13" s="217" t="str">
        <f>MID($C13,COLUMNS($C$13:Z$13),1)</f>
        <v/>
      </c>
      <c r="AI13" s="217" t="str">
        <f>MID($C13,COLUMNS($C$13:AA$13),1)</f>
        <v/>
      </c>
      <c r="AJ13" s="217" t="str">
        <f>MID($C13,COLUMNS($C$13:AB$13),1)</f>
        <v/>
      </c>
      <c r="AK13" s="217" t="str">
        <f>MID($C13,COLUMNS($C$13:AC$13),1)</f>
        <v/>
      </c>
      <c r="AL13" s="217" t="str">
        <f>MID($C13,COLUMNS($C$13:AD$13),1)</f>
        <v/>
      </c>
      <c r="AM13" s="217" t="str">
        <f>MID($C13,COLUMNS($C$13:AE$13),1)</f>
        <v/>
      </c>
      <c r="AN13" s="217" t="str">
        <f>MID($C13,COLUMNS($C$13:AF$13),1)</f>
        <v/>
      </c>
      <c r="AO13" s="217" t="str">
        <f>MID($C13,COLUMNS($C$13:AG$13),1)</f>
        <v/>
      </c>
      <c r="AP13" s="217" t="str">
        <f>MID($C13,COLUMNS($C$13:AH$13),1)</f>
        <v/>
      </c>
      <c r="AQ13" s="216"/>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6"/>
      <c r="BN13" s="216"/>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row>
    <row r="14" spans="1:95" ht="23.25" customHeight="1" x14ac:dyDescent="0.25">
      <c r="A14" s="201">
        <v>12</v>
      </c>
      <c r="B14" s="114" t="s">
        <v>48</v>
      </c>
      <c r="C14" s="212"/>
      <c r="D14" s="391"/>
      <c r="E14" s="387"/>
      <c r="G14" s="216"/>
      <c r="H14" s="216"/>
      <c r="I14" s="216"/>
      <c r="J14" s="216"/>
      <c r="K14" s="217" t="str">
        <f>MID($C14,COLUMNS($C$14:C$14),1)</f>
        <v/>
      </c>
      <c r="L14" s="217" t="str">
        <f>MID($C14,COLUMNS($C$14:D$14),1)</f>
        <v/>
      </c>
      <c r="M14" s="217" t="str">
        <f>MID($C14,COLUMNS($C$14:E$14),1)</f>
        <v/>
      </c>
      <c r="N14" s="217" t="str">
        <f>MID($C14,COLUMNS($C$14:F$14),1)</f>
        <v/>
      </c>
      <c r="O14" s="217" t="str">
        <f>MID($C14,COLUMNS($C$14:G$14),1)</f>
        <v/>
      </c>
      <c r="P14" s="217" t="str">
        <f>MID($C14,COLUMNS($C$14:H$14),1)</f>
        <v/>
      </c>
      <c r="Q14" s="217" t="str">
        <f>MID($C14,COLUMNS($C$14:I$14),1)</f>
        <v/>
      </c>
      <c r="R14" s="217" t="str">
        <f>MID($C14,COLUMNS($C$14:J$14),1)</f>
        <v/>
      </c>
      <c r="S14" s="217" t="str">
        <f>MID($C14,COLUMNS($C$14:K$14),1)</f>
        <v/>
      </c>
      <c r="T14" s="217" t="str">
        <f>MID($C14,COLUMNS($C$14:L$14),1)</f>
        <v/>
      </c>
      <c r="U14" s="217" t="str">
        <f>MID($C14,COLUMNS($C$14:M$14),1)</f>
        <v/>
      </c>
      <c r="V14" s="217" t="str">
        <f>MID($C14,COLUMNS($C$14:N$14),1)</f>
        <v/>
      </c>
      <c r="W14" s="217" t="str">
        <f>MID($C14,COLUMNS($C$14:O$14),1)</f>
        <v/>
      </c>
      <c r="X14" s="216"/>
      <c r="Y14" s="216"/>
      <c r="Z14" s="216"/>
      <c r="AA14" s="216"/>
      <c r="AB14" s="216"/>
      <c r="AC14" s="216"/>
      <c r="AD14" s="216"/>
      <c r="AE14" s="216"/>
      <c r="AF14" s="216"/>
      <c r="AG14" s="216"/>
      <c r="AH14" s="216"/>
      <c r="AI14" s="216"/>
      <c r="AJ14" s="216"/>
      <c r="AK14" s="216"/>
      <c r="AL14" s="216"/>
      <c r="AM14" s="216"/>
      <c r="AN14" s="216"/>
      <c r="AO14" s="216"/>
      <c r="AP14" s="216"/>
      <c r="AQ14" s="216"/>
      <c r="AR14" s="216"/>
      <c r="AS14" s="216"/>
      <c r="AT14" s="216"/>
      <c r="AU14" s="216"/>
      <c r="AV14" s="216"/>
      <c r="AW14" s="216"/>
      <c r="AX14" s="216"/>
      <c r="AY14" s="216"/>
      <c r="AZ14" s="216"/>
      <c r="BA14" s="216"/>
      <c r="BB14" s="216"/>
      <c r="BC14" s="216"/>
      <c r="BD14" s="216"/>
      <c r="BE14" s="216"/>
      <c r="BF14" s="216"/>
      <c r="BG14" s="216"/>
      <c r="BH14" s="216"/>
      <c r="BI14" s="216"/>
      <c r="BJ14" s="216"/>
      <c r="BK14" s="216"/>
      <c r="BL14" s="216"/>
      <c r="BM14" s="216"/>
      <c r="BN14" s="216"/>
      <c r="BO14" s="216"/>
      <c r="BP14" s="216"/>
      <c r="BQ14" s="216"/>
      <c r="BR14" s="216"/>
      <c r="BS14" s="216"/>
      <c r="BT14" s="216"/>
      <c r="BU14" s="216"/>
      <c r="BV14" s="216"/>
      <c r="BW14" s="216"/>
      <c r="BX14" s="216"/>
      <c r="BY14" s="216"/>
      <c r="BZ14" s="216"/>
      <c r="CA14" s="216"/>
      <c r="CB14" s="216"/>
      <c r="CC14" s="216"/>
      <c r="CD14" s="216"/>
      <c r="CE14" s="216"/>
      <c r="CF14" s="216"/>
      <c r="CG14" s="216"/>
      <c r="CH14" s="216"/>
      <c r="CI14" s="216"/>
      <c r="CJ14" s="216"/>
      <c r="CK14" s="216"/>
      <c r="CL14" s="216"/>
      <c r="CM14" s="216"/>
      <c r="CN14" s="216"/>
      <c r="CO14" s="216"/>
      <c r="CP14" s="216"/>
      <c r="CQ14" s="216"/>
    </row>
    <row r="15" spans="1:95" ht="23.25" customHeight="1" x14ac:dyDescent="0.25">
      <c r="A15" s="201">
        <v>13</v>
      </c>
      <c r="B15" s="114" t="s">
        <v>270</v>
      </c>
      <c r="C15" s="212"/>
      <c r="D15" s="392"/>
      <c r="E15" s="387"/>
      <c r="G15" s="216"/>
      <c r="H15" s="216"/>
      <c r="I15" s="216"/>
      <c r="J15" s="216"/>
      <c r="K15" s="217" t="str">
        <f>MID($C15,COLUMNS($C$15:C$15),1)</f>
        <v/>
      </c>
      <c r="L15" s="217" t="str">
        <f>MID($C15,COLUMNS($C$15:D$15),1)</f>
        <v/>
      </c>
      <c r="M15" s="217" t="str">
        <f>MID($C15,COLUMNS($C$15:E$15),1)</f>
        <v/>
      </c>
      <c r="N15" s="217" t="str">
        <f>MID($C15,COLUMNS($C$15:F$15),1)</f>
        <v/>
      </c>
      <c r="O15" s="217" t="str">
        <f>MID($C15,COLUMNS($C$15:G$15),1)</f>
        <v/>
      </c>
      <c r="P15" s="217" t="str">
        <f>MID($C15,COLUMNS($C$15:H$15),1)</f>
        <v/>
      </c>
      <c r="Q15" s="217" t="str">
        <f>MID($C15,COLUMNS($C$15:I$15),1)</f>
        <v/>
      </c>
      <c r="R15" s="217" t="str">
        <f>MID($C15,COLUMNS($C$15:J$15),1)</f>
        <v/>
      </c>
      <c r="S15" s="217" t="str">
        <f>MID($C15,COLUMNS($C$15:K$15),1)</f>
        <v/>
      </c>
      <c r="T15" s="217" t="str">
        <f>MID($C15,COLUMNS($C$15:L$15),1)</f>
        <v/>
      </c>
      <c r="U15" s="217" t="str">
        <f>MID($C15,COLUMNS($C$15:M$15),1)</f>
        <v/>
      </c>
      <c r="V15" s="217" t="str">
        <f>MID($C15,COLUMNS($C$15:N$15),1)</f>
        <v/>
      </c>
      <c r="W15" s="217" t="str">
        <f>MID($C15,COLUMNS($C$15:O$15),1)</f>
        <v/>
      </c>
      <c r="X15" s="216"/>
      <c r="Y15" s="216"/>
      <c r="Z15" s="216"/>
      <c r="AA15" s="216"/>
      <c r="AB15" s="216"/>
      <c r="AC15" s="216"/>
      <c r="AD15" s="216"/>
      <c r="AE15" s="216"/>
      <c r="AF15" s="216"/>
      <c r="AG15" s="216"/>
      <c r="AH15" s="216"/>
      <c r="AI15" s="216"/>
      <c r="AJ15" s="216"/>
      <c r="AK15" s="216"/>
      <c r="AL15" s="216"/>
      <c r="AM15" s="216"/>
      <c r="AN15" s="216"/>
      <c r="AO15" s="216"/>
      <c r="AP15" s="216"/>
      <c r="AQ15" s="216"/>
      <c r="AR15" s="216"/>
      <c r="AS15" s="216"/>
      <c r="AT15" s="216"/>
      <c r="AU15" s="216"/>
      <c r="AV15" s="216"/>
      <c r="AW15" s="216"/>
      <c r="AX15" s="216"/>
      <c r="AY15" s="216"/>
      <c r="AZ15" s="216"/>
      <c r="BA15" s="216"/>
      <c r="BB15" s="216"/>
      <c r="BC15" s="216"/>
      <c r="BD15" s="216"/>
      <c r="BE15" s="216"/>
      <c r="BF15" s="216"/>
      <c r="BG15" s="216"/>
      <c r="BH15" s="216"/>
      <c r="BI15" s="216"/>
      <c r="BJ15" s="216"/>
      <c r="BK15" s="216"/>
      <c r="BL15" s="216"/>
      <c r="BM15" s="216"/>
      <c r="BN15" s="216"/>
      <c r="BO15" s="216"/>
      <c r="BP15" s="216"/>
      <c r="BQ15" s="216"/>
      <c r="BR15" s="216"/>
      <c r="BS15" s="216"/>
      <c r="BT15" s="216"/>
      <c r="BU15" s="216"/>
      <c r="BV15" s="216"/>
      <c r="BW15" s="216"/>
      <c r="BX15" s="216"/>
      <c r="BY15" s="216"/>
      <c r="BZ15" s="216"/>
      <c r="CA15" s="216"/>
      <c r="CB15" s="216"/>
      <c r="CC15" s="216"/>
      <c r="CD15" s="216"/>
      <c r="CE15" s="216"/>
      <c r="CF15" s="216"/>
      <c r="CG15" s="216"/>
      <c r="CH15" s="216"/>
      <c r="CI15" s="216"/>
      <c r="CJ15" s="216"/>
      <c r="CK15" s="216"/>
      <c r="CL15" s="216"/>
      <c r="CM15" s="216"/>
      <c r="CN15" s="216"/>
      <c r="CO15" s="216"/>
      <c r="CP15" s="216"/>
      <c r="CQ15" s="216"/>
    </row>
    <row r="16" spans="1:95" ht="24" customHeight="1" x14ac:dyDescent="0.25">
      <c r="A16" s="201"/>
      <c r="B16" s="388" t="s">
        <v>50</v>
      </c>
      <c r="C16" s="389"/>
      <c r="D16" s="390"/>
      <c r="E16" s="387"/>
      <c r="F16" s="216"/>
      <c r="G16" s="216"/>
      <c r="H16" s="216"/>
      <c r="I16" s="216"/>
      <c r="J16" s="216"/>
      <c r="K16" s="217"/>
      <c r="L16" s="216"/>
      <c r="M16" s="216"/>
      <c r="N16" s="216"/>
      <c r="O16" s="216"/>
      <c r="P16" s="216"/>
      <c r="Q16" s="216"/>
      <c r="R16" s="216"/>
      <c r="S16" s="216"/>
      <c r="T16" s="216"/>
      <c r="U16" s="216"/>
      <c r="V16" s="216"/>
      <c r="W16" s="216"/>
      <c r="X16" s="216"/>
      <c r="Y16" s="216"/>
      <c r="Z16" s="216"/>
      <c r="AA16" s="216"/>
      <c r="AB16" s="216"/>
      <c r="AC16" s="216"/>
      <c r="AD16" s="216"/>
      <c r="AE16" s="216"/>
      <c r="AF16" s="216"/>
      <c r="AG16" s="216"/>
      <c r="AH16" s="216"/>
      <c r="AI16" s="216"/>
      <c r="AJ16" s="216"/>
      <c r="AK16" s="216"/>
      <c r="AL16" s="216"/>
      <c r="AM16" s="216"/>
      <c r="AN16" s="216"/>
      <c r="AO16" s="216"/>
      <c r="AP16" s="216"/>
      <c r="AQ16" s="216"/>
      <c r="AR16" s="216"/>
      <c r="AS16" s="216"/>
      <c r="AT16" s="216"/>
      <c r="AU16" s="216"/>
      <c r="AV16" s="216"/>
      <c r="AW16" s="216"/>
      <c r="AX16" s="216"/>
      <c r="AY16" s="216"/>
      <c r="AZ16" s="216"/>
      <c r="BA16" s="216"/>
      <c r="BB16" s="216"/>
      <c r="BC16" s="216"/>
      <c r="BD16" s="216"/>
      <c r="BE16" s="216"/>
      <c r="BF16" s="216"/>
      <c r="BG16" s="216"/>
      <c r="BH16" s="216"/>
      <c r="BI16" s="216"/>
      <c r="BJ16" s="216"/>
      <c r="BK16" s="216"/>
      <c r="BL16" s="216"/>
      <c r="BM16" s="216"/>
      <c r="BN16" s="216"/>
      <c r="BO16" s="216"/>
      <c r="BP16" s="216"/>
      <c r="BQ16" s="216"/>
      <c r="BR16" s="216"/>
      <c r="BS16" s="216"/>
      <c r="BT16" s="216"/>
      <c r="BU16" s="216"/>
      <c r="BV16" s="216"/>
      <c r="BW16" s="216"/>
      <c r="BX16" s="216"/>
      <c r="BY16" s="216"/>
      <c r="BZ16" s="216"/>
      <c r="CA16" s="216"/>
      <c r="CB16" s="216"/>
      <c r="CC16" s="216"/>
      <c r="CD16" s="216"/>
      <c r="CE16" s="216"/>
      <c r="CF16" s="216"/>
      <c r="CG16" s="216"/>
      <c r="CH16" s="216"/>
      <c r="CI16" s="216"/>
      <c r="CJ16" s="216"/>
      <c r="CK16" s="216"/>
      <c r="CL16" s="216"/>
      <c r="CM16" s="216"/>
      <c r="CN16" s="216"/>
      <c r="CO16" s="216"/>
      <c r="CP16" s="216"/>
      <c r="CQ16" s="216"/>
    </row>
    <row r="17" spans="1:95" ht="24" customHeight="1" x14ac:dyDescent="0.25">
      <c r="A17" s="201">
        <v>14</v>
      </c>
      <c r="B17" s="114" t="s">
        <v>51</v>
      </c>
      <c r="C17" s="379"/>
      <c r="D17" s="379"/>
      <c r="E17" s="214" t="s">
        <v>271</v>
      </c>
      <c r="F17" s="225"/>
      <c r="G17" s="267"/>
      <c r="H17" s="267"/>
      <c r="I17" s="216" t="str">
        <f>TRIM(C17&amp;",   "&amp;C18&amp;",   "&amp;C19&amp;",    "&amp;C20&amp;",    "&amp;C21&amp;" - "&amp;C22)</f>
        <v>, , , , -</v>
      </c>
      <c r="J17" s="267"/>
      <c r="K17" s="217" t="str">
        <f>MID($C17,COLUMNS($C$17:C$17),1)</f>
        <v/>
      </c>
      <c r="L17" s="217" t="str">
        <f>MID($C17,COLUMNS($C$17:D$17),1)</f>
        <v/>
      </c>
      <c r="M17" s="217" t="str">
        <f>MID($C17,COLUMNS($C$17:E$17),1)</f>
        <v/>
      </c>
      <c r="N17" s="217" t="str">
        <f>MID($C17,COLUMNS($C$17:F$17),1)</f>
        <v/>
      </c>
      <c r="O17" s="217" t="str">
        <f>MID($C17,COLUMNS($C$17:G$17),1)</f>
        <v/>
      </c>
      <c r="P17" s="217" t="str">
        <f>MID($C17,COLUMNS($C$17:H$17),1)</f>
        <v/>
      </c>
      <c r="Q17" s="217" t="str">
        <f>MID($C17,COLUMNS($C$17:I$17),1)</f>
        <v/>
      </c>
      <c r="R17" s="217" t="str">
        <f>MID($C17,COLUMNS($C$17:J$17),1)</f>
        <v/>
      </c>
      <c r="S17" s="217" t="str">
        <f>MID($C17,COLUMNS($C$17:K$17),1)</f>
        <v/>
      </c>
      <c r="T17" s="217" t="str">
        <f>MID($C17,COLUMNS($C$17:L$17),1)</f>
        <v/>
      </c>
      <c r="U17" s="217" t="str">
        <f>MID($C17,COLUMNS($C$17:M$17),1)</f>
        <v/>
      </c>
      <c r="V17" s="217" t="str">
        <f>MID($C17,COLUMNS($C$17:N$17),1)</f>
        <v/>
      </c>
      <c r="W17" s="217" t="str">
        <f>MID($C17,COLUMNS($C$17:O$17),1)</f>
        <v/>
      </c>
      <c r="X17" s="217" t="str">
        <f>MID($C17,COLUMNS($C$17:P$17),1)</f>
        <v/>
      </c>
      <c r="Y17" s="217" t="str">
        <f>MID($C17,COLUMNS($C$17:Q$17),1)</f>
        <v/>
      </c>
      <c r="Z17" s="217" t="str">
        <f>MID($C17,COLUMNS($C$17:R$17),1)</f>
        <v/>
      </c>
      <c r="AA17" s="217" t="str">
        <f>MID($C17,COLUMNS($C$17:S$17),1)</f>
        <v/>
      </c>
      <c r="AB17" s="217" t="str">
        <f>MID($C17,COLUMNS($C$17:T$17),1)</f>
        <v/>
      </c>
      <c r="AC17" s="216" t="str">
        <f>MID($C17,COLUMNS($C$17:X$17),1)</f>
        <v/>
      </c>
      <c r="AD17" s="216" t="str">
        <f>MID($C17,COLUMNS($C$17:Y$17),1)</f>
        <v/>
      </c>
      <c r="AE17" s="216" t="str">
        <f>MID($C17,COLUMNS($C$17:Z$17),1)</f>
        <v/>
      </c>
      <c r="AF17" s="216" t="str">
        <f>MID($C17,COLUMNS($C$17:AA$17),1)</f>
        <v/>
      </c>
      <c r="AG17" s="216" t="str">
        <f>MID($C17,COLUMNS($C$17:AB$17),1)</f>
        <v/>
      </c>
      <c r="AH17" s="216" t="str">
        <f>MID($C17,COLUMNS($C$17:AC$17),1)</f>
        <v/>
      </c>
      <c r="AI17" s="216" t="str">
        <f>MID($C17,COLUMNS($C$17:AD$17),1)</f>
        <v/>
      </c>
      <c r="AJ17" s="216" t="str">
        <f>MID($C17,COLUMNS($C$17:AE$17),1)</f>
        <v/>
      </c>
      <c r="AK17" s="216" t="str">
        <f>MID($C17,COLUMNS($C$17:AF$17),1)</f>
        <v/>
      </c>
      <c r="AL17" s="216" t="str">
        <f>MID($C17,COLUMNS($C$17:AG$17),1)</f>
        <v/>
      </c>
      <c r="AM17" s="216"/>
      <c r="AN17" s="216"/>
      <c r="AO17" s="216"/>
      <c r="AP17" s="216"/>
      <c r="AQ17" s="216"/>
      <c r="AR17" s="216"/>
      <c r="AS17" s="216"/>
      <c r="AT17" s="216"/>
      <c r="AU17" s="216"/>
      <c r="AV17" s="216"/>
      <c r="AW17" s="216"/>
      <c r="AX17" s="216"/>
      <c r="AY17" s="216"/>
      <c r="AZ17" s="216"/>
      <c r="BA17" s="216"/>
      <c r="BB17" s="216"/>
      <c r="BC17" s="216"/>
      <c r="BD17" s="216"/>
      <c r="BE17" s="216"/>
      <c r="BF17" s="216"/>
      <c r="BG17" s="216"/>
      <c r="BH17" s="216"/>
      <c r="BI17" s="216"/>
      <c r="BJ17" s="216"/>
      <c r="BK17" s="216"/>
      <c r="BL17" s="216"/>
      <c r="BM17" s="216"/>
      <c r="BN17" s="216"/>
      <c r="BO17" s="216"/>
      <c r="BP17" s="216"/>
      <c r="BQ17" s="216"/>
      <c r="BR17" s="216"/>
      <c r="BS17" s="216"/>
      <c r="BT17" s="216"/>
      <c r="BU17" s="216"/>
      <c r="BV17" s="216"/>
      <c r="BW17" s="216"/>
      <c r="BX17" s="216"/>
      <c r="BY17" s="216"/>
      <c r="BZ17" s="216"/>
      <c r="CA17" s="216"/>
      <c r="CB17" s="216"/>
      <c r="CC17" s="216"/>
      <c r="CD17" s="216"/>
      <c r="CE17" s="216"/>
      <c r="CF17" s="216"/>
      <c r="CG17" s="216"/>
      <c r="CH17" s="216"/>
      <c r="CI17" s="216"/>
      <c r="CJ17" s="216"/>
      <c r="CK17" s="216"/>
      <c r="CL17" s="216"/>
      <c r="CM17" s="216"/>
      <c r="CN17" s="216"/>
      <c r="CO17" s="216"/>
      <c r="CP17" s="216"/>
      <c r="CQ17" s="216"/>
    </row>
    <row r="18" spans="1:95" ht="24" customHeight="1" x14ac:dyDescent="0.25">
      <c r="A18" s="201">
        <v>15</v>
      </c>
      <c r="B18" s="114" t="s">
        <v>52</v>
      </c>
      <c r="C18" s="379"/>
      <c r="D18" s="379"/>
      <c r="E18" s="214" t="s">
        <v>271</v>
      </c>
      <c r="F18" s="225"/>
      <c r="G18" s="267"/>
      <c r="H18" s="267"/>
      <c r="I18" s="267"/>
      <c r="J18" s="267"/>
      <c r="K18" s="217" t="str">
        <f>MID($C18,COLUMNS($C$18:C$18),1)</f>
        <v/>
      </c>
      <c r="L18" s="217" t="str">
        <f>MID($C18,COLUMNS($C$18:D$18),1)</f>
        <v/>
      </c>
      <c r="M18" s="217" t="str">
        <f>MID($C18,COLUMNS($C$18:E$18),1)</f>
        <v/>
      </c>
      <c r="N18" s="217" t="str">
        <f>MID($C18,COLUMNS($C$18:F$18),1)</f>
        <v/>
      </c>
      <c r="O18" s="217" t="str">
        <f>MID($C18,COLUMNS($C$18:G$18),1)</f>
        <v/>
      </c>
      <c r="P18" s="217" t="str">
        <f>MID($C18,COLUMNS($C$18:H$18),1)</f>
        <v/>
      </c>
      <c r="Q18" s="217" t="str">
        <f>MID($C18,COLUMNS($C$18:I$18),1)</f>
        <v/>
      </c>
      <c r="R18" s="217" t="str">
        <f>MID($C18,COLUMNS($C$18:J$18),1)</f>
        <v/>
      </c>
      <c r="S18" s="217" t="str">
        <f>MID($C18,COLUMNS($C$18:K$18),1)</f>
        <v/>
      </c>
      <c r="T18" s="217" t="str">
        <f>MID($C18,COLUMNS($C$18:L$18),1)</f>
        <v/>
      </c>
      <c r="U18" s="217" t="str">
        <f>MID($C18,COLUMNS($C$18:M$18),1)</f>
        <v/>
      </c>
      <c r="V18" s="217" t="str">
        <f>MID($C18,COLUMNS($C$18:N$18),1)</f>
        <v/>
      </c>
      <c r="W18" s="217" t="str">
        <f>MID($C18,COLUMNS($C$18:O$18),1)</f>
        <v/>
      </c>
      <c r="X18" s="217" t="str">
        <f>MID($C18,COLUMNS($C$18:P$18),1)</f>
        <v/>
      </c>
      <c r="Y18" s="217" t="str">
        <f>MID($C18,COLUMNS($C$18:Q$18),1)</f>
        <v/>
      </c>
      <c r="Z18" s="217" t="str">
        <f>MID($C18,COLUMNS($C$18:R$18),1)</f>
        <v/>
      </c>
      <c r="AA18" s="217" t="str">
        <f>MID($C18,COLUMNS($C$18:S$18),1)</f>
        <v/>
      </c>
      <c r="AB18" s="217" t="str">
        <f>MID($C18,COLUMNS($C$18:T$18),1)</f>
        <v/>
      </c>
      <c r="AC18" s="217" t="str">
        <f>MID($C18,COLUMNS($C$18:U$18),1)</f>
        <v/>
      </c>
      <c r="AD18" s="217" t="str">
        <f>MID($C18,COLUMNS($C$18:V$18),1)</f>
        <v/>
      </c>
      <c r="AE18" s="217" t="str">
        <f>MID($C18,COLUMNS($C$18:W$18),1)</f>
        <v/>
      </c>
      <c r="AF18" s="217" t="str">
        <f>MID($C18,COLUMNS($C$18:X$18),1)</f>
        <v/>
      </c>
      <c r="AG18" s="217" t="str">
        <f>MID($C18,COLUMNS($C$18:Y$18),1)</f>
        <v/>
      </c>
      <c r="AH18" s="217" t="str">
        <f>MID($C18,COLUMNS($C$18:Z$18),1)</f>
        <v/>
      </c>
      <c r="AI18" s="217" t="str">
        <f>MID($C18,COLUMNS($C$18:AA$18),1)</f>
        <v/>
      </c>
      <c r="AJ18" s="217" t="str">
        <f>MID($C18,COLUMNS($C$18:AB$18),1)</f>
        <v/>
      </c>
      <c r="AK18" s="217" t="str">
        <f>MID($C18,COLUMNS($C$18:AC$18),1)</f>
        <v/>
      </c>
      <c r="AL18" s="217" t="str">
        <f>MID($C18,COLUMNS($C$18:AD$18),1)</f>
        <v/>
      </c>
      <c r="AM18" s="216"/>
      <c r="AN18" s="216"/>
      <c r="AO18" s="216"/>
      <c r="AP18" s="216"/>
      <c r="AQ18" s="216"/>
      <c r="AR18" s="216"/>
      <c r="AS18" s="216"/>
      <c r="AT18" s="216"/>
      <c r="AU18" s="216"/>
      <c r="AV18" s="216"/>
      <c r="AW18" s="216"/>
      <c r="AX18" s="216"/>
      <c r="AY18" s="216"/>
      <c r="AZ18" s="216"/>
      <c r="BA18" s="216"/>
      <c r="BB18" s="216"/>
      <c r="BC18" s="216"/>
      <c r="BD18" s="216"/>
      <c r="BE18" s="216"/>
      <c r="BF18" s="216"/>
      <c r="BG18" s="216"/>
      <c r="BH18" s="216"/>
      <c r="BI18" s="216"/>
      <c r="BJ18" s="216"/>
      <c r="BK18" s="216"/>
      <c r="BL18" s="216"/>
      <c r="BM18" s="216"/>
      <c r="BN18" s="216"/>
      <c r="BO18" s="216"/>
      <c r="BP18" s="216"/>
      <c r="BQ18" s="216"/>
      <c r="BR18" s="216"/>
      <c r="BS18" s="216"/>
      <c r="BT18" s="216"/>
      <c r="BU18" s="216"/>
      <c r="BV18" s="216"/>
      <c r="BW18" s="216"/>
      <c r="BX18" s="216"/>
      <c r="BY18" s="216"/>
      <c r="BZ18" s="216"/>
      <c r="CA18" s="216"/>
      <c r="CB18" s="216"/>
      <c r="CC18" s="216"/>
      <c r="CD18" s="216"/>
      <c r="CE18" s="216"/>
      <c r="CF18" s="216"/>
      <c r="CG18" s="216"/>
      <c r="CH18" s="216"/>
      <c r="CI18" s="216"/>
      <c r="CJ18" s="216"/>
      <c r="CK18" s="216"/>
      <c r="CL18" s="216"/>
      <c r="CM18" s="216"/>
      <c r="CN18" s="216"/>
      <c r="CO18" s="216"/>
      <c r="CP18" s="216"/>
      <c r="CQ18" s="216"/>
    </row>
    <row r="19" spans="1:95" ht="24" customHeight="1" x14ac:dyDescent="0.25">
      <c r="A19" s="201">
        <v>16</v>
      </c>
      <c r="B19" s="114" t="s">
        <v>53</v>
      </c>
      <c r="C19" s="379"/>
      <c r="D19" s="379"/>
      <c r="E19" s="214" t="s">
        <v>271</v>
      </c>
      <c r="F19" s="225"/>
      <c r="G19" s="267"/>
      <c r="H19" s="267"/>
      <c r="I19" s="267"/>
      <c r="J19" s="267"/>
      <c r="K19" s="217" t="str">
        <f>MID($C19,COLUMNS($C$19:C$19),1)</f>
        <v/>
      </c>
      <c r="L19" s="217" t="str">
        <f>MID($C19,COLUMNS($C$19:D$19),1)</f>
        <v/>
      </c>
      <c r="M19" s="217" t="str">
        <f>MID($C19,COLUMNS($C$19:E$19),1)</f>
        <v/>
      </c>
      <c r="N19" s="217" t="str">
        <f>MID($C19,COLUMNS($C$19:F$19),1)</f>
        <v/>
      </c>
      <c r="O19" s="217" t="str">
        <f>MID($C19,COLUMNS($C$19:G$19),1)</f>
        <v/>
      </c>
      <c r="P19" s="217" t="str">
        <f>MID($C19,COLUMNS($C$19:H$19),1)</f>
        <v/>
      </c>
      <c r="Q19" s="217" t="str">
        <f>MID($C19,COLUMNS($C$19:I$19),1)</f>
        <v/>
      </c>
      <c r="R19" s="217" t="str">
        <f>MID($C19,COLUMNS($C$19:J$19),1)</f>
        <v/>
      </c>
      <c r="S19" s="217" t="str">
        <f>MID($C19,COLUMNS($C$19:K$19),1)</f>
        <v/>
      </c>
      <c r="T19" s="217" t="str">
        <f>MID($C19,COLUMNS($C$19:L$19),1)</f>
        <v/>
      </c>
      <c r="U19" s="217" t="str">
        <f>MID($C19,COLUMNS($C$19:M$19),1)</f>
        <v/>
      </c>
      <c r="V19" s="217" t="str">
        <f>MID($C19,COLUMNS($C$19:N$19),1)</f>
        <v/>
      </c>
      <c r="W19" s="217" t="str">
        <f>MID($C19,COLUMNS($C$19:O$19),1)</f>
        <v/>
      </c>
      <c r="X19" s="217" t="str">
        <f>MID($C19,COLUMNS($C$19:P$19),1)</f>
        <v/>
      </c>
      <c r="Y19" s="217" t="str">
        <f>MID($C19,COLUMNS($C$19:Q$19),1)</f>
        <v/>
      </c>
      <c r="Z19" s="217" t="str">
        <f>MID($C19,COLUMNS($C$19:R$19),1)</f>
        <v/>
      </c>
      <c r="AA19" s="217" t="str">
        <f>MID($C19,COLUMNS($C$19:S$19),1)</f>
        <v/>
      </c>
      <c r="AB19" s="217" t="str">
        <f>MID($C19,COLUMNS($C$19:T$19),1)</f>
        <v/>
      </c>
      <c r="AC19" s="217" t="str">
        <f>MID($C19,COLUMNS($C$19:U$19),1)</f>
        <v/>
      </c>
      <c r="AD19" s="217" t="str">
        <f>MID($C19,COLUMNS($C$19:V$19),1)</f>
        <v/>
      </c>
      <c r="AE19" s="217" t="str">
        <f>MID($C19,COLUMNS($C$19:W$19),1)</f>
        <v/>
      </c>
      <c r="AF19" s="217" t="str">
        <f>MID($C19,COLUMNS($C$19:X$19),1)</f>
        <v/>
      </c>
      <c r="AG19" s="217" t="str">
        <f>MID($C19,COLUMNS($C$19:Y$19),1)</f>
        <v/>
      </c>
      <c r="AH19" s="217" t="str">
        <f>MID($C19,COLUMNS($C$19:Z$19),1)</f>
        <v/>
      </c>
      <c r="AI19" s="217" t="str">
        <f>MID($C19,COLUMNS($C$19:AA$19),1)</f>
        <v/>
      </c>
      <c r="AJ19" s="217" t="str">
        <f>MID($C19,COLUMNS($C$19:AB$19),1)</f>
        <v/>
      </c>
      <c r="AK19" s="217" t="str">
        <f>MID($C19,COLUMNS($C$19:AC$19),1)</f>
        <v/>
      </c>
      <c r="AL19" s="217" t="str">
        <f>MID($C19,COLUMNS($C$19:AD$19),1)</f>
        <v/>
      </c>
      <c r="AM19" s="217" t="str">
        <f>MID($C19,COLUMNS($C$19:AE$19),1)</f>
        <v/>
      </c>
      <c r="AN19" s="217" t="str">
        <f>MID($C19,COLUMNS($C$19:AF$19),1)</f>
        <v/>
      </c>
      <c r="AO19" s="217" t="str">
        <f>MID($C19,COLUMNS($C$19:AG$19),1)</f>
        <v/>
      </c>
      <c r="AP19" s="217" t="str">
        <f>MID($C19,COLUMNS($C$19:AH$19),1)</f>
        <v/>
      </c>
      <c r="AQ19" s="217" t="str">
        <f>MID($C19,COLUMNS($C$19:AI$19),1)</f>
        <v/>
      </c>
      <c r="AR19" s="216"/>
      <c r="AS19" s="216"/>
      <c r="AT19" s="216"/>
      <c r="AU19" s="216"/>
      <c r="AV19" s="216"/>
      <c r="AW19" s="216"/>
      <c r="AX19" s="216"/>
      <c r="AY19" s="216"/>
      <c r="AZ19" s="216"/>
      <c r="BA19" s="216"/>
      <c r="BB19" s="216"/>
      <c r="BC19" s="216"/>
      <c r="BD19" s="216"/>
      <c r="BE19" s="216"/>
      <c r="BF19" s="216"/>
      <c r="BG19" s="216"/>
      <c r="BH19" s="216"/>
      <c r="BI19" s="216"/>
      <c r="BJ19" s="216"/>
      <c r="BK19" s="216"/>
      <c r="BL19" s="216"/>
      <c r="BM19" s="216"/>
      <c r="BN19" s="216"/>
      <c r="BO19" s="216"/>
      <c r="BP19" s="216"/>
      <c r="BQ19" s="216"/>
      <c r="BR19" s="216"/>
      <c r="BS19" s="216"/>
      <c r="BT19" s="216"/>
      <c r="BU19" s="216"/>
      <c r="BV19" s="216"/>
      <c r="BW19" s="216"/>
      <c r="BX19" s="216"/>
      <c r="BY19" s="216"/>
      <c r="BZ19" s="216"/>
      <c r="CA19" s="216"/>
      <c r="CB19" s="216"/>
      <c r="CC19" s="216"/>
      <c r="CD19" s="216"/>
      <c r="CE19" s="216"/>
      <c r="CF19" s="216"/>
      <c r="CG19" s="216"/>
      <c r="CH19" s="216"/>
      <c r="CI19" s="216"/>
      <c r="CJ19" s="216"/>
      <c r="CK19" s="216"/>
      <c r="CL19" s="216"/>
      <c r="CM19" s="216"/>
      <c r="CN19" s="216"/>
      <c r="CO19" s="216"/>
      <c r="CP19" s="216"/>
      <c r="CQ19" s="216"/>
    </row>
    <row r="20" spans="1:95" ht="24" customHeight="1" x14ac:dyDescent="0.25">
      <c r="A20" s="201">
        <v>17</v>
      </c>
      <c r="B20" s="114" t="s">
        <v>54</v>
      </c>
      <c r="C20" s="379"/>
      <c r="D20" s="379"/>
      <c r="E20" s="214" t="s">
        <v>271</v>
      </c>
      <c r="F20" s="225"/>
      <c r="G20" s="267"/>
      <c r="H20" s="267"/>
      <c r="I20" s="267"/>
      <c r="J20" s="267"/>
      <c r="K20" s="217" t="str">
        <f>MID($C20,COLUMNS($C$20:C$20),1)</f>
        <v/>
      </c>
      <c r="L20" s="217" t="str">
        <f>MID($C20,COLUMNS($C$20:D$20),1)</f>
        <v/>
      </c>
      <c r="M20" s="217" t="str">
        <f>MID($C20,COLUMNS($C$20:E$20),1)</f>
        <v/>
      </c>
      <c r="N20" s="217" t="str">
        <f>MID($C20,COLUMNS($C$20:F$20),1)</f>
        <v/>
      </c>
      <c r="O20" s="217" t="str">
        <f>MID($C20,COLUMNS($C$20:G$20),1)</f>
        <v/>
      </c>
      <c r="P20" s="217" t="str">
        <f>MID($C20,COLUMNS($C$20:H$20),1)</f>
        <v/>
      </c>
      <c r="Q20" s="217" t="str">
        <f>MID($C20,COLUMNS($C$20:I$20),1)</f>
        <v/>
      </c>
      <c r="R20" s="217" t="str">
        <f>MID($C20,COLUMNS($C$20:J$20),1)</f>
        <v/>
      </c>
      <c r="S20" s="217" t="str">
        <f>MID($C20,COLUMNS($C$20:K$20),1)</f>
        <v/>
      </c>
      <c r="T20" s="217" t="str">
        <f>MID($C20,COLUMNS($C$20:L$20),1)</f>
        <v/>
      </c>
      <c r="U20" s="217" t="str">
        <f>MID($C20,COLUMNS($C$20:M$20),1)</f>
        <v/>
      </c>
      <c r="V20" s="217" t="str">
        <f>MID($C20,COLUMNS($C$20:N$20),1)</f>
        <v/>
      </c>
      <c r="W20" s="217" t="str">
        <f>MID($C20,COLUMNS($C$20:O$20),1)</f>
        <v/>
      </c>
      <c r="X20" s="217" t="str">
        <f>MID($C20,COLUMNS($C$20:P$20),1)</f>
        <v/>
      </c>
      <c r="Y20" s="217" t="str">
        <f>MID($C20,COLUMNS($C$20:Q$20),1)</f>
        <v/>
      </c>
      <c r="Z20" s="217" t="str">
        <f>MID($C20,COLUMNS($C$20:R$20),1)</f>
        <v/>
      </c>
      <c r="AA20" s="217" t="str">
        <f>MID($C20,COLUMNS($C$20:S$20),1)</f>
        <v/>
      </c>
      <c r="AB20" s="217" t="str">
        <f>MID($C20,COLUMNS($C$20:T$20),1)</f>
        <v/>
      </c>
      <c r="AC20" s="217" t="str">
        <f>MID($C20,COLUMNS($C$20:U$20),1)</f>
        <v/>
      </c>
      <c r="AD20" s="217" t="str">
        <f>MID($C20,COLUMNS($C$20:V$20),1)</f>
        <v/>
      </c>
      <c r="AE20" s="217" t="str">
        <f>MID($C20,COLUMNS($C$20:W$20),1)</f>
        <v/>
      </c>
      <c r="AF20" s="217" t="str">
        <f>MID($C20,COLUMNS($C$20:X$20),1)</f>
        <v/>
      </c>
      <c r="AG20" s="217" t="str">
        <f>MID($C20,COLUMNS($C$20:Y$20),1)</f>
        <v/>
      </c>
      <c r="AH20" s="217" t="str">
        <f>MID($C20,COLUMNS($C$20:Z$20),1)</f>
        <v/>
      </c>
      <c r="AI20" s="217" t="str">
        <f>MID($C20,COLUMNS($C$20:AA$20),1)</f>
        <v/>
      </c>
      <c r="AJ20" s="216" t="str">
        <f>MID($C20,COLUMNS($C$20:AE$20),1)</f>
        <v/>
      </c>
      <c r="AK20" s="216" t="str">
        <f>MID($C20,COLUMNS($C$20:AF$20),1)</f>
        <v/>
      </c>
      <c r="AL20" s="216" t="str">
        <f>MID($C20,COLUMNS($C$20:AG$20),1)</f>
        <v/>
      </c>
      <c r="AM20" s="216"/>
      <c r="AN20" s="216"/>
      <c r="AO20" s="216"/>
      <c r="AP20" s="216"/>
      <c r="AQ20" s="216"/>
      <c r="AR20" s="216"/>
      <c r="AS20" s="216"/>
      <c r="AT20" s="216"/>
      <c r="AU20" s="216"/>
      <c r="AV20" s="216"/>
      <c r="AW20" s="216"/>
      <c r="AX20" s="216"/>
      <c r="AY20" s="216"/>
      <c r="AZ20" s="216"/>
      <c r="BA20" s="216"/>
      <c r="BB20" s="216"/>
      <c r="BC20" s="216"/>
      <c r="BD20" s="216"/>
      <c r="BE20" s="216"/>
      <c r="BF20" s="216"/>
      <c r="BG20" s="216"/>
      <c r="BH20" s="216"/>
      <c r="BI20" s="216"/>
      <c r="BJ20" s="216"/>
      <c r="BK20" s="216"/>
      <c r="BL20" s="216"/>
      <c r="BM20" s="216"/>
      <c r="BN20" s="216"/>
      <c r="BO20" s="216"/>
      <c r="BP20" s="216"/>
      <c r="BQ20" s="216"/>
      <c r="BR20" s="216"/>
      <c r="BS20" s="216"/>
      <c r="BT20" s="216"/>
      <c r="BU20" s="216"/>
      <c r="BV20" s="216"/>
      <c r="BW20" s="216"/>
      <c r="BX20" s="216"/>
      <c r="BY20" s="216"/>
      <c r="BZ20" s="216"/>
      <c r="CA20" s="216"/>
      <c r="CB20" s="216"/>
      <c r="CC20" s="216"/>
      <c r="CD20" s="216"/>
      <c r="CE20" s="216"/>
      <c r="CF20" s="216"/>
      <c r="CG20" s="216"/>
      <c r="CH20" s="216"/>
      <c r="CI20" s="216"/>
      <c r="CJ20" s="216"/>
      <c r="CK20" s="216"/>
      <c r="CL20" s="216"/>
      <c r="CM20" s="216"/>
      <c r="CN20" s="216"/>
      <c r="CO20" s="216"/>
      <c r="CP20" s="216"/>
      <c r="CQ20" s="216"/>
    </row>
    <row r="21" spans="1:95" ht="24" customHeight="1" x14ac:dyDescent="0.25">
      <c r="A21" s="201">
        <v>18</v>
      </c>
      <c r="B21" s="114" t="s">
        <v>55</v>
      </c>
      <c r="C21" s="379"/>
      <c r="D21" s="379"/>
      <c r="E21" s="214" t="s">
        <v>272</v>
      </c>
      <c r="F21" s="225"/>
      <c r="G21" s="267"/>
      <c r="H21" s="267"/>
      <c r="I21" s="267"/>
      <c r="J21" s="267"/>
      <c r="K21" s="217" t="str">
        <f>MID($C21,COLUMNS($C$21:C$21),1)</f>
        <v/>
      </c>
      <c r="L21" s="217" t="str">
        <f>MID($C21,COLUMNS($C$21:D$21),1)</f>
        <v/>
      </c>
      <c r="M21" s="217" t="str">
        <f>MID($C21,COLUMNS($C$21:E$21),1)</f>
        <v/>
      </c>
      <c r="N21" s="217" t="str">
        <f>MID($C21,COLUMNS($C$21:F$21),1)</f>
        <v/>
      </c>
      <c r="O21" s="217" t="str">
        <f>MID($C21,COLUMNS($C$21:G$21),1)</f>
        <v/>
      </c>
      <c r="P21" s="217" t="str">
        <f>MID($C21,COLUMNS($C$21:H$21),1)</f>
        <v/>
      </c>
      <c r="Q21" s="217" t="str">
        <f>MID($C21,COLUMNS($C$21:I$21),1)</f>
        <v/>
      </c>
      <c r="R21" s="217" t="str">
        <f>MID($C21,COLUMNS($C$21:J$21),1)</f>
        <v/>
      </c>
      <c r="S21" s="217" t="str">
        <f>MID($C21,COLUMNS($C$21:K$21),1)</f>
        <v/>
      </c>
      <c r="T21" s="217" t="str">
        <f>MID($C21,COLUMNS($C$21:L$21),1)</f>
        <v/>
      </c>
      <c r="U21" s="217" t="str">
        <f>MID($C21,COLUMNS($C$21:M$21),1)</f>
        <v/>
      </c>
      <c r="V21" s="217" t="str">
        <f>MID($C21,COLUMNS($C$21:N$21),1)</f>
        <v/>
      </c>
      <c r="W21" s="217" t="str">
        <f>MID($C21,COLUMNS($C$21:O$21),1)</f>
        <v/>
      </c>
      <c r="X21" s="216" t="str">
        <f>MID($C21,COLUMNS($C$21:S$21),1)</f>
        <v/>
      </c>
      <c r="Y21" s="216" t="str">
        <f>MID($C21,COLUMNS($C$21:T$21),1)</f>
        <v/>
      </c>
      <c r="Z21" s="216" t="str">
        <f>MID($C21,COLUMNS($C$21:U$21),1)</f>
        <v/>
      </c>
      <c r="AA21" s="216" t="str">
        <f>MID($C21,COLUMNS($C$21:V$21),1)</f>
        <v/>
      </c>
      <c r="AB21" s="216" t="str">
        <f>MID($C21,COLUMNS($C$21:W$21),1)</f>
        <v/>
      </c>
      <c r="AC21" s="216" t="str">
        <f>MID($C21,COLUMNS($C$21:X$21),1)</f>
        <v/>
      </c>
      <c r="AD21" s="216" t="str">
        <f>MID($C21,COLUMNS($C$21:Y$21),1)</f>
        <v/>
      </c>
      <c r="AE21" s="216" t="str">
        <f>MID($C21,COLUMNS($C$21:Z$21),1)</f>
        <v/>
      </c>
      <c r="AF21" s="216"/>
      <c r="AG21" s="216"/>
      <c r="AH21" s="216"/>
      <c r="AI21" s="216"/>
      <c r="AJ21" s="216"/>
      <c r="AK21" s="216"/>
      <c r="AL21" s="216"/>
      <c r="AM21" s="216"/>
      <c r="AN21" s="216"/>
      <c r="AO21" s="216"/>
      <c r="AP21" s="216"/>
      <c r="AQ21" s="216"/>
      <c r="AR21" s="216"/>
      <c r="AS21" s="216"/>
      <c r="AT21" s="216"/>
      <c r="AU21" s="216"/>
      <c r="AV21" s="216"/>
      <c r="AW21" s="216"/>
      <c r="AX21" s="216"/>
      <c r="AY21" s="216"/>
      <c r="AZ21" s="216"/>
      <c r="BA21" s="216"/>
      <c r="BB21" s="216"/>
      <c r="BC21" s="216"/>
      <c r="BD21" s="216"/>
      <c r="BE21" s="216"/>
      <c r="BF21" s="216"/>
      <c r="BG21" s="216"/>
      <c r="BH21" s="216"/>
      <c r="BI21" s="216"/>
      <c r="BJ21" s="216"/>
      <c r="BK21" s="216"/>
      <c r="BL21" s="216"/>
      <c r="BM21" s="216"/>
      <c r="BN21" s="216"/>
      <c r="BO21" s="216"/>
      <c r="BP21" s="216"/>
      <c r="BQ21" s="216"/>
      <c r="BR21" s="216"/>
      <c r="BS21" s="216"/>
      <c r="BT21" s="216"/>
      <c r="BU21" s="216"/>
      <c r="BV21" s="216"/>
      <c r="BW21" s="216"/>
      <c r="BX21" s="216"/>
      <c r="BY21" s="216"/>
      <c r="BZ21" s="216"/>
      <c r="CA21" s="216"/>
      <c r="CB21" s="216"/>
      <c r="CC21" s="216"/>
      <c r="CD21" s="216"/>
      <c r="CE21" s="216"/>
      <c r="CF21" s="216"/>
      <c r="CG21" s="216"/>
      <c r="CH21" s="216"/>
      <c r="CI21" s="216"/>
      <c r="CJ21" s="216"/>
      <c r="CK21" s="216"/>
      <c r="CL21" s="216"/>
      <c r="CM21" s="216"/>
      <c r="CN21" s="216"/>
      <c r="CO21" s="216"/>
      <c r="CP21" s="216"/>
      <c r="CQ21" s="216"/>
    </row>
    <row r="22" spans="1:95" ht="24" customHeight="1" x14ac:dyDescent="0.25">
      <c r="A22" s="201">
        <v>19</v>
      </c>
      <c r="B22" s="113" t="s">
        <v>56</v>
      </c>
      <c r="C22" s="379"/>
      <c r="D22" s="379"/>
      <c r="E22" s="214" t="s">
        <v>273</v>
      </c>
      <c r="F22" s="226"/>
      <c r="G22" s="266"/>
      <c r="H22" s="266"/>
      <c r="I22" s="266"/>
      <c r="J22" s="266"/>
      <c r="K22" s="217" t="str">
        <f>MID($C22,COLUMNS($C$22:C$22),1)</f>
        <v/>
      </c>
      <c r="L22" s="217" t="str">
        <f>MID($C22,COLUMNS($C$22:D$22),1)</f>
        <v/>
      </c>
      <c r="M22" s="217" t="str">
        <f>MID($C22,COLUMNS($C$22:E$22),1)</f>
        <v/>
      </c>
      <c r="N22" s="217" t="str">
        <f>MID($C22,COLUMNS($C$22:F$22),1)</f>
        <v/>
      </c>
      <c r="O22" s="217" t="str">
        <f>MID($C22,COLUMNS($C$22:G$22),1)</f>
        <v/>
      </c>
      <c r="P22" s="217" t="str">
        <f>MID($C22,COLUMNS($C$22:H$22),1)</f>
        <v/>
      </c>
      <c r="Q22" s="217" t="str">
        <f>MID($C22,COLUMNS($C$22:I$22),1)</f>
        <v/>
      </c>
      <c r="R22" s="217" t="str">
        <f>MID($C22,COLUMNS($C$22:J$22),1)</f>
        <v/>
      </c>
      <c r="S22" s="217" t="str">
        <f>MID($C22,COLUMNS($C$22:K$22),1)</f>
        <v/>
      </c>
      <c r="T22" s="217" t="str">
        <f>MID($C22,COLUMNS($C$22:L$22),1)</f>
        <v/>
      </c>
      <c r="U22" s="217" t="str">
        <f>MID($C22,COLUMNS($C$22:M$22),1)</f>
        <v/>
      </c>
      <c r="V22" s="217" t="str">
        <f>MID($C22,COLUMNS($C$22:N$22),1)</f>
        <v/>
      </c>
      <c r="W22" s="217" t="str">
        <f>MID($C22,COLUMNS($C$22:O$22),1)</f>
        <v/>
      </c>
      <c r="X22" s="266"/>
      <c r="Y22" s="266"/>
      <c r="Z22" s="266"/>
      <c r="AA22" s="266"/>
      <c r="AB22" s="266"/>
      <c r="AC22" s="266"/>
      <c r="AD22" s="266"/>
      <c r="AE22" s="266"/>
      <c r="AF22" s="266"/>
      <c r="AG22" s="216"/>
      <c r="AH22" s="216"/>
      <c r="AI22" s="216"/>
      <c r="AJ22" s="216"/>
      <c r="AK22" s="216"/>
      <c r="AL22" s="216"/>
      <c r="AM22" s="216"/>
      <c r="AN22" s="216"/>
      <c r="AO22" s="216"/>
      <c r="AP22" s="216"/>
      <c r="AQ22" s="216"/>
      <c r="AR22" s="216"/>
      <c r="AS22" s="216"/>
      <c r="AT22" s="216"/>
      <c r="AU22" s="216"/>
      <c r="AV22" s="216"/>
      <c r="AW22" s="216"/>
      <c r="AX22" s="216"/>
      <c r="AY22" s="216"/>
      <c r="AZ22" s="216"/>
      <c r="BA22" s="216"/>
      <c r="BB22" s="216"/>
      <c r="BC22" s="216"/>
      <c r="BD22" s="216"/>
      <c r="BE22" s="216"/>
      <c r="BF22" s="216"/>
      <c r="BG22" s="216"/>
      <c r="BH22" s="216"/>
      <c r="BI22" s="216"/>
      <c r="BJ22" s="216"/>
      <c r="BK22" s="216"/>
      <c r="BL22" s="216"/>
      <c r="BM22" s="216"/>
      <c r="BN22" s="216"/>
      <c r="BO22" s="216"/>
      <c r="BP22" s="216"/>
      <c r="BQ22" s="216"/>
      <c r="BR22" s="216"/>
      <c r="BS22" s="216"/>
      <c r="BT22" s="216"/>
      <c r="BU22" s="216"/>
      <c r="BV22" s="216"/>
      <c r="BW22" s="216"/>
      <c r="BX22" s="216"/>
      <c r="BY22" s="216"/>
      <c r="BZ22" s="216"/>
      <c r="CA22" s="216"/>
      <c r="CB22" s="216"/>
      <c r="CC22" s="216"/>
      <c r="CD22" s="216"/>
      <c r="CE22" s="216"/>
      <c r="CF22" s="216"/>
      <c r="CG22" s="216"/>
      <c r="CH22" s="216"/>
      <c r="CI22" s="216"/>
      <c r="CJ22" s="216"/>
      <c r="CK22" s="216"/>
      <c r="CL22" s="216"/>
      <c r="CM22" s="216"/>
      <c r="CN22" s="216"/>
      <c r="CO22" s="216"/>
      <c r="CP22" s="216"/>
      <c r="CQ22" s="216"/>
    </row>
    <row r="23" spans="1:95" ht="24" customHeight="1" x14ac:dyDescent="0.25">
      <c r="A23" s="201"/>
      <c r="B23" s="393" t="s">
        <v>57</v>
      </c>
      <c r="C23" s="394"/>
      <c r="D23" s="395"/>
      <c r="E23" s="113"/>
      <c r="F23" s="216"/>
      <c r="G23" s="216"/>
      <c r="H23" s="216"/>
      <c r="I23" s="216"/>
      <c r="J23" s="216"/>
      <c r="K23" s="217"/>
      <c r="L23" s="216"/>
      <c r="M23" s="216"/>
      <c r="N23" s="216"/>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6"/>
      <c r="AX23" s="216"/>
      <c r="AY23" s="216"/>
      <c r="AZ23" s="216"/>
      <c r="BA23" s="216"/>
      <c r="BB23" s="216"/>
      <c r="BC23" s="216"/>
      <c r="BD23" s="216"/>
      <c r="BE23" s="216"/>
      <c r="BF23" s="216"/>
      <c r="BG23" s="216"/>
      <c r="BH23" s="216"/>
      <c r="BI23" s="216"/>
      <c r="BJ23" s="216"/>
      <c r="BK23" s="216"/>
      <c r="BL23" s="216"/>
      <c r="BM23" s="216"/>
      <c r="BN23" s="216"/>
      <c r="BO23" s="216"/>
      <c r="BP23" s="216"/>
      <c r="BQ23" s="216"/>
      <c r="BR23" s="216"/>
      <c r="BS23" s="216"/>
      <c r="BT23" s="216"/>
      <c r="BU23" s="216"/>
      <c r="BV23" s="216"/>
      <c r="BW23" s="216"/>
      <c r="BX23" s="216"/>
      <c r="BY23" s="216"/>
      <c r="BZ23" s="216"/>
      <c r="CA23" s="216"/>
      <c r="CB23" s="216"/>
      <c r="CC23" s="216"/>
      <c r="CD23" s="216"/>
      <c r="CE23" s="216"/>
      <c r="CF23" s="216"/>
      <c r="CG23" s="216"/>
      <c r="CH23" s="216"/>
      <c r="CI23" s="216"/>
      <c r="CJ23" s="216"/>
      <c r="CK23" s="216"/>
      <c r="CL23" s="216"/>
      <c r="CM23" s="216"/>
      <c r="CN23" s="216"/>
      <c r="CO23" s="216"/>
      <c r="CP23" s="216"/>
      <c r="CQ23" s="216"/>
    </row>
    <row r="24" spans="1:95" ht="24" customHeight="1" x14ac:dyDescent="0.25">
      <c r="A24" s="201">
        <v>20</v>
      </c>
      <c r="B24" s="114" t="s">
        <v>51</v>
      </c>
      <c r="C24" s="379"/>
      <c r="D24" s="379"/>
      <c r="E24" s="214" t="s">
        <v>271</v>
      </c>
      <c r="F24" s="216"/>
      <c r="G24" s="216"/>
      <c r="H24" s="216"/>
      <c r="I24" s="216" t="str">
        <f>TRIM(C24&amp;",   "&amp;C25&amp;",   "&amp;C26&amp;",    "&amp;C27&amp;",    "&amp;C28&amp;" - "&amp;C29)</f>
        <v>, , , , -</v>
      </c>
      <c r="J24" s="216"/>
      <c r="K24" s="217" t="str">
        <f>MID($C24,COLUMNS($C$24:C$24),1)</f>
        <v/>
      </c>
      <c r="L24" s="217" t="str">
        <f>MID($C24,COLUMNS($C$24:D$24),1)</f>
        <v/>
      </c>
      <c r="M24" s="217" t="str">
        <f>MID($C24,COLUMNS($C$24:E$24),1)</f>
        <v/>
      </c>
      <c r="N24" s="217" t="str">
        <f>MID($C24,COLUMNS($C$24:F$24),1)</f>
        <v/>
      </c>
      <c r="O24" s="217" t="str">
        <f>MID($C24,COLUMNS($C$24:G$24),1)</f>
        <v/>
      </c>
      <c r="P24" s="217" t="str">
        <f>MID($C24,COLUMNS($C$24:H$24),1)</f>
        <v/>
      </c>
      <c r="Q24" s="217" t="str">
        <f>MID($C24,COLUMNS($C$24:I$24),1)</f>
        <v/>
      </c>
      <c r="R24" s="217" t="str">
        <f>MID($C24,COLUMNS($C$24:J$24),1)</f>
        <v/>
      </c>
      <c r="S24" s="217" t="str">
        <f>MID($C24,COLUMNS($C$24:K$24),1)</f>
        <v/>
      </c>
      <c r="T24" s="217" t="str">
        <f>MID($C24,COLUMNS($C$24:L$24),1)</f>
        <v/>
      </c>
      <c r="U24" s="217" t="str">
        <f>MID($C24,COLUMNS($C$24:M$24),1)</f>
        <v/>
      </c>
      <c r="V24" s="217" t="str">
        <f>MID($C24,COLUMNS($C$24:N$24),1)</f>
        <v/>
      </c>
      <c r="W24" s="217" t="str">
        <f>MID($C24,COLUMNS($C$24:O$24),1)</f>
        <v/>
      </c>
      <c r="X24" s="217" t="str">
        <f>MID($C24,COLUMNS($C$24:P$24),1)</f>
        <v/>
      </c>
      <c r="Y24" s="217" t="str">
        <f>MID($C24,COLUMNS($C$24:Q$24),1)</f>
        <v/>
      </c>
      <c r="Z24" s="217" t="str">
        <f>MID($C24,COLUMNS($C$24:R$24),1)</f>
        <v/>
      </c>
      <c r="AA24" s="217" t="str">
        <f>MID($C24,COLUMNS($C$24:S$24),1)</f>
        <v/>
      </c>
      <c r="AB24" s="217" t="str">
        <f>MID($C24,COLUMNS($C$24:T$24),1)</f>
        <v/>
      </c>
      <c r="AC24" s="217" t="str">
        <f>MID($C24,COLUMNS($C$24:U$24),1)</f>
        <v/>
      </c>
      <c r="AD24" s="217" t="str">
        <f>MID($C24,COLUMNS($C$24:V$24),1)</f>
        <v/>
      </c>
      <c r="AE24" s="217" t="str">
        <f>MID($C24,COLUMNS($C$24:W$24),1)</f>
        <v/>
      </c>
      <c r="AF24" s="217" t="str">
        <f>MID($C24,COLUMNS($C$24:X$24),1)</f>
        <v/>
      </c>
      <c r="AG24" s="217" t="str">
        <f>MID($C24,COLUMNS($C$24:Y$24),1)</f>
        <v/>
      </c>
      <c r="AH24" s="217" t="str">
        <f>MID($C24,COLUMNS($C$24:Z$24),1)</f>
        <v/>
      </c>
      <c r="AI24" s="216" t="str">
        <f>MID($C24,COLUMNS($C$24:AD$24),1)</f>
        <v/>
      </c>
      <c r="AJ24" s="216" t="str">
        <f>MID($C24,COLUMNS($C$24:AE$24),1)</f>
        <v/>
      </c>
      <c r="AK24" s="216" t="str">
        <f>MID($C24,COLUMNS($C$24:AF$24),1)</f>
        <v/>
      </c>
      <c r="AL24" s="216" t="str">
        <f>MID($C24,COLUMNS($C$24:AG$24),1)</f>
        <v/>
      </c>
      <c r="AM24" s="216"/>
      <c r="AN24" s="216"/>
      <c r="AO24" s="216"/>
      <c r="AP24" s="216"/>
      <c r="AQ24" s="216"/>
      <c r="AR24" s="216"/>
      <c r="AS24" s="216"/>
      <c r="AT24" s="216"/>
      <c r="AU24" s="216"/>
      <c r="AV24" s="216"/>
      <c r="AW24" s="216"/>
      <c r="AX24" s="216"/>
      <c r="AY24" s="216"/>
      <c r="AZ24" s="216"/>
      <c r="BA24" s="216"/>
      <c r="BB24" s="216"/>
      <c r="BC24" s="216"/>
      <c r="BD24" s="216"/>
      <c r="BE24" s="216"/>
      <c r="BF24" s="216"/>
      <c r="BG24" s="216"/>
      <c r="BH24" s="216"/>
      <c r="BI24" s="216"/>
      <c r="BJ24" s="216"/>
      <c r="BK24" s="216"/>
      <c r="BL24" s="216"/>
      <c r="BM24" s="216"/>
      <c r="BN24" s="216"/>
      <c r="BO24" s="216"/>
      <c r="BP24" s="216"/>
      <c r="BQ24" s="216"/>
      <c r="BR24" s="216"/>
      <c r="BS24" s="216"/>
      <c r="BT24" s="216"/>
      <c r="BU24" s="216"/>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row>
    <row r="25" spans="1:95" ht="24" customHeight="1" x14ac:dyDescent="0.25">
      <c r="A25" s="201">
        <v>21</v>
      </c>
      <c r="B25" s="114" t="s">
        <v>52</v>
      </c>
      <c r="C25" s="379"/>
      <c r="D25" s="379"/>
      <c r="E25" s="214" t="s">
        <v>271</v>
      </c>
      <c r="F25" s="216"/>
      <c r="G25" s="216"/>
      <c r="H25" s="216"/>
      <c r="I25" s="216"/>
      <c r="J25" s="216"/>
      <c r="K25" s="217" t="str">
        <f>MID($C25,COLUMNS($C$25:C$25),1)</f>
        <v/>
      </c>
      <c r="L25" s="217" t="str">
        <f>MID($C25,COLUMNS($C$25:D$25),1)</f>
        <v/>
      </c>
      <c r="M25" s="217" t="str">
        <f>MID($C25,COLUMNS($C$25:E$25),1)</f>
        <v/>
      </c>
      <c r="N25" s="217" t="str">
        <f>MID($C25,COLUMNS($C$25:F$25),1)</f>
        <v/>
      </c>
      <c r="O25" s="217" t="str">
        <f>MID($C25,COLUMNS($C$25:G$25),1)</f>
        <v/>
      </c>
      <c r="P25" s="217" t="str">
        <f>MID($C25,COLUMNS($C$25:H$25),1)</f>
        <v/>
      </c>
      <c r="Q25" s="217" t="str">
        <f>MID($C25,COLUMNS($C$25:I$25),1)</f>
        <v/>
      </c>
      <c r="R25" s="217" t="str">
        <f>MID($C25,COLUMNS($C$25:J$25),1)</f>
        <v/>
      </c>
      <c r="S25" s="217" t="str">
        <f>MID($C25,COLUMNS($C$25:K$25),1)</f>
        <v/>
      </c>
      <c r="T25" s="217" t="str">
        <f>MID($C25,COLUMNS($C$25:L$25),1)</f>
        <v/>
      </c>
      <c r="U25" s="217" t="str">
        <f>MID($C25,COLUMNS($C$25:M$25),1)</f>
        <v/>
      </c>
      <c r="V25" s="217" t="str">
        <f>MID($C25,COLUMNS($C$25:N$25),1)</f>
        <v/>
      </c>
      <c r="W25" s="217" t="str">
        <f>MID($C25,COLUMNS($C$25:O$25),1)</f>
        <v/>
      </c>
      <c r="X25" s="217" t="str">
        <f>MID($C25,COLUMNS($C$25:P$25),1)</f>
        <v/>
      </c>
      <c r="Y25" s="217" t="str">
        <f>MID($C25,COLUMNS($C$25:Q$25),1)</f>
        <v/>
      </c>
      <c r="Z25" s="217" t="str">
        <f>MID($C25,COLUMNS($C$25:R$25),1)</f>
        <v/>
      </c>
      <c r="AA25" s="217" t="str">
        <f>MID($C25,COLUMNS($C$25:S$25),1)</f>
        <v/>
      </c>
      <c r="AB25" s="217" t="str">
        <f>MID($C25,COLUMNS($C$25:T$25),1)</f>
        <v/>
      </c>
      <c r="AC25" s="217" t="str">
        <f>MID($C25,COLUMNS($C$25:U$25),1)</f>
        <v/>
      </c>
      <c r="AD25" s="217" t="str">
        <f>MID($C25,COLUMNS($C$25:V$25),1)</f>
        <v/>
      </c>
      <c r="AE25" s="217" t="str">
        <f>MID($C25,COLUMNS($C$25:W$25),1)</f>
        <v/>
      </c>
      <c r="AF25" s="217" t="str">
        <f>MID($C25,COLUMNS($C$25:X$25),1)</f>
        <v/>
      </c>
      <c r="AG25" s="217" t="str">
        <f>MID($C25,COLUMNS($C$25:Y$25),1)</f>
        <v/>
      </c>
      <c r="AH25" s="217" t="str">
        <f>MID($C25,COLUMNS($C$25:Z$25),1)</f>
        <v/>
      </c>
      <c r="AI25" s="217" t="str">
        <f>MID($C25,COLUMNS($C$25:AA$25),1)</f>
        <v/>
      </c>
      <c r="AJ25" s="217" t="str">
        <f>MID($C25,COLUMNS($C$25:AB$25),1)</f>
        <v/>
      </c>
      <c r="AK25" s="217" t="str">
        <f>MID($C25,COLUMNS($C$25:AC$25),1)</f>
        <v/>
      </c>
      <c r="AL25" s="217" t="str">
        <f>MID($C25,COLUMNS($C$25:AD$25),1)</f>
        <v/>
      </c>
      <c r="AM25" s="216"/>
      <c r="AN25" s="216"/>
      <c r="AO25" s="216"/>
      <c r="AP25" s="216"/>
      <c r="AQ25" s="216"/>
      <c r="AR25" s="216"/>
      <c r="AS25" s="216"/>
      <c r="AT25" s="216"/>
      <c r="AU25" s="216"/>
      <c r="AV25" s="216"/>
      <c r="AW25" s="216"/>
      <c r="AX25" s="216"/>
      <c r="AY25" s="216"/>
      <c r="AZ25" s="216"/>
      <c r="BA25" s="216"/>
      <c r="BB25" s="216"/>
      <c r="BC25" s="216"/>
      <c r="BD25" s="216"/>
      <c r="BE25" s="216"/>
      <c r="BF25" s="216"/>
      <c r="BG25" s="216"/>
      <c r="BH25" s="216"/>
      <c r="BI25" s="216"/>
      <c r="BJ25" s="216"/>
      <c r="BK25" s="216"/>
      <c r="BL25" s="216"/>
      <c r="BM25" s="216"/>
      <c r="BN25" s="216"/>
      <c r="BO25" s="216"/>
      <c r="BP25" s="216"/>
      <c r="BQ25" s="216"/>
      <c r="BR25" s="216"/>
      <c r="BS25" s="216"/>
      <c r="BT25" s="216"/>
      <c r="BU25" s="216"/>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row>
    <row r="26" spans="1:95" ht="24" customHeight="1" x14ac:dyDescent="0.25">
      <c r="A26" s="201">
        <v>22</v>
      </c>
      <c r="B26" s="114" t="s">
        <v>53</v>
      </c>
      <c r="C26" s="379"/>
      <c r="D26" s="379"/>
      <c r="E26" s="214" t="s">
        <v>271</v>
      </c>
      <c r="F26" s="216"/>
      <c r="G26" s="216"/>
      <c r="H26" s="216"/>
      <c r="I26" s="216"/>
      <c r="J26" s="216"/>
      <c r="K26" s="217" t="str">
        <f>MID($C26,COLUMNS($C$26:C$26),1)</f>
        <v/>
      </c>
      <c r="L26" s="217" t="str">
        <f>MID($C26,COLUMNS($C$26:D$26),1)</f>
        <v/>
      </c>
      <c r="M26" s="217" t="str">
        <f>MID($C26,COLUMNS($C$26:E$26),1)</f>
        <v/>
      </c>
      <c r="N26" s="217" t="str">
        <f>MID($C26,COLUMNS($C$26:F$26),1)</f>
        <v/>
      </c>
      <c r="O26" s="217" t="str">
        <f>MID($C26,COLUMNS($C$26:G$26),1)</f>
        <v/>
      </c>
      <c r="P26" s="217" t="str">
        <f>MID($C26,COLUMNS($C$26:H$26),1)</f>
        <v/>
      </c>
      <c r="Q26" s="217" t="str">
        <f>MID($C26,COLUMNS($C$26:I$26),1)</f>
        <v/>
      </c>
      <c r="R26" s="217" t="str">
        <f>MID($C26,COLUMNS($C$26:J$26),1)</f>
        <v/>
      </c>
      <c r="S26" s="217" t="str">
        <f>MID($C26,COLUMNS($C$26:K$26),1)</f>
        <v/>
      </c>
      <c r="T26" s="217" t="str">
        <f>MID($C26,COLUMNS($C$26:L$26),1)</f>
        <v/>
      </c>
      <c r="U26" s="217" t="str">
        <f>MID($C26,COLUMNS($C$26:M$26),1)</f>
        <v/>
      </c>
      <c r="V26" s="217" t="str">
        <f>MID($C26,COLUMNS($C$26:N$26),1)</f>
        <v/>
      </c>
      <c r="W26" s="217" t="str">
        <f>MID($C26,COLUMNS($C$26:O$26),1)</f>
        <v/>
      </c>
      <c r="X26" s="217" t="str">
        <f>MID($C26,COLUMNS($C$26:P$26),1)</f>
        <v/>
      </c>
      <c r="Y26" s="217" t="str">
        <f>MID($C26,COLUMNS($C$26:Q$26),1)</f>
        <v/>
      </c>
      <c r="Z26" s="217" t="str">
        <f>MID($C26,COLUMNS($C$26:R$26),1)</f>
        <v/>
      </c>
      <c r="AA26" s="217" t="str">
        <f>MID($C26,COLUMNS($C$26:S$26),1)</f>
        <v/>
      </c>
      <c r="AB26" s="217" t="str">
        <f>MID($C26,COLUMNS($C$26:T$26),1)</f>
        <v/>
      </c>
      <c r="AC26" s="217" t="str">
        <f>MID($C26,COLUMNS($C$26:U$26),1)</f>
        <v/>
      </c>
      <c r="AD26" s="217" t="str">
        <f>MID($C26,COLUMNS($C$26:V$26),1)</f>
        <v/>
      </c>
      <c r="AE26" s="217" t="str">
        <f>MID($C26,COLUMNS($C$26:W$26),1)</f>
        <v/>
      </c>
      <c r="AF26" s="217" t="str">
        <f>MID($C26,COLUMNS($C$26:X$26),1)</f>
        <v/>
      </c>
      <c r="AG26" s="217" t="str">
        <f>MID($C26,COLUMNS($C$26:Y$26),1)</f>
        <v/>
      </c>
      <c r="AH26" s="217" t="str">
        <f>MID($C26,COLUMNS($C$26:Z$26),1)</f>
        <v/>
      </c>
      <c r="AI26" s="217" t="str">
        <f>MID($C26,COLUMNS($C$26:AA$26),1)</f>
        <v/>
      </c>
      <c r="AJ26" s="217" t="str">
        <f>MID($C26,COLUMNS($C$26:AB$26),1)</f>
        <v/>
      </c>
      <c r="AK26" s="217" t="str">
        <f>MID($C26,COLUMNS($C$26:AC$26),1)</f>
        <v/>
      </c>
      <c r="AL26" s="217" t="str">
        <f>MID($C26,COLUMNS($C$26:AD$26),1)</f>
        <v/>
      </c>
      <c r="AM26" s="217" t="str">
        <f>MID($C26,COLUMNS($C$26:AE$26),1)</f>
        <v/>
      </c>
      <c r="AN26" s="217" t="str">
        <f>MID($C26,COLUMNS($C$26:AF$26),1)</f>
        <v/>
      </c>
      <c r="AO26" s="217" t="str">
        <f>MID($C26,COLUMNS($C$26:AG$26),1)</f>
        <v/>
      </c>
      <c r="AP26" s="217" t="str">
        <f>MID($C26,COLUMNS($C$26:AH$26),1)</f>
        <v/>
      </c>
      <c r="AQ26" s="216"/>
      <c r="AR26" s="216"/>
      <c r="AS26" s="216"/>
      <c r="AT26" s="216"/>
      <c r="AU26" s="216"/>
      <c r="AV26" s="216"/>
      <c r="AW26" s="216"/>
      <c r="AX26" s="216"/>
      <c r="AY26" s="216"/>
      <c r="AZ26" s="216"/>
      <c r="BA26" s="216"/>
      <c r="BB26" s="216"/>
      <c r="BC26" s="216"/>
      <c r="BD26" s="216"/>
      <c r="BE26" s="216"/>
      <c r="BF26" s="216"/>
      <c r="BG26" s="216"/>
      <c r="BH26" s="216"/>
      <c r="BI26" s="216"/>
      <c r="BJ26" s="216"/>
      <c r="BK26" s="216"/>
      <c r="BL26" s="216"/>
      <c r="BM26" s="216"/>
      <c r="BN26" s="216"/>
      <c r="BO26" s="216"/>
      <c r="BP26" s="216"/>
      <c r="BQ26" s="216"/>
      <c r="BR26" s="216"/>
      <c r="BS26" s="216"/>
      <c r="BT26" s="216"/>
      <c r="BU26" s="216"/>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row>
    <row r="27" spans="1:95" ht="24" customHeight="1" x14ac:dyDescent="0.25">
      <c r="A27" s="201">
        <v>23</v>
      </c>
      <c r="B27" s="114" t="s">
        <v>54</v>
      </c>
      <c r="C27" s="379"/>
      <c r="D27" s="379"/>
      <c r="E27" s="214" t="s">
        <v>271</v>
      </c>
      <c r="F27" s="216"/>
      <c r="G27" s="216"/>
      <c r="H27" s="216"/>
      <c r="I27" s="216"/>
      <c r="J27" s="216"/>
      <c r="K27" s="217" t="str">
        <f>MID($C27,COLUMNS($C$27:C$27),1)</f>
        <v/>
      </c>
      <c r="L27" s="217" t="str">
        <f>MID($C27,COLUMNS($C$27:D$27),1)</f>
        <v/>
      </c>
      <c r="M27" s="217" t="str">
        <f>MID($C27,COLUMNS($C$27:E$27),1)</f>
        <v/>
      </c>
      <c r="N27" s="217" t="str">
        <f>MID($C27,COLUMNS($C$27:F$27),1)</f>
        <v/>
      </c>
      <c r="O27" s="217" t="str">
        <f>MID($C27,COLUMNS($C$27:G$27),1)</f>
        <v/>
      </c>
      <c r="P27" s="217" t="str">
        <f>MID($C27,COLUMNS($C$27:H$27),1)</f>
        <v/>
      </c>
      <c r="Q27" s="217" t="str">
        <f>MID($C27,COLUMNS($C$27:I$27),1)</f>
        <v/>
      </c>
      <c r="R27" s="217" t="str">
        <f>MID($C27,COLUMNS($C$27:J$27),1)</f>
        <v/>
      </c>
      <c r="S27" s="217" t="str">
        <f>MID($C27,COLUMNS($C$27:K$27),1)</f>
        <v/>
      </c>
      <c r="T27" s="217" t="str">
        <f>MID($C27,COLUMNS($C$27:L$27),1)</f>
        <v/>
      </c>
      <c r="U27" s="217" t="str">
        <f>MID($C27,COLUMNS($C$27:M$27),1)</f>
        <v/>
      </c>
      <c r="V27" s="217" t="str">
        <f>MID($C27,COLUMNS($C$27:N$27),1)</f>
        <v/>
      </c>
      <c r="W27" s="217" t="str">
        <f>MID($C27,COLUMNS($C$27:O$27),1)</f>
        <v/>
      </c>
      <c r="X27" s="217" t="str">
        <f>MID($C27,COLUMNS($C$27:P$27),1)</f>
        <v/>
      </c>
      <c r="Y27" s="217" t="str">
        <f>MID($C27,COLUMNS($C$27:Q$27),1)</f>
        <v/>
      </c>
      <c r="Z27" s="217" t="str">
        <f>MID($C27,COLUMNS($C$27:R$27),1)</f>
        <v/>
      </c>
      <c r="AA27" s="217" t="str">
        <f>MID($C27,COLUMNS($C$27:S$27),1)</f>
        <v/>
      </c>
      <c r="AB27" s="217" t="str">
        <f>MID($C27,COLUMNS($C$27:T$27),1)</f>
        <v/>
      </c>
      <c r="AC27" s="217" t="str">
        <f>MID($C27,COLUMNS($C$27:U$27),1)</f>
        <v/>
      </c>
      <c r="AD27" s="217" t="str">
        <f>MID($C27,COLUMNS($C$27:V$27),1)</f>
        <v/>
      </c>
      <c r="AE27" s="217" t="str">
        <f>MID($C27,COLUMNS($C$27:W$27),1)</f>
        <v/>
      </c>
      <c r="AF27" s="217" t="str">
        <f>MID($C27,COLUMNS($C$27:X$27),1)</f>
        <v/>
      </c>
      <c r="AG27" s="217" t="str">
        <f>MID($C27,COLUMNS($C$27:Y$27),1)</f>
        <v/>
      </c>
      <c r="AH27" s="217" t="str">
        <f>MID($C27,COLUMNS($C$27:Z$27),1)</f>
        <v/>
      </c>
      <c r="AI27" s="217" t="str">
        <f>MID($C27,COLUMNS($C$27:AA$27),1)</f>
        <v/>
      </c>
      <c r="AJ27" s="217" t="str">
        <f>MID($C27,COLUMNS($C$27:AB$27),1)</f>
        <v/>
      </c>
      <c r="AK27" s="217" t="str">
        <f>MID($C27,COLUMNS($C$27:AC$27),1)</f>
        <v/>
      </c>
      <c r="AL27" s="217" t="str">
        <f>MID($C27,COLUMNS($C$27:AD$27),1)</f>
        <v/>
      </c>
      <c r="AM27" s="217" t="str">
        <f>MID($C27,COLUMNS($C$27:AE$27),1)</f>
        <v/>
      </c>
      <c r="AN27" s="217" t="str">
        <f>MID($C27,COLUMNS($C$27:AF$27),1)</f>
        <v/>
      </c>
      <c r="AO27" s="217" t="str">
        <f>MID($C27,COLUMNS($C$27:AG$27),1)</f>
        <v/>
      </c>
      <c r="AP27" s="217" t="str">
        <f>MID($C27,COLUMNS($C$27:AH$27),1)</f>
        <v/>
      </c>
      <c r="AQ27" s="217" t="str">
        <f>MID($C27,COLUMNS($C$27:AI$27),1)</f>
        <v/>
      </c>
      <c r="AR27" s="216"/>
      <c r="AS27" s="216"/>
      <c r="AT27" s="216"/>
      <c r="AU27" s="216"/>
      <c r="AV27" s="216"/>
      <c r="AW27" s="216"/>
      <c r="AX27" s="216"/>
      <c r="AY27" s="216"/>
      <c r="AZ27" s="216"/>
      <c r="BA27" s="216"/>
      <c r="BB27" s="216"/>
      <c r="BC27" s="216"/>
      <c r="BD27" s="216"/>
      <c r="BE27" s="216"/>
      <c r="BF27" s="216"/>
      <c r="BG27" s="216"/>
      <c r="BH27" s="216"/>
      <c r="BI27" s="216"/>
      <c r="BJ27" s="216"/>
      <c r="BK27" s="216"/>
      <c r="BL27" s="216"/>
      <c r="BM27" s="216"/>
      <c r="BN27" s="216"/>
      <c r="BO27" s="216"/>
      <c r="BP27" s="216"/>
      <c r="BQ27" s="216"/>
      <c r="BR27" s="216"/>
      <c r="BS27" s="216"/>
      <c r="BT27" s="216"/>
      <c r="BU27" s="216"/>
      <c r="BV27" s="216"/>
      <c r="BW27" s="216"/>
      <c r="BX27" s="216"/>
      <c r="BY27" s="216"/>
      <c r="BZ27" s="216"/>
      <c r="CA27" s="216"/>
      <c r="CB27" s="216"/>
      <c r="CC27" s="216"/>
      <c r="CD27" s="216"/>
      <c r="CE27" s="216"/>
      <c r="CF27" s="216"/>
      <c r="CG27" s="216"/>
      <c r="CH27" s="216"/>
      <c r="CI27" s="216"/>
      <c r="CJ27" s="216"/>
      <c r="CK27" s="216"/>
      <c r="CL27" s="216"/>
      <c r="CM27" s="216"/>
      <c r="CN27" s="216"/>
      <c r="CO27" s="216"/>
      <c r="CP27" s="216"/>
      <c r="CQ27" s="216"/>
    </row>
    <row r="28" spans="1:95" ht="24" customHeight="1" x14ac:dyDescent="0.25">
      <c r="A28" s="201">
        <v>24</v>
      </c>
      <c r="B28" s="114" t="s">
        <v>55</v>
      </c>
      <c r="C28" s="379"/>
      <c r="D28" s="379"/>
      <c r="E28" s="214" t="s">
        <v>272</v>
      </c>
      <c r="F28" s="216"/>
      <c r="G28" s="216"/>
      <c r="H28" s="216"/>
      <c r="I28" s="216"/>
      <c r="J28" s="216"/>
      <c r="K28" s="217" t="str">
        <f>MID($C28,COLUMNS($C$28:C$28),1)</f>
        <v/>
      </c>
      <c r="L28" s="217" t="str">
        <f>MID($C28,COLUMNS($C$28:D$28),1)</f>
        <v/>
      </c>
      <c r="M28" s="217" t="str">
        <f>MID($C28,COLUMNS($C$28:E$28),1)</f>
        <v/>
      </c>
      <c r="N28" s="217" t="str">
        <f>MID($C28,COLUMNS($C$28:F$28),1)</f>
        <v/>
      </c>
      <c r="O28" s="217" t="str">
        <f>MID($C28,COLUMNS($C$28:G$28),1)</f>
        <v/>
      </c>
      <c r="P28" s="217" t="str">
        <f>MID($C28,COLUMNS($C$28:H$28),1)</f>
        <v/>
      </c>
      <c r="Q28" s="217" t="str">
        <f>MID($C28,COLUMNS($C$28:I$28),1)</f>
        <v/>
      </c>
      <c r="R28" s="217" t="str">
        <f>MID($C28,COLUMNS($C$28:J$28),1)</f>
        <v/>
      </c>
      <c r="S28" s="217" t="str">
        <f>MID($C28,COLUMNS($C$28:K$28),1)</f>
        <v/>
      </c>
      <c r="T28" s="217" t="str">
        <f>MID($C28,COLUMNS($C$28:L$28),1)</f>
        <v/>
      </c>
      <c r="U28" s="217" t="str">
        <f>MID($C28,COLUMNS($C$28:M$28),1)</f>
        <v/>
      </c>
      <c r="V28" s="217" t="str">
        <f>MID($C28,COLUMNS($C$28:N$28),1)</f>
        <v/>
      </c>
      <c r="W28" s="217" t="str">
        <f>MID($C28,COLUMNS($C$28:O$28),1)</f>
        <v/>
      </c>
      <c r="X28" s="217" t="str">
        <f>MID($C28,COLUMNS($C$28:P$28),1)</f>
        <v/>
      </c>
      <c r="Y28" s="217" t="str">
        <f>MID($C28,COLUMNS($C$28:Q$28),1)</f>
        <v/>
      </c>
      <c r="Z28" s="217" t="str">
        <f>MID($C28,COLUMNS($C$28:R$28),1)</f>
        <v/>
      </c>
      <c r="AA28" s="217" t="str">
        <f>MID($C28,COLUMNS($C$28:S$28),1)</f>
        <v/>
      </c>
      <c r="AB28" s="217" t="str">
        <f>MID($C28,COLUMNS($C$28:T$28),1)</f>
        <v/>
      </c>
      <c r="AC28" s="217" t="str">
        <f>MID($C28,COLUMNS($C$28:U$28),1)</f>
        <v/>
      </c>
      <c r="AD28" s="217" t="str">
        <f>MID($C28,COLUMNS($C$28:V$28),1)</f>
        <v/>
      </c>
      <c r="AE28" s="217" t="str">
        <f>MID($C28,COLUMNS($C$28:W$28),1)</f>
        <v/>
      </c>
      <c r="AF28" s="217" t="str">
        <f>MID($C28,COLUMNS($C$28:X$28),1)</f>
        <v/>
      </c>
      <c r="AG28" s="217" t="str">
        <f>MID($C28,COLUMNS($C$28:Y$28),1)</f>
        <v/>
      </c>
      <c r="AH28" s="216"/>
      <c r="AI28" s="216"/>
      <c r="AJ28" s="216"/>
      <c r="AK28" s="216"/>
      <c r="AL28" s="216"/>
      <c r="AM28" s="216"/>
      <c r="AN28" s="216"/>
      <c r="AO28" s="216"/>
      <c r="AP28" s="216"/>
      <c r="AQ28" s="216"/>
      <c r="AR28" s="216"/>
      <c r="AS28" s="216"/>
      <c r="AT28" s="216"/>
      <c r="AU28" s="216"/>
      <c r="AV28" s="216"/>
      <c r="AW28" s="216"/>
      <c r="AX28" s="216"/>
      <c r="AY28" s="216"/>
      <c r="AZ28" s="216"/>
      <c r="BA28" s="216"/>
      <c r="BB28" s="216"/>
      <c r="BC28" s="216"/>
      <c r="BD28" s="216"/>
      <c r="BE28" s="216"/>
      <c r="BF28" s="216"/>
      <c r="BG28" s="216"/>
      <c r="BH28" s="216"/>
      <c r="BI28" s="216"/>
      <c r="BJ28" s="216"/>
      <c r="BK28" s="216"/>
      <c r="BL28" s="216"/>
      <c r="BM28" s="216"/>
      <c r="BN28" s="216"/>
      <c r="BO28" s="216"/>
      <c r="BP28" s="216"/>
      <c r="BQ28" s="216"/>
      <c r="BR28" s="216"/>
      <c r="BS28" s="216"/>
      <c r="BT28" s="216"/>
      <c r="BU28" s="216"/>
      <c r="BV28" s="216"/>
      <c r="BW28" s="216"/>
      <c r="BX28" s="216"/>
      <c r="BY28" s="216"/>
      <c r="BZ28" s="216"/>
      <c r="CA28" s="216"/>
      <c r="CB28" s="216"/>
      <c r="CC28" s="216"/>
      <c r="CD28" s="216"/>
      <c r="CE28" s="216"/>
      <c r="CF28" s="216"/>
      <c r="CG28" s="216"/>
      <c r="CH28" s="216"/>
      <c r="CI28" s="216"/>
      <c r="CJ28" s="216"/>
      <c r="CK28" s="216"/>
      <c r="CL28" s="216"/>
      <c r="CM28" s="216"/>
      <c r="CN28" s="216"/>
      <c r="CO28" s="216"/>
      <c r="CP28" s="216"/>
      <c r="CQ28" s="216"/>
    </row>
    <row r="29" spans="1:95" ht="24" customHeight="1" x14ac:dyDescent="0.25">
      <c r="A29" s="201">
        <v>25</v>
      </c>
      <c r="B29" s="113" t="s">
        <v>56</v>
      </c>
      <c r="C29" s="379"/>
      <c r="D29" s="379"/>
      <c r="E29" s="214" t="s">
        <v>273</v>
      </c>
      <c r="F29" s="216"/>
      <c r="G29" s="216"/>
      <c r="H29" s="216"/>
      <c r="I29" s="216"/>
      <c r="J29" s="216"/>
      <c r="K29" s="217" t="str">
        <f>MID($C29,COLUMNS($C$29:C$29),1)</f>
        <v/>
      </c>
      <c r="L29" s="217" t="str">
        <f>MID($C29,COLUMNS($C$29:D$29),1)</f>
        <v/>
      </c>
      <c r="M29" s="217" t="str">
        <f>MID($C29,COLUMNS($C$29:E$29),1)</f>
        <v/>
      </c>
      <c r="N29" s="217" t="str">
        <f>MID($C29,COLUMNS($C$29:F$29),1)</f>
        <v/>
      </c>
      <c r="O29" s="217" t="str">
        <f>MID($C29,COLUMNS($C$29:G$29),1)</f>
        <v/>
      </c>
      <c r="P29" s="217" t="str">
        <f>MID($C29,COLUMNS($C$29:H$29),1)</f>
        <v/>
      </c>
      <c r="Q29" s="217" t="str">
        <f>MID($C29,COLUMNS($C$29:I$29),1)</f>
        <v/>
      </c>
      <c r="R29" s="217" t="str">
        <f>MID($C29,COLUMNS($C$29:J$29),1)</f>
        <v/>
      </c>
      <c r="S29" s="217" t="str">
        <f>MID($C29,COLUMNS($C$29:K$29),1)</f>
        <v/>
      </c>
      <c r="T29" s="217" t="str">
        <f>MID($C29,COLUMNS($C$29:L$29),1)</f>
        <v/>
      </c>
      <c r="U29" s="217" t="str">
        <f>MID($C29,COLUMNS($C$29:M$29),1)</f>
        <v/>
      </c>
      <c r="V29" s="217" t="str">
        <f>MID($C29,COLUMNS($C$29:N$29),1)</f>
        <v/>
      </c>
      <c r="W29" s="217" t="str">
        <f>MID($C29,COLUMNS($C$29:O$29),1)</f>
        <v/>
      </c>
      <c r="X29" s="217" t="str">
        <f>MID($C29,COLUMNS($C$29:P$29),1)</f>
        <v/>
      </c>
      <c r="Y29" s="217" t="str">
        <f>MID($C29,COLUMNS($C$29:Q$29),1)</f>
        <v/>
      </c>
      <c r="Z29" s="217" t="str">
        <f>MID($C29,COLUMNS($C$29:R$29),1)</f>
        <v/>
      </c>
      <c r="AA29" s="217" t="str">
        <f>MID($C29,COLUMNS($C$29:S$29),1)</f>
        <v/>
      </c>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c r="AY29" s="216"/>
      <c r="AZ29" s="216"/>
      <c r="BA29" s="216"/>
      <c r="BB29" s="216"/>
      <c r="BC29" s="216"/>
      <c r="BD29" s="216"/>
      <c r="BE29" s="216"/>
      <c r="BF29" s="216"/>
      <c r="BG29" s="216"/>
      <c r="BH29" s="216"/>
      <c r="BI29" s="216"/>
      <c r="BJ29" s="216"/>
      <c r="BK29" s="216"/>
      <c r="BL29" s="216"/>
      <c r="BM29" s="216"/>
      <c r="BN29" s="216"/>
      <c r="BO29" s="216"/>
      <c r="BP29" s="216"/>
      <c r="BQ29" s="216"/>
      <c r="BR29" s="216"/>
      <c r="BS29" s="216"/>
      <c r="BT29" s="216"/>
      <c r="BU29" s="216"/>
      <c r="BV29" s="216"/>
      <c r="BW29" s="216"/>
      <c r="BX29" s="216"/>
      <c r="BY29" s="216"/>
      <c r="BZ29" s="216"/>
      <c r="CA29" s="216"/>
      <c r="CB29" s="216"/>
      <c r="CC29" s="216"/>
      <c r="CD29" s="216"/>
      <c r="CE29" s="216"/>
      <c r="CF29" s="216"/>
      <c r="CG29" s="216"/>
      <c r="CH29" s="216"/>
      <c r="CI29" s="216"/>
      <c r="CJ29" s="216"/>
      <c r="CK29" s="216"/>
      <c r="CL29" s="216"/>
      <c r="CM29" s="216"/>
      <c r="CN29" s="216"/>
      <c r="CO29" s="216"/>
      <c r="CP29" s="216"/>
      <c r="CQ29" s="216"/>
    </row>
    <row r="30" spans="1:95" ht="24" customHeight="1" x14ac:dyDescent="0.25">
      <c r="A30" s="201">
        <v>26</v>
      </c>
      <c r="B30" s="224" t="s">
        <v>304</v>
      </c>
      <c r="C30" s="242"/>
      <c r="D30" s="377"/>
      <c r="E30" s="377"/>
      <c r="F30" s="216"/>
      <c r="G30" s="216"/>
      <c r="H30" s="216"/>
      <c r="I30" s="216"/>
      <c r="J30" s="216"/>
      <c r="K30" s="217" t="str">
        <f>MID($C30,COLUMNS($C$30:C$30),1)</f>
        <v/>
      </c>
      <c r="L30" s="217" t="str">
        <f>MID($C30,COLUMNS($C$30:D$30),1)</f>
        <v/>
      </c>
      <c r="M30" s="217" t="str">
        <f>MID($C30,COLUMNS($C$30:E$30),1)</f>
        <v/>
      </c>
      <c r="N30" s="217" t="str">
        <f>MID($C30,COLUMNS($C$30:F$30),1)</f>
        <v/>
      </c>
      <c r="O30" s="217" t="str">
        <f>MID($C30,COLUMNS($C$30:G$30),1)</f>
        <v/>
      </c>
      <c r="P30" s="217" t="str">
        <f>MID($C30,COLUMNS($C$30:H$30),1)</f>
        <v/>
      </c>
      <c r="Q30" s="217" t="str">
        <f>MID($C30,COLUMNS($C$30:I$30),1)</f>
        <v/>
      </c>
      <c r="R30" s="217" t="str">
        <f>MID($C30,COLUMNS($C$30:J$30),1)</f>
        <v/>
      </c>
      <c r="S30" s="217" t="str">
        <f>MID($C30,COLUMNS($C$30:K$30),1)</f>
        <v/>
      </c>
      <c r="T30" s="217" t="str">
        <f>MID($C30,COLUMNS($C$30:L$30),1)</f>
        <v/>
      </c>
      <c r="U30" s="217" t="str">
        <f>MID($C30,COLUMNS($C$30:M$30),1)</f>
        <v/>
      </c>
      <c r="V30" s="217" t="str">
        <f>MID($C30,COLUMNS($C$30:N$30),1)</f>
        <v/>
      </c>
      <c r="W30" s="217" t="str">
        <f>MID($C30,COLUMNS($C$30:O$30),1)</f>
        <v/>
      </c>
      <c r="X30" s="217" t="str">
        <f>MID($C30,COLUMNS($C$30:P$30),1)</f>
        <v/>
      </c>
      <c r="Y30" s="217" t="str">
        <f>MID($C30,COLUMNS($C$30:Q$30),1)</f>
        <v/>
      </c>
      <c r="Z30" s="217" t="str">
        <f>MID($C30,COLUMNS($C$30:R$30),1)</f>
        <v/>
      </c>
      <c r="AA30" s="217" t="str">
        <f>MID($C30,COLUMNS($C$30:S$30),1)</f>
        <v/>
      </c>
      <c r="AB30" s="217" t="str">
        <f>MID($C30,COLUMNS($C$30:T$30),1)</f>
        <v/>
      </c>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c r="AY30" s="216"/>
      <c r="AZ30" s="216"/>
      <c r="BA30" s="216"/>
      <c r="BB30" s="216"/>
      <c r="BC30" s="216"/>
      <c r="BD30" s="216"/>
      <c r="BE30" s="216"/>
      <c r="BF30" s="216"/>
      <c r="BG30" s="216"/>
      <c r="BH30" s="216"/>
      <c r="BI30" s="216"/>
      <c r="BJ30" s="216"/>
      <c r="BK30" s="216"/>
      <c r="BL30" s="216"/>
      <c r="BM30" s="216"/>
      <c r="BN30" s="216"/>
      <c r="BO30" s="216"/>
      <c r="BP30" s="216"/>
      <c r="BQ30" s="216"/>
      <c r="BR30" s="216"/>
      <c r="BS30" s="216"/>
      <c r="BT30" s="216"/>
      <c r="BU30" s="216"/>
      <c r="BV30" s="216"/>
      <c r="BW30" s="216"/>
      <c r="BX30" s="216"/>
      <c r="BY30" s="216"/>
      <c r="BZ30" s="216"/>
      <c r="CA30" s="216"/>
      <c r="CB30" s="216"/>
      <c r="CC30" s="216"/>
      <c r="CD30" s="216"/>
      <c r="CE30" s="216"/>
      <c r="CF30" s="216"/>
      <c r="CG30" s="216"/>
      <c r="CH30" s="216"/>
      <c r="CI30" s="216"/>
      <c r="CJ30" s="216"/>
      <c r="CK30" s="216"/>
      <c r="CL30" s="216"/>
      <c r="CM30" s="216"/>
      <c r="CN30" s="216"/>
      <c r="CO30" s="216"/>
      <c r="CP30" s="216"/>
      <c r="CQ30" s="216"/>
    </row>
    <row r="31" spans="1:95" ht="24" customHeight="1" x14ac:dyDescent="0.25">
      <c r="A31" s="201">
        <v>27</v>
      </c>
      <c r="B31" s="224" t="s">
        <v>59</v>
      </c>
      <c r="C31" s="242"/>
      <c r="D31" s="377"/>
      <c r="E31" s="377"/>
      <c r="F31" s="216"/>
      <c r="G31" s="216"/>
      <c r="H31" s="216"/>
      <c r="I31" s="216"/>
      <c r="J31" s="216"/>
      <c r="K31" s="217" t="str">
        <f>MID($C31,COLUMNS($C$31:C$31),1)</f>
        <v/>
      </c>
      <c r="L31" s="217" t="str">
        <f>MID($C31,COLUMNS($C$31:D$31),1)</f>
        <v/>
      </c>
      <c r="M31" s="217" t="str">
        <f>MID($C31,COLUMNS($C$31:E$31),1)</f>
        <v/>
      </c>
      <c r="N31" s="217" t="str">
        <f>MID($C31,COLUMNS($C$31:F$31),1)</f>
        <v/>
      </c>
      <c r="O31" s="217" t="str">
        <f>MID($C31,COLUMNS($C$31:G$31),1)</f>
        <v/>
      </c>
      <c r="P31" s="217" t="str">
        <f>MID($C31,COLUMNS($C$31:H$31),1)</f>
        <v/>
      </c>
      <c r="Q31" s="217" t="str">
        <f>MID($C31,COLUMNS($C$31:I$31),1)</f>
        <v/>
      </c>
      <c r="R31" s="217" t="str">
        <f>MID($C31,COLUMNS($C$31:J$31),1)</f>
        <v/>
      </c>
      <c r="S31" s="217" t="str">
        <f>MID($C31,COLUMNS($C$31:K$31),1)</f>
        <v/>
      </c>
      <c r="T31" s="217" t="str">
        <f>MID($C31,COLUMNS($C$31:L$31),1)</f>
        <v/>
      </c>
      <c r="U31" s="217" t="str">
        <f>MID($C31,COLUMNS($C$31:M$31),1)</f>
        <v/>
      </c>
      <c r="V31" s="217" t="str">
        <f>MID($C31,COLUMNS($C$31:N$31),1)</f>
        <v/>
      </c>
      <c r="W31" s="217" t="str">
        <f>MID($C31,COLUMNS($C$31:O$31),1)</f>
        <v/>
      </c>
      <c r="X31" s="217" t="str">
        <f>MID($C31,COLUMNS($C$31:P$31),1)</f>
        <v/>
      </c>
      <c r="Y31" s="217" t="str">
        <f>MID($C31,COLUMNS($C$31:Q$31),1)</f>
        <v/>
      </c>
      <c r="Z31" s="217" t="str">
        <f>MID($C31,COLUMNS($C$31:R$31),1)</f>
        <v/>
      </c>
      <c r="AA31" s="217" t="str">
        <f>MID($C31,COLUMNS($C$31:S$31),1)</f>
        <v/>
      </c>
      <c r="AB31" s="217" t="str">
        <f>MID($C31,COLUMNS($C$31:T$31),1)</f>
        <v/>
      </c>
      <c r="AC31" s="217" t="str">
        <f>MID($C31,COLUMNS($C$31:U$31),1)</f>
        <v/>
      </c>
      <c r="AD31" s="217" t="str">
        <f>MID($C31,COLUMNS($C$31:V$31),1)</f>
        <v/>
      </c>
      <c r="AE31" s="216"/>
      <c r="AF31" s="216"/>
      <c r="AG31" s="216"/>
      <c r="AH31" s="216"/>
      <c r="AI31" s="216"/>
      <c r="AJ31" s="216"/>
      <c r="AK31" s="216"/>
      <c r="AL31" s="216"/>
      <c r="AM31" s="216"/>
      <c r="AN31" s="216"/>
      <c r="AO31" s="216"/>
      <c r="AP31" s="216"/>
      <c r="AQ31" s="216"/>
      <c r="AR31" s="216"/>
      <c r="AS31" s="216"/>
      <c r="AT31" s="216"/>
      <c r="AU31" s="216"/>
      <c r="AV31" s="216"/>
      <c r="AW31" s="216"/>
      <c r="AX31" s="216"/>
      <c r="AY31" s="216"/>
      <c r="AZ31" s="216"/>
      <c r="BA31" s="216"/>
      <c r="BB31" s="216"/>
      <c r="BC31" s="216"/>
      <c r="BD31" s="216"/>
      <c r="BE31" s="216"/>
      <c r="BF31" s="216"/>
      <c r="BG31" s="216"/>
      <c r="BH31" s="216"/>
      <c r="BI31" s="216"/>
      <c r="BJ31" s="216"/>
      <c r="BK31" s="216"/>
      <c r="BL31" s="216"/>
      <c r="BM31" s="216"/>
      <c r="BN31" s="216"/>
      <c r="BO31" s="216"/>
      <c r="BP31" s="216"/>
      <c r="BQ31" s="216"/>
      <c r="BR31" s="216"/>
      <c r="BS31" s="216"/>
      <c r="BT31" s="216"/>
      <c r="BU31" s="216"/>
      <c r="BV31" s="216"/>
      <c r="BW31" s="216"/>
      <c r="BX31" s="216"/>
      <c r="BY31" s="216"/>
      <c r="BZ31" s="216"/>
      <c r="CA31" s="216"/>
      <c r="CB31" s="216"/>
      <c r="CC31" s="216"/>
      <c r="CD31" s="216"/>
      <c r="CE31" s="216"/>
      <c r="CF31" s="216"/>
      <c r="CG31" s="216"/>
      <c r="CH31" s="216"/>
      <c r="CI31" s="216"/>
      <c r="CJ31" s="216"/>
      <c r="CK31" s="216"/>
      <c r="CL31" s="216"/>
      <c r="CM31" s="216"/>
      <c r="CN31" s="216"/>
      <c r="CO31" s="216"/>
      <c r="CP31" s="216"/>
      <c r="CQ31" s="216"/>
    </row>
    <row r="32" spans="1:95" ht="24" customHeight="1" x14ac:dyDescent="0.25">
      <c r="A32" s="201">
        <v>28</v>
      </c>
      <c r="B32" s="113" t="s">
        <v>60</v>
      </c>
      <c r="C32" s="381"/>
      <c r="D32" s="379"/>
      <c r="E32" s="377"/>
      <c r="F32" s="216"/>
      <c r="G32" s="216"/>
      <c r="H32" s="216"/>
      <c r="I32" s="216"/>
      <c r="J32" s="216"/>
      <c r="K32" s="217" t="str">
        <f>MID($C32,COLUMNS($C$32:C$32),1)</f>
        <v/>
      </c>
      <c r="L32" s="217" t="str">
        <f>MID($C32,COLUMNS($C$32:D$32),1)</f>
        <v/>
      </c>
      <c r="M32" s="217" t="str">
        <f>MID($C32,COLUMNS($C$32:E$32),1)</f>
        <v/>
      </c>
      <c r="N32" s="217" t="str">
        <f>MID($C32,COLUMNS($C$32:F$32),1)</f>
        <v/>
      </c>
      <c r="O32" s="217" t="str">
        <f>MID($C32,COLUMNS($C$32:G$32),1)</f>
        <v/>
      </c>
      <c r="P32" s="217" t="str">
        <f>MID($C32,COLUMNS($C$32:H$32),1)</f>
        <v/>
      </c>
      <c r="Q32" s="217" t="str">
        <f>MID($C32,COLUMNS($C$32:I$32),1)</f>
        <v/>
      </c>
      <c r="R32" s="217" t="str">
        <f>MID($C32,COLUMNS($C$32:J$32),1)</f>
        <v/>
      </c>
      <c r="S32" s="217" t="str">
        <f>MID($C32,COLUMNS($C$32:K$32),1)</f>
        <v/>
      </c>
      <c r="T32" s="217" t="str">
        <f>MID($C32,COLUMNS($C$32:L$32),1)</f>
        <v/>
      </c>
      <c r="U32" s="217" t="str">
        <f>MID($C32,COLUMNS($C$32:M$32),1)</f>
        <v/>
      </c>
      <c r="V32" s="217" t="str">
        <f>MID($C32,COLUMNS($C$32:N$32),1)</f>
        <v/>
      </c>
      <c r="W32" s="217" t="str">
        <f>MID($C32,COLUMNS($C$32:O$32),1)</f>
        <v/>
      </c>
      <c r="X32" s="217" t="str">
        <f>MID($C32,COLUMNS($C$32:P$32),1)</f>
        <v/>
      </c>
      <c r="Y32" s="217" t="str">
        <f>MID($C32,COLUMNS($C$32:Q$32),1)</f>
        <v/>
      </c>
      <c r="Z32" s="217" t="str">
        <f>MID($C32,COLUMNS($C$32:R$32),1)</f>
        <v/>
      </c>
      <c r="AA32" s="217" t="str">
        <f>MID($C32,COLUMNS($C$32:S$32),1)</f>
        <v/>
      </c>
      <c r="AB32" s="217" t="str">
        <f>MID($C32,COLUMNS($C$32:T$32),1)</f>
        <v/>
      </c>
      <c r="AC32" s="217" t="str">
        <f>MID($C32,COLUMNS($C$32:U$32),1)</f>
        <v/>
      </c>
      <c r="AD32" s="217" t="str">
        <f>MID($C32,COLUMNS($C$32:V$32),1)</f>
        <v/>
      </c>
      <c r="AE32" s="217" t="str">
        <f>MID($C32,COLUMNS($C$32:W$32),1)</f>
        <v/>
      </c>
      <c r="AF32" s="217" t="str">
        <f>MID($C32,COLUMNS($C$32:X$32),1)</f>
        <v/>
      </c>
      <c r="AG32" s="217" t="str">
        <f>MID($C32,COLUMNS($C$32:Y$32),1)</f>
        <v/>
      </c>
      <c r="AH32" s="217" t="str">
        <f>MID($C32,COLUMNS($C$32:Z$32),1)</f>
        <v/>
      </c>
      <c r="AI32" s="217" t="str">
        <f>MID($C32,COLUMNS($C$32:AA$32),1)</f>
        <v/>
      </c>
      <c r="AJ32" s="217" t="str">
        <f>MID($C32,COLUMNS($C$32:AB$32),1)</f>
        <v/>
      </c>
      <c r="AK32" s="216"/>
      <c r="AL32" s="216"/>
      <c r="AM32" s="216"/>
      <c r="AN32" s="216"/>
      <c r="AO32" s="216"/>
      <c r="AP32" s="216"/>
      <c r="AQ32" s="216"/>
      <c r="AR32" s="216"/>
      <c r="AS32" s="216"/>
      <c r="AT32" s="216"/>
      <c r="AU32" s="216"/>
      <c r="AV32" s="216"/>
      <c r="AW32" s="216"/>
      <c r="AX32" s="216"/>
      <c r="AY32" s="216"/>
      <c r="AZ32" s="216"/>
      <c r="BA32" s="216"/>
      <c r="BB32" s="216"/>
      <c r="BC32" s="216"/>
      <c r="BD32" s="216"/>
      <c r="BE32" s="216"/>
      <c r="BF32" s="216"/>
      <c r="BG32" s="216"/>
      <c r="BH32" s="216"/>
      <c r="BI32" s="216"/>
      <c r="BJ32" s="216"/>
      <c r="BK32" s="216"/>
      <c r="BL32" s="216"/>
      <c r="BM32" s="216"/>
      <c r="BN32" s="216"/>
      <c r="BO32" s="216"/>
      <c r="BP32" s="216"/>
      <c r="BQ32" s="216"/>
      <c r="BR32" s="216"/>
      <c r="BS32" s="216"/>
      <c r="BT32" s="216"/>
      <c r="BU32" s="216"/>
      <c r="BV32" s="216"/>
      <c r="BW32" s="216"/>
      <c r="BX32" s="216"/>
      <c r="BY32" s="216"/>
      <c r="BZ32" s="216"/>
      <c r="CA32" s="216"/>
      <c r="CB32" s="216"/>
      <c r="CC32" s="216"/>
      <c r="CD32" s="216"/>
      <c r="CE32" s="216"/>
      <c r="CF32" s="216"/>
      <c r="CG32" s="216"/>
      <c r="CH32" s="216"/>
      <c r="CI32" s="216"/>
      <c r="CJ32" s="216"/>
      <c r="CK32" s="216"/>
      <c r="CL32" s="216"/>
      <c r="CM32" s="216"/>
      <c r="CN32" s="216"/>
      <c r="CO32" s="216"/>
      <c r="CP32" s="216"/>
      <c r="CQ32" s="216"/>
    </row>
    <row r="33" spans="1:95" ht="24" customHeight="1" x14ac:dyDescent="0.25">
      <c r="A33" s="201">
        <v>29</v>
      </c>
      <c r="B33" s="224" t="s">
        <v>61</v>
      </c>
      <c r="C33" s="374"/>
      <c r="D33" s="374"/>
      <c r="E33" s="377"/>
      <c r="F33" s="227"/>
      <c r="G33" s="227"/>
      <c r="H33" s="227"/>
      <c r="I33" s="227"/>
      <c r="J33" s="227"/>
      <c r="K33" s="217" t="str">
        <f>MID($C33,COLUMNS($C$33:C$33),1)</f>
        <v/>
      </c>
      <c r="L33" s="217" t="str">
        <f>MID($C33,COLUMNS($C$33:D$33),1)</f>
        <v/>
      </c>
      <c r="M33" s="217" t="str">
        <f>MID($C33,COLUMNS($C$33:E$33),1)</f>
        <v/>
      </c>
      <c r="N33" s="217" t="str">
        <f>MID($C33,COLUMNS($C$33:F$33),1)</f>
        <v/>
      </c>
      <c r="O33" s="217" t="str">
        <f>MID($C33,COLUMNS($C$33:G$33),1)</f>
        <v/>
      </c>
      <c r="P33" s="217" t="str">
        <f>MID($C33,COLUMNS($C$33:H$33),1)</f>
        <v/>
      </c>
      <c r="Q33" s="217" t="str">
        <f>MID($C33,COLUMNS($C$33:I$33),1)</f>
        <v/>
      </c>
      <c r="R33" s="217" t="str">
        <f>MID($C33,COLUMNS($C$33:J$33),1)</f>
        <v/>
      </c>
      <c r="S33" s="217" t="str">
        <f>MID($C33,COLUMNS($C$33:K$33),1)</f>
        <v/>
      </c>
      <c r="T33" s="217" t="str">
        <f>MID($C33,COLUMNS($C$33:L$33),1)</f>
        <v/>
      </c>
      <c r="U33" s="217" t="str">
        <f>MID($C33,COLUMNS($C$33:M$33),1)</f>
        <v/>
      </c>
      <c r="V33" s="217" t="str">
        <f>MID($C33,COLUMNS($C$33:N$33),1)</f>
        <v/>
      </c>
      <c r="W33" s="217" t="str">
        <f>MID($C33,COLUMNS($C$33:O$33),1)</f>
        <v/>
      </c>
      <c r="X33" s="217" t="str">
        <f>MID($C33,COLUMNS($C$33:P$33),1)</f>
        <v/>
      </c>
      <c r="Y33" s="217" t="str">
        <f>MID($C33,COLUMNS($C$33:Q$33),1)</f>
        <v/>
      </c>
      <c r="Z33" s="217" t="str">
        <f>MID($C33,COLUMNS($C$33:R$33),1)</f>
        <v/>
      </c>
      <c r="AA33" s="217" t="str">
        <f>MID($C33,COLUMNS($C$33:S$33),1)</f>
        <v/>
      </c>
      <c r="AB33" s="217" t="str">
        <f>MID($C33,COLUMNS($C$33:T$33),1)</f>
        <v/>
      </c>
      <c r="AC33" s="217" t="str">
        <f>MID($C33,COLUMNS($C$33:U$33),1)</f>
        <v/>
      </c>
      <c r="AD33" s="217" t="str">
        <f>MID($C33,COLUMNS($C$33:V$33),1)</f>
        <v/>
      </c>
      <c r="AE33" s="217" t="str">
        <f>MID($C33,COLUMNS($C$33:W$33),1)</f>
        <v/>
      </c>
      <c r="AF33" s="217" t="str">
        <f>MID($C33,COLUMNS($C$33:X$33),1)</f>
        <v/>
      </c>
      <c r="AG33" s="217" t="str">
        <f>MID($C33,COLUMNS($C$33:Y$33),1)</f>
        <v/>
      </c>
      <c r="AH33" s="217" t="str">
        <f>MID($C33,COLUMNS($C$33:Z$33),1)</f>
        <v/>
      </c>
      <c r="AI33" s="216"/>
      <c r="AJ33" s="216"/>
      <c r="AK33" s="216"/>
      <c r="AL33" s="216"/>
      <c r="AM33" s="216"/>
      <c r="AN33" s="216"/>
      <c r="AO33" s="216"/>
      <c r="AP33" s="216"/>
      <c r="AQ33" s="216"/>
      <c r="AR33" s="216"/>
      <c r="AS33" s="216"/>
      <c r="AT33" s="216"/>
      <c r="AU33" s="216"/>
      <c r="AV33" s="216"/>
      <c r="AW33" s="216"/>
      <c r="AX33" s="216"/>
      <c r="AY33" s="216"/>
      <c r="AZ33" s="216"/>
      <c r="BA33" s="216"/>
      <c r="BB33" s="216"/>
      <c r="BC33" s="216"/>
      <c r="BD33" s="216"/>
      <c r="BE33" s="216"/>
      <c r="BF33" s="216"/>
      <c r="BG33" s="216"/>
      <c r="BH33" s="216"/>
      <c r="BI33" s="216"/>
      <c r="BJ33" s="216"/>
      <c r="BK33" s="216"/>
      <c r="BL33" s="216"/>
      <c r="BM33" s="216"/>
      <c r="BN33" s="216"/>
      <c r="BO33" s="216"/>
      <c r="BP33" s="216"/>
      <c r="BQ33" s="216"/>
      <c r="BR33" s="216"/>
      <c r="BS33" s="216"/>
      <c r="BT33" s="216"/>
      <c r="BU33" s="216"/>
      <c r="BV33" s="216"/>
      <c r="BW33" s="216"/>
      <c r="BX33" s="216"/>
      <c r="BY33" s="216"/>
      <c r="BZ33" s="216"/>
      <c r="CA33" s="216"/>
      <c r="CB33" s="216"/>
      <c r="CC33" s="216"/>
      <c r="CD33" s="216"/>
      <c r="CE33" s="216"/>
      <c r="CF33" s="216"/>
      <c r="CG33" s="216"/>
      <c r="CH33" s="216"/>
      <c r="CI33" s="216"/>
      <c r="CJ33" s="216"/>
      <c r="CK33" s="216"/>
      <c r="CL33" s="216"/>
      <c r="CM33" s="216"/>
      <c r="CN33" s="216"/>
      <c r="CO33" s="216"/>
      <c r="CP33" s="216"/>
      <c r="CQ33" s="216"/>
    </row>
    <row r="34" spans="1:95" ht="24" customHeight="1" x14ac:dyDescent="0.25">
      <c r="A34" s="201">
        <v>30</v>
      </c>
      <c r="B34" s="224" t="s">
        <v>114</v>
      </c>
      <c r="C34" s="382"/>
      <c r="D34" s="382"/>
      <c r="E34" s="377"/>
      <c r="F34" s="229"/>
      <c r="G34" s="269"/>
      <c r="H34" s="269"/>
      <c r="I34" s="269"/>
      <c r="J34" s="269"/>
      <c r="K34" s="217" t="str">
        <f>MID($C34,COLUMNS($C$34:C$34),1)</f>
        <v/>
      </c>
      <c r="L34" s="217" t="str">
        <f>MID($C34,COLUMNS($C$34:D$34),1)</f>
        <v/>
      </c>
      <c r="M34" s="217" t="str">
        <f>MID($C34,COLUMNS($C$34:E$34),1)</f>
        <v/>
      </c>
      <c r="N34" s="217" t="str">
        <f>MID($C34,COLUMNS($C$34:F$34),1)</f>
        <v/>
      </c>
      <c r="O34" s="217" t="str">
        <f>MID($C34,COLUMNS($C$34:G$34),1)</f>
        <v/>
      </c>
      <c r="P34" s="217" t="str">
        <f>MID($C34,COLUMNS($C$34:H$34),1)</f>
        <v/>
      </c>
      <c r="Q34" s="217" t="str">
        <f>MID($C34,COLUMNS($C$34:I$34),1)</f>
        <v/>
      </c>
      <c r="R34" s="217" t="str">
        <f>MID($C34,COLUMNS($C$34:J$34),1)</f>
        <v/>
      </c>
      <c r="S34" s="217" t="str">
        <f>MID($C34,COLUMNS($C$34:K$34),1)</f>
        <v/>
      </c>
      <c r="T34" s="217" t="str">
        <f>MID($C34,COLUMNS($C$34:L$34),1)</f>
        <v/>
      </c>
      <c r="U34" s="217" t="str">
        <f>MID($C34,COLUMNS($C$34:M$34),1)</f>
        <v/>
      </c>
      <c r="V34" s="217" t="str">
        <f>MID($C34,COLUMNS($C$34:N$34),1)</f>
        <v/>
      </c>
      <c r="W34" s="217" t="str">
        <f>MID($C34,COLUMNS($C$34:O$34),1)</f>
        <v/>
      </c>
      <c r="X34" s="217" t="str">
        <f>MID($C34,COLUMNS($C$34:P$34),1)</f>
        <v/>
      </c>
      <c r="Y34" s="217" t="str">
        <f>MID($C34,COLUMNS($C$34:Q$34),1)</f>
        <v/>
      </c>
      <c r="Z34" s="217" t="str">
        <f>MID($C34,COLUMNS($C$34:R$34),1)</f>
        <v/>
      </c>
      <c r="AA34" s="217" t="str">
        <f>MID($C34,COLUMNS($C$34:S$34),1)</f>
        <v/>
      </c>
      <c r="AB34" s="217" t="str">
        <f>MID($C34,COLUMNS($C$34:T$34),1)</f>
        <v/>
      </c>
      <c r="AC34" s="217" t="str">
        <f>MID($C34,COLUMNS($C$34:U$34),1)</f>
        <v/>
      </c>
      <c r="AD34" s="217" t="str">
        <f>MID($C34,COLUMNS($C$34:V$34),1)</f>
        <v/>
      </c>
      <c r="AE34" s="217" t="str">
        <f>MID($C34,COLUMNS($C$34:W$34),1)</f>
        <v/>
      </c>
      <c r="AF34" s="217" t="str">
        <f>MID($C34,COLUMNS($C$34:X$34),1)</f>
        <v/>
      </c>
      <c r="AG34" s="217" t="str">
        <f>MID($C34,COLUMNS($C$34:Y$34),1)</f>
        <v/>
      </c>
      <c r="AH34" s="217" t="str">
        <f>MID($C34,COLUMNS($C$34:Z$34),1)</f>
        <v/>
      </c>
      <c r="AI34" s="217" t="str">
        <f>MID($C34,COLUMNS($C$34:AA$34),1)</f>
        <v/>
      </c>
      <c r="AJ34" s="217" t="str">
        <f>MID($C34,COLUMNS($C$34:AB$34),1)</f>
        <v/>
      </c>
      <c r="AK34" s="217" t="str">
        <f>MID($C34,COLUMNS($C$34:AC$34),1)</f>
        <v/>
      </c>
      <c r="AL34" s="217" t="str">
        <f>MID($C34,COLUMNS($C$34:AD$34),1)</f>
        <v/>
      </c>
      <c r="AM34" s="217" t="str">
        <f>MID($C34,COLUMNS($C$34:AE$34),1)</f>
        <v/>
      </c>
      <c r="AN34" s="217" t="str">
        <f>MID($C34,COLUMNS($C$34:AF$34),1)</f>
        <v/>
      </c>
      <c r="AO34" s="217" t="str">
        <f>MID($C34,COLUMNS($C$34:AG$34),1)</f>
        <v/>
      </c>
      <c r="AP34" s="217" t="str">
        <f>MID($C34,COLUMNS($C$34:AH$34),1)</f>
        <v/>
      </c>
      <c r="AQ34" s="217" t="str">
        <f>MID($C34,COLUMNS($C$34:AI$34),1)</f>
        <v/>
      </c>
      <c r="AR34" s="216"/>
      <c r="AS34" s="216"/>
      <c r="AT34" s="216"/>
      <c r="AU34" s="216"/>
      <c r="AV34" s="216"/>
      <c r="AW34" s="216"/>
      <c r="AX34" s="216"/>
      <c r="AY34" s="216"/>
      <c r="AZ34" s="216"/>
      <c r="BA34" s="216"/>
      <c r="BB34" s="216"/>
      <c r="BC34" s="216"/>
      <c r="BD34" s="216"/>
      <c r="BE34" s="216"/>
      <c r="BF34" s="216"/>
      <c r="BG34" s="216"/>
      <c r="BH34" s="216"/>
      <c r="BI34" s="216"/>
      <c r="BJ34" s="216"/>
      <c r="BK34" s="216"/>
      <c r="BL34" s="216"/>
      <c r="BM34" s="216"/>
      <c r="BN34" s="216"/>
      <c r="BO34" s="216"/>
      <c r="BP34" s="216"/>
      <c r="BQ34" s="216"/>
      <c r="BR34" s="216"/>
      <c r="BS34" s="216"/>
      <c r="BT34" s="216"/>
      <c r="BU34" s="216"/>
      <c r="BV34" s="216"/>
      <c r="BW34" s="216"/>
      <c r="BX34" s="216"/>
      <c r="BY34" s="216"/>
      <c r="BZ34" s="216"/>
      <c r="CA34" s="216"/>
      <c r="CB34" s="216"/>
      <c r="CC34" s="216"/>
      <c r="CD34" s="216"/>
      <c r="CE34" s="216"/>
      <c r="CF34" s="216"/>
      <c r="CG34" s="216"/>
      <c r="CH34" s="216"/>
      <c r="CI34" s="216"/>
      <c r="CJ34" s="216"/>
      <c r="CK34" s="216"/>
      <c r="CL34" s="216"/>
      <c r="CM34" s="216"/>
      <c r="CN34" s="216"/>
      <c r="CO34" s="216"/>
      <c r="CP34" s="216"/>
      <c r="CQ34" s="216"/>
    </row>
    <row r="35" spans="1:95" ht="24" customHeight="1" x14ac:dyDescent="0.25">
      <c r="A35" s="201">
        <v>31</v>
      </c>
      <c r="B35" s="224" t="s">
        <v>113</v>
      </c>
      <c r="C35" s="374"/>
      <c r="D35" s="374"/>
      <c r="E35" s="377"/>
      <c r="F35" s="230"/>
      <c r="G35" s="268"/>
      <c r="H35" s="268"/>
      <c r="I35" s="268"/>
      <c r="J35" s="268"/>
      <c r="K35" s="217" t="str">
        <f>MID($C35,COLUMNS($C$35:C$35),1)</f>
        <v/>
      </c>
      <c r="L35" s="217" t="str">
        <f>MID($C35,COLUMNS($C$35:D$35),1)</f>
        <v/>
      </c>
      <c r="M35" s="217" t="str">
        <f>MID($C35,COLUMNS($C$35:E$35),1)</f>
        <v/>
      </c>
      <c r="N35" s="217" t="str">
        <f>MID($C35,COLUMNS($C$35:F$35),1)</f>
        <v/>
      </c>
      <c r="O35" s="217" t="str">
        <f>MID($C35,COLUMNS($C$35:G$35),1)</f>
        <v/>
      </c>
      <c r="P35" s="217" t="str">
        <f>MID($C35,COLUMNS($C$35:H$35),1)</f>
        <v/>
      </c>
      <c r="Q35" s="217" t="str">
        <f>MID($C35,COLUMNS($C$35:I$35),1)</f>
        <v/>
      </c>
      <c r="R35" s="217" t="str">
        <f>MID($C35,COLUMNS($C$35:J$35),1)</f>
        <v/>
      </c>
      <c r="S35" s="217" t="str">
        <f>MID($C35,COLUMNS($C$35:K$35),1)</f>
        <v/>
      </c>
      <c r="T35" s="217" t="str">
        <f>MID($C35,COLUMNS($C$35:L$35),1)</f>
        <v/>
      </c>
      <c r="U35" s="217" t="str">
        <f>MID($C35,COLUMNS($C$35:M$35),1)</f>
        <v/>
      </c>
      <c r="V35" s="217" t="str">
        <f>MID($C35,COLUMNS($C$35:N$35),1)</f>
        <v/>
      </c>
      <c r="W35" s="217" t="str">
        <f>MID($C35,COLUMNS($C$35:O$35),1)</f>
        <v/>
      </c>
      <c r="X35" s="217" t="str">
        <f>MID($C35,COLUMNS($C$35:P$35),1)</f>
        <v/>
      </c>
      <c r="Y35" s="217" t="str">
        <f>MID($C35,COLUMNS($C$35:Q$35),1)</f>
        <v/>
      </c>
      <c r="Z35" s="217" t="str">
        <f>MID($C35,COLUMNS($C$35:R$35),1)</f>
        <v/>
      </c>
      <c r="AA35" s="217" t="str">
        <f>MID($C35,COLUMNS($C$35:S$35),1)</f>
        <v/>
      </c>
      <c r="AB35" s="217" t="str">
        <f>MID($C35,COLUMNS($C$35:T$35),1)</f>
        <v/>
      </c>
      <c r="AC35" s="217" t="str">
        <f>MID($C35,COLUMNS($C$35:U$35),1)</f>
        <v/>
      </c>
      <c r="AD35" s="217" t="str">
        <f>MID($C35,COLUMNS($C$35:V$35),1)</f>
        <v/>
      </c>
      <c r="AE35" s="217" t="str">
        <f>MID($C35,COLUMNS($C$35:W$35),1)</f>
        <v/>
      </c>
      <c r="AF35" s="217" t="str">
        <f>MID($C35,COLUMNS($C$35:X$35),1)</f>
        <v/>
      </c>
      <c r="AG35" s="217" t="str">
        <f>MID($C35,COLUMNS($C$35:Y$35),1)</f>
        <v/>
      </c>
      <c r="AH35" s="217" t="str">
        <f>MID($C35,COLUMNS($C$35:Z$35),1)</f>
        <v/>
      </c>
      <c r="AI35" s="217" t="str">
        <f>MID($C35,COLUMNS($C$35:AA$35),1)</f>
        <v/>
      </c>
      <c r="AJ35" s="217" t="str">
        <f>MID($C35,COLUMNS($C$35:AB$35),1)</f>
        <v/>
      </c>
      <c r="AK35" s="217" t="str">
        <f>MID($C35,COLUMNS($C$35:AC$35),1)</f>
        <v/>
      </c>
      <c r="AL35" s="217" t="str">
        <f>MID($C35,COLUMNS($C$35:AD$35),1)</f>
        <v/>
      </c>
      <c r="AM35" s="217" t="str">
        <f>MID($C35,COLUMNS($C$35:AE$35),1)</f>
        <v/>
      </c>
      <c r="AN35" s="217" t="str">
        <f>MID($C35,COLUMNS($C$35:AF$35),1)</f>
        <v/>
      </c>
      <c r="AO35" s="217" t="str">
        <f>MID($C35,COLUMNS($C$35:AG$35),1)</f>
        <v/>
      </c>
      <c r="AP35" s="217" t="str">
        <f>MID($C35,COLUMNS($C$35:AH$35),1)</f>
        <v/>
      </c>
      <c r="AQ35" s="217" t="str">
        <f>MID($C35,COLUMNS($C$35:AI$35),1)</f>
        <v/>
      </c>
      <c r="AR35" s="216"/>
      <c r="AS35" s="216"/>
      <c r="AT35" s="216"/>
      <c r="AU35" s="216"/>
      <c r="AV35" s="216"/>
      <c r="AW35" s="216"/>
      <c r="AX35" s="216"/>
      <c r="AY35" s="216"/>
      <c r="AZ35" s="216"/>
      <c r="BA35" s="216"/>
      <c r="BB35" s="216"/>
      <c r="BC35" s="216"/>
      <c r="BD35" s="216"/>
      <c r="BE35" s="216"/>
      <c r="BF35" s="216"/>
      <c r="BG35" s="216"/>
      <c r="BH35" s="216"/>
      <c r="BI35" s="216"/>
      <c r="BJ35" s="216"/>
      <c r="BK35" s="216"/>
      <c r="BL35" s="216"/>
      <c r="BM35" s="216"/>
      <c r="BN35" s="216"/>
      <c r="BO35" s="216"/>
      <c r="BP35" s="216"/>
      <c r="BQ35" s="216"/>
      <c r="BR35" s="216"/>
      <c r="BS35" s="216"/>
      <c r="BT35" s="216"/>
      <c r="BU35" s="216"/>
      <c r="BV35" s="216"/>
      <c r="BW35" s="216"/>
      <c r="BX35" s="216"/>
      <c r="BY35" s="216"/>
      <c r="BZ35" s="216"/>
      <c r="CA35" s="216"/>
      <c r="CB35" s="216"/>
      <c r="CC35" s="216"/>
      <c r="CD35" s="216"/>
      <c r="CE35" s="216"/>
      <c r="CF35" s="216"/>
      <c r="CG35" s="216"/>
      <c r="CH35" s="216"/>
      <c r="CI35" s="216"/>
      <c r="CJ35" s="216"/>
      <c r="CK35" s="216"/>
      <c r="CL35" s="216"/>
      <c r="CM35" s="216"/>
      <c r="CN35" s="216"/>
      <c r="CO35" s="216"/>
      <c r="CP35" s="216"/>
      <c r="CQ35" s="216"/>
    </row>
    <row r="36" spans="1:95" ht="9.75" customHeight="1" x14ac:dyDescent="0.25">
      <c r="A36" s="378"/>
      <c r="B36" s="378"/>
      <c r="C36" s="378"/>
      <c r="D36" s="378"/>
      <c r="E36" s="378"/>
      <c r="F36" s="230"/>
      <c r="G36" s="268"/>
      <c r="H36" s="268"/>
      <c r="I36" s="268"/>
      <c r="J36" s="268"/>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c r="AM36" s="217"/>
      <c r="AN36" s="217"/>
      <c r="AO36" s="217"/>
      <c r="AP36" s="217"/>
      <c r="AQ36" s="217"/>
      <c r="AR36" s="216"/>
      <c r="AS36" s="216"/>
      <c r="AT36" s="216"/>
      <c r="AU36" s="216"/>
      <c r="AV36" s="216"/>
      <c r="AW36" s="216"/>
      <c r="AX36" s="216"/>
      <c r="AY36" s="216"/>
      <c r="AZ36" s="216"/>
      <c r="BA36" s="216"/>
      <c r="BB36" s="216"/>
      <c r="BC36" s="216"/>
      <c r="BD36" s="216"/>
      <c r="BE36" s="216"/>
      <c r="BF36" s="216"/>
      <c r="BG36" s="216"/>
      <c r="BH36" s="216"/>
      <c r="BI36" s="216"/>
      <c r="BJ36" s="216"/>
      <c r="BK36" s="216"/>
      <c r="BL36" s="216"/>
      <c r="BM36" s="216"/>
      <c r="BN36" s="216"/>
      <c r="BO36" s="216"/>
      <c r="BP36" s="216"/>
      <c r="BQ36" s="216"/>
      <c r="BR36" s="216"/>
      <c r="BS36" s="216"/>
      <c r="BT36" s="216"/>
      <c r="BU36" s="216"/>
      <c r="BV36" s="216"/>
      <c r="BW36" s="216"/>
      <c r="BX36" s="216"/>
      <c r="BY36" s="216"/>
      <c r="BZ36" s="216"/>
      <c r="CA36" s="216"/>
      <c r="CB36" s="216"/>
      <c r="CC36" s="216"/>
      <c r="CD36" s="216"/>
      <c r="CE36" s="216"/>
      <c r="CF36" s="216"/>
      <c r="CG36" s="216"/>
      <c r="CH36" s="216"/>
      <c r="CI36" s="216"/>
      <c r="CJ36" s="216"/>
      <c r="CK36" s="216"/>
      <c r="CL36" s="216"/>
      <c r="CM36" s="216"/>
      <c r="CN36" s="216"/>
      <c r="CO36" s="216"/>
      <c r="CP36" s="216"/>
      <c r="CQ36" s="216"/>
    </row>
    <row r="37" spans="1:95" ht="24" customHeight="1" x14ac:dyDescent="0.25">
      <c r="A37" s="201">
        <v>32</v>
      </c>
      <c r="B37" s="247" t="s">
        <v>393</v>
      </c>
      <c r="C37" s="369" t="s">
        <v>394</v>
      </c>
      <c r="D37" s="377"/>
      <c r="E37" s="377"/>
      <c r="F37" s="226"/>
      <c r="G37" s="266"/>
      <c r="H37" s="266"/>
      <c r="I37" s="266"/>
      <c r="J37" s="266"/>
      <c r="K37" s="231"/>
      <c r="L37" s="266"/>
      <c r="M37" s="266"/>
      <c r="N37" s="266"/>
      <c r="O37" s="266"/>
      <c r="P37" s="266"/>
      <c r="Q37" s="266"/>
      <c r="R37" s="266"/>
      <c r="S37" s="266"/>
      <c r="T37" s="266"/>
      <c r="U37" s="266"/>
      <c r="V37" s="266"/>
      <c r="W37" s="266"/>
      <c r="X37" s="266"/>
      <c r="Y37" s="266"/>
      <c r="Z37" s="267"/>
      <c r="AA37" s="373"/>
      <c r="AB37" s="373"/>
      <c r="AC37" s="373"/>
      <c r="AD37" s="373"/>
      <c r="AE37" s="373"/>
      <c r="AF37" s="373"/>
      <c r="AG37" s="216"/>
      <c r="AH37" s="216"/>
      <c r="AI37" s="216"/>
      <c r="AJ37" s="216"/>
      <c r="AK37" s="216"/>
      <c r="AL37" s="216"/>
      <c r="AM37" s="216"/>
      <c r="AN37" s="216"/>
      <c r="AO37" s="216"/>
      <c r="AP37" s="216"/>
      <c r="AQ37" s="216"/>
      <c r="AR37" s="216"/>
      <c r="AS37" s="216"/>
      <c r="AT37" s="216"/>
      <c r="AU37" s="216"/>
      <c r="AV37" s="216"/>
      <c r="AW37" s="216"/>
      <c r="AX37" s="216"/>
      <c r="AY37" s="216"/>
      <c r="AZ37" s="216"/>
      <c r="BA37" s="216"/>
      <c r="BB37" s="216"/>
      <c r="BC37" s="216"/>
      <c r="BD37" s="216"/>
      <c r="BE37" s="216"/>
      <c r="BF37" s="216"/>
      <c r="BG37" s="216"/>
      <c r="BH37" s="216"/>
      <c r="BI37" s="216"/>
      <c r="BJ37" s="216"/>
      <c r="BK37" s="216"/>
      <c r="BL37" s="216"/>
      <c r="BM37" s="216"/>
      <c r="BN37" s="216"/>
      <c r="BO37" s="216"/>
      <c r="BP37" s="216"/>
      <c r="BQ37" s="216"/>
      <c r="BR37" s="216"/>
      <c r="BS37" s="216"/>
      <c r="BT37" s="216"/>
      <c r="BU37" s="216"/>
      <c r="BV37" s="216"/>
      <c r="BW37" s="216"/>
      <c r="BX37" s="216"/>
      <c r="BY37" s="216"/>
      <c r="BZ37" s="216"/>
      <c r="CA37" s="216"/>
      <c r="CB37" s="216"/>
      <c r="CC37" s="216"/>
      <c r="CD37" s="216"/>
      <c r="CE37" s="216"/>
      <c r="CF37" s="216"/>
      <c r="CG37" s="216"/>
      <c r="CH37" s="216"/>
      <c r="CI37" s="216"/>
      <c r="CJ37" s="216"/>
      <c r="CK37" s="216"/>
      <c r="CL37" s="216"/>
      <c r="CM37" s="216"/>
      <c r="CN37" s="216"/>
      <c r="CO37" s="216"/>
      <c r="CP37" s="216"/>
      <c r="CQ37" s="216"/>
    </row>
    <row r="38" spans="1:95" ht="21.75" customHeight="1" x14ac:dyDescent="0.25">
      <c r="A38" s="201"/>
      <c r="B38" s="224" t="s">
        <v>63</v>
      </c>
      <c r="C38" s="243">
        <v>0</v>
      </c>
      <c r="D38" s="377"/>
      <c r="E38" s="377"/>
      <c r="G38" s="318" t="str">
        <f>IF(C38=0," ","✓")</f>
        <v xml:space="preserve"> </v>
      </c>
      <c r="H38" s="232" t="s">
        <v>350</v>
      </c>
      <c r="I38" s="216"/>
      <c r="J38" s="216"/>
      <c r="K38" s="217"/>
      <c r="L38" s="267"/>
      <c r="M38" s="267"/>
      <c r="N38" s="267"/>
      <c r="O38" s="267"/>
      <c r="P38" s="267"/>
      <c r="Q38" s="267"/>
      <c r="R38" s="267"/>
      <c r="S38" s="267"/>
      <c r="T38" s="267"/>
      <c r="U38" s="267"/>
      <c r="V38" s="267"/>
      <c r="W38" s="267"/>
      <c r="X38" s="267"/>
      <c r="Y38" s="267"/>
      <c r="Z38" s="267"/>
      <c r="AA38" s="267"/>
      <c r="AB38" s="267"/>
      <c r="AC38" s="267"/>
      <c r="AD38" s="267"/>
      <c r="AE38" s="267"/>
      <c r="AF38" s="267"/>
      <c r="AG38" s="216"/>
      <c r="AH38" s="216"/>
      <c r="AI38" s="216"/>
      <c r="AJ38" s="216"/>
      <c r="AK38" s="216"/>
      <c r="AL38" s="216"/>
      <c r="AM38" s="216"/>
      <c r="AN38" s="216"/>
      <c r="AO38" s="216"/>
      <c r="AP38" s="216"/>
      <c r="AQ38" s="216"/>
      <c r="AR38" s="216"/>
      <c r="AS38" s="216"/>
      <c r="AT38" s="216"/>
      <c r="AU38" s="216"/>
      <c r="AV38" s="216"/>
      <c r="AW38" s="216"/>
      <c r="AX38" s="216"/>
      <c r="AY38" s="216"/>
      <c r="AZ38" s="216"/>
      <c r="BA38" s="216"/>
      <c r="BB38" s="216"/>
      <c r="BC38" s="216"/>
      <c r="BD38" s="216"/>
      <c r="BE38" s="216"/>
      <c r="BF38" s="216"/>
      <c r="BG38" s="216"/>
      <c r="BH38" s="216"/>
      <c r="BI38" s="216"/>
      <c r="BJ38" s="216"/>
      <c r="BK38" s="216"/>
      <c r="BL38" s="216"/>
      <c r="BM38" s="216"/>
      <c r="BN38" s="216"/>
      <c r="BO38" s="216"/>
      <c r="BP38" s="216"/>
      <c r="BQ38" s="216"/>
      <c r="BR38" s="216"/>
      <c r="BS38" s="216"/>
      <c r="BT38" s="216"/>
      <c r="BU38" s="216"/>
      <c r="BV38" s="216"/>
      <c r="BW38" s="216"/>
      <c r="BX38" s="216"/>
      <c r="BY38" s="216"/>
      <c r="BZ38" s="216"/>
      <c r="CA38" s="216"/>
      <c r="CB38" s="216"/>
      <c r="CC38" s="216"/>
      <c r="CD38" s="216"/>
      <c r="CE38" s="216"/>
      <c r="CF38" s="216"/>
      <c r="CG38" s="216"/>
      <c r="CH38" s="216"/>
      <c r="CI38" s="216"/>
      <c r="CJ38" s="216"/>
      <c r="CK38" s="216"/>
      <c r="CL38" s="216"/>
      <c r="CM38" s="216"/>
      <c r="CN38" s="216"/>
      <c r="CO38" s="216"/>
      <c r="CP38" s="216"/>
      <c r="CQ38" s="216"/>
    </row>
    <row r="39" spans="1:95" ht="21.75" customHeight="1" x14ac:dyDescent="0.25">
      <c r="A39" s="201"/>
      <c r="B39" s="224" t="s">
        <v>64</v>
      </c>
      <c r="C39" s="243">
        <v>0</v>
      </c>
      <c r="D39" s="377"/>
      <c r="E39" s="377"/>
      <c r="F39" s="227"/>
      <c r="G39" s="318" t="str">
        <f t="shared" ref="G39:G42" si="6">IF(C39=0," ","✓")</f>
        <v xml:space="preserve"> </v>
      </c>
      <c r="H39" s="200">
        <v>0</v>
      </c>
      <c r="I39" s="227"/>
      <c r="J39" s="227"/>
      <c r="K39" s="233"/>
      <c r="L39" s="227"/>
      <c r="M39" s="227"/>
      <c r="N39" s="227"/>
      <c r="O39" s="227"/>
      <c r="P39" s="269"/>
      <c r="Q39" s="269"/>
      <c r="R39" s="266"/>
      <c r="S39" s="266"/>
      <c r="T39" s="266"/>
      <c r="U39" s="266"/>
      <c r="V39" s="266"/>
      <c r="W39" s="266"/>
      <c r="X39" s="266"/>
      <c r="Y39" s="266"/>
      <c r="Z39" s="266"/>
      <c r="AA39" s="266"/>
      <c r="AB39" s="266"/>
      <c r="AC39" s="266"/>
      <c r="AD39" s="266"/>
      <c r="AE39" s="266"/>
      <c r="AF39" s="266"/>
      <c r="AG39" s="216"/>
      <c r="AH39" s="216"/>
      <c r="AI39" s="216"/>
      <c r="AJ39" s="216"/>
      <c r="AK39" s="216"/>
      <c r="AL39" s="216"/>
      <c r="AM39" s="216"/>
      <c r="AN39" s="216"/>
      <c r="AO39" s="216"/>
      <c r="AP39" s="216"/>
      <c r="AQ39" s="216"/>
      <c r="AR39" s="216"/>
      <c r="AS39" s="216"/>
      <c r="AT39" s="216"/>
      <c r="AU39" s="216"/>
      <c r="AV39" s="216"/>
      <c r="AW39" s="216"/>
      <c r="AX39" s="216"/>
      <c r="AY39" s="216"/>
      <c r="AZ39" s="216"/>
      <c r="BA39" s="216"/>
      <c r="BB39" s="216"/>
      <c r="BC39" s="216"/>
      <c r="BD39" s="216"/>
      <c r="BE39" s="216"/>
      <c r="BF39" s="216"/>
      <c r="BG39" s="216"/>
      <c r="BH39" s="216"/>
      <c r="BI39" s="216"/>
      <c r="BJ39" s="216"/>
      <c r="BK39" s="216"/>
      <c r="BL39" s="216"/>
      <c r="BM39" s="216"/>
      <c r="BN39" s="216"/>
      <c r="BO39" s="216"/>
      <c r="BP39" s="216"/>
      <c r="BQ39" s="216"/>
      <c r="BR39" s="216"/>
      <c r="BS39" s="216"/>
      <c r="BT39" s="216"/>
      <c r="BU39" s="216"/>
      <c r="BV39" s="216"/>
      <c r="BW39" s="216"/>
      <c r="BX39" s="216"/>
      <c r="BY39" s="216"/>
      <c r="BZ39" s="216"/>
      <c r="CA39" s="216"/>
      <c r="CB39" s="216"/>
      <c r="CC39" s="216"/>
      <c r="CD39" s="216"/>
      <c r="CE39" s="216"/>
      <c r="CF39" s="216"/>
      <c r="CG39" s="216"/>
      <c r="CH39" s="216"/>
      <c r="CI39" s="216"/>
      <c r="CJ39" s="216"/>
      <c r="CK39" s="216"/>
      <c r="CL39" s="216"/>
      <c r="CM39" s="216"/>
      <c r="CN39" s="216"/>
      <c r="CO39" s="216"/>
      <c r="CP39" s="216"/>
      <c r="CQ39" s="216"/>
    </row>
    <row r="40" spans="1:95" ht="21.75" customHeight="1" x14ac:dyDescent="0.25">
      <c r="A40" s="201"/>
      <c r="B40" s="224" t="s">
        <v>65</v>
      </c>
      <c r="C40" s="243">
        <v>0</v>
      </c>
      <c r="D40" s="377"/>
      <c r="E40" s="377"/>
      <c r="F40" s="229"/>
      <c r="G40" s="318" t="str">
        <f t="shared" si="6"/>
        <v xml:space="preserve"> </v>
      </c>
      <c r="H40" s="200"/>
      <c r="I40" s="269"/>
      <c r="J40" s="268"/>
      <c r="K40" s="234"/>
      <c r="L40" s="268"/>
      <c r="M40" s="268"/>
      <c r="N40" s="268"/>
      <c r="O40" s="268"/>
      <c r="P40" s="269"/>
      <c r="Q40" s="269"/>
      <c r="R40" s="266"/>
      <c r="S40" s="266"/>
      <c r="T40" s="266"/>
      <c r="U40" s="266"/>
      <c r="V40" s="266"/>
      <c r="W40" s="266"/>
      <c r="X40" s="266"/>
      <c r="Y40" s="266"/>
      <c r="Z40" s="266"/>
      <c r="AA40" s="266"/>
      <c r="AB40" s="266"/>
      <c r="AC40" s="266"/>
      <c r="AD40" s="266"/>
      <c r="AE40" s="266"/>
      <c r="AF40" s="266"/>
      <c r="AG40" s="216"/>
      <c r="AH40" s="216"/>
      <c r="AI40" s="216"/>
      <c r="AJ40" s="216"/>
      <c r="AK40" s="216"/>
      <c r="AL40" s="216"/>
      <c r="AM40" s="216"/>
      <c r="AN40" s="216"/>
      <c r="AO40" s="216"/>
      <c r="AP40" s="216"/>
      <c r="AQ40" s="216"/>
      <c r="AR40" s="216"/>
      <c r="AS40" s="216"/>
      <c r="AT40" s="216"/>
      <c r="AU40" s="216"/>
      <c r="AV40" s="216"/>
      <c r="AW40" s="216"/>
      <c r="AX40" s="216"/>
      <c r="AY40" s="216"/>
      <c r="AZ40" s="216"/>
      <c r="BA40" s="216"/>
      <c r="BB40" s="216"/>
      <c r="BC40" s="216"/>
      <c r="BD40" s="216"/>
      <c r="BE40" s="216"/>
      <c r="BF40" s="216"/>
      <c r="BG40" s="216"/>
      <c r="BH40" s="216"/>
      <c r="BI40" s="216"/>
      <c r="BJ40" s="216"/>
      <c r="BK40" s="216"/>
      <c r="BL40" s="216"/>
      <c r="BM40" s="216"/>
      <c r="BN40" s="216"/>
      <c r="BO40" s="216"/>
      <c r="BP40" s="216"/>
      <c r="BQ40" s="216"/>
      <c r="BR40" s="216"/>
      <c r="BS40" s="216"/>
      <c r="BT40" s="216"/>
      <c r="BU40" s="216"/>
      <c r="BV40" s="216"/>
      <c r="BW40" s="216"/>
      <c r="BX40" s="216"/>
      <c r="BY40" s="216"/>
      <c r="BZ40" s="216"/>
      <c r="CA40" s="216"/>
      <c r="CB40" s="216"/>
      <c r="CC40" s="216"/>
      <c r="CD40" s="216"/>
      <c r="CE40" s="216"/>
      <c r="CF40" s="216"/>
      <c r="CG40" s="216"/>
      <c r="CH40" s="216"/>
      <c r="CI40" s="216"/>
      <c r="CJ40" s="216"/>
      <c r="CK40" s="216"/>
      <c r="CL40" s="216"/>
      <c r="CM40" s="216"/>
      <c r="CN40" s="216"/>
      <c r="CO40" s="216"/>
      <c r="CP40" s="216"/>
      <c r="CQ40" s="216"/>
    </row>
    <row r="41" spans="1:95" ht="21.75" customHeight="1" x14ac:dyDescent="0.25">
      <c r="A41" s="201"/>
      <c r="B41" s="224" t="s">
        <v>66</v>
      </c>
      <c r="C41" s="243">
        <v>0</v>
      </c>
      <c r="D41" s="377"/>
      <c r="E41" s="377"/>
      <c r="F41" s="227"/>
      <c r="G41" s="318" t="str">
        <f t="shared" si="6"/>
        <v xml:space="preserve"> </v>
      </c>
      <c r="H41" s="235"/>
      <c r="I41" s="227"/>
      <c r="J41" s="236"/>
      <c r="K41" s="231"/>
      <c r="L41" s="236"/>
      <c r="M41" s="236"/>
      <c r="N41" s="236"/>
      <c r="O41" s="236"/>
      <c r="P41" s="236"/>
      <c r="Q41" s="236"/>
      <c r="R41" s="236"/>
      <c r="S41" s="236"/>
      <c r="T41" s="236"/>
      <c r="U41" s="236"/>
      <c r="V41" s="236"/>
      <c r="W41" s="236"/>
      <c r="X41" s="236"/>
      <c r="Y41" s="236"/>
      <c r="Z41" s="236"/>
      <c r="AA41" s="236"/>
      <c r="AB41" s="236"/>
      <c r="AC41" s="236"/>
      <c r="AD41" s="236"/>
      <c r="AE41" s="236"/>
      <c r="AF41" s="236"/>
      <c r="AG41" s="216"/>
      <c r="AH41" s="216"/>
      <c r="AI41" s="216"/>
      <c r="AJ41" s="216"/>
      <c r="AK41" s="216"/>
      <c r="AL41" s="216"/>
      <c r="AM41" s="216"/>
      <c r="AN41" s="216"/>
      <c r="AO41" s="216"/>
      <c r="AP41" s="216"/>
      <c r="AQ41" s="216"/>
      <c r="AR41" s="216"/>
      <c r="AS41" s="216"/>
      <c r="AT41" s="216"/>
      <c r="AU41" s="216"/>
      <c r="AV41" s="216"/>
      <c r="AW41" s="216"/>
      <c r="AX41" s="216"/>
      <c r="AY41" s="216"/>
      <c r="AZ41" s="216"/>
      <c r="BA41" s="216"/>
      <c r="BB41" s="216"/>
      <c r="BC41" s="216"/>
      <c r="BD41" s="216"/>
      <c r="BE41" s="216"/>
      <c r="BF41" s="216"/>
      <c r="BG41" s="216"/>
      <c r="BH41" s="216"/>
      <c r="BI41" s="216"/>
      <c r="BJ41" s="216"/>
      <c r="BK41" s="216"/>
      <c r="BL41" s="216"/>
      <c r="BM41" s="216"/>
      <c r="BN41" s="216"/>
      <c r="BO41" s="216"/>
      <c r="BP41" s="216"/>
      <c r="BQ41" s="216"/>
      <c r="BR41" s="216"/>
      <c r="BS41" s="216"/>
      <c r="BT41" s="216"/>
      <c r="BU41" s="216"/>
      <c r="BV41" s="216"/>
      <c r="BW41" s="216"/>
      <c r="BX41" s="216"/>
      <c r="BY41" s="216"/>
      <c r="BZ41" s="216"/>
      <c r="CA41" s="216"/>
      <c r="CB41" s="216"/>
      <c r="CC41" s="216"/>
      <c r="CD41" s="216"/>
      <c r="CE41" s="216"/>
      <c r="CF41" s="216"/>
      <c r="CG41" s="216"/>
      <c r="CH41" s="216"/>
      <c r="CI41" s="216"/>
      <c r="CJ41" s="216"/>
      <c r="CK41" s="216"/>
      <c r="CL41" s="216"/>
      <c r="CM41" s="216"/>
      <c r="CN41" s="216"/>
      <c r="CO41" s="216"/>
      <c r="CP41" s="216"/>
      <c r="CQ41" s="216"/>
    </row>
    <row r="42" spans="1:95" ht="21.75" customHeight="1" x14ac:dyDescent="0.25">
      <c r="A42" s="201"/>
      <c r="B42" s="224" t="s">
        <v>67</v>
      </c>
      <c r="C42" s="199"/>
      <c r="D42" s="377"/>
      <c r="E42" s="377"/>
      <c r="F42" s="230"/>
      <c r="G42" s="318" t="str">
        <f t="shared" si="6"/>
        <v xml:space="preserve"> </v>
      </c>
      <c r="H42" s="237"/>
      <c r="I42" s="268"/>
      <c r="J42" s="238"/>
      <c r="K42" s="234"/>
      <c r="L42" s="238"/>
      <c r="M42" s="238"/>
      <c r="N42" s="319"/>
      <c r="O42" s="319"/>
      <c r="P42" s="236"/>
      <c r="Q42" s="236"/>
      <c r="R42" s="236"/>
      <c r="S42" s="236"/>
      <c r="T42" s="236"/>
      <c r="U42" s="236"/>
      <c r="V42" s="236"/>
      <c r="W42" s="236"/>
      <c r="X42" s="236"/>
      <c r="Y42" s="236"/>
      <c r="Z42" s="236"/>
      <c r="AA42" s="236"/>
      <c r="AB42" s="236"/>
      <c r="AC42" s="236"/>
      <c r="AD42" s="236"/>
      <c r="AE42" s="236"/>
      <c r="AF42" s="236"/>
      <c r="AG42" s="216"/>
      <c r="AH42" s="216"/>
      <c r="AI42" s="216"/>
      <c r="AJ42" s="216"/>
      <c r="AK42" s="216"/>
      <c r="AL42" s="216"/>
      <c r="AM42" s="216"/>
      <c r="AN42" s="216"/>
      <c r="AO42" s="216"/>
      <c r="AP42" s="216"/>
      <c r="AQ42" s="216"/>
      <c r="AR42" s="216"/>
      <c r="AS42" s="216"/>
      <c r="AT42" s="216"/>
      <c r="AU42" s="216"/>
      <c r="AV42" s="216"/>
      <c r="AW42" s="216"/>
      <c r="AX42" s="216"/>
      <c r="AY42" s="216"/>
      <c r="AZ42" s="216"/>
      <c r="BA42" s="216"/>
      <c r="BB42" s="216"/>
      <c r="BC42" s="216"/>
      <c r="BD42" s="216"/>
      <c r="BE42" s="216"/>
      <c r="BF42" s="216"/>
      <c r="BG42" s="216"/>
      <c r="BH42" s="216"/>
      <c r="BI42" s="216"/>
      <c r="BJ42" s="216"/>
      <c r="BK42" s="216"/>
      <c r="BL42" s="216"/>
      <c r="BM42" s="216"/>
      <c r="BN42" s="216"/>
      <c r="BO42" s="216"/>
      <c r="BP42" s="216"/>
      <c r="BQ42" s="216"/>
      <c r="BR42" s="216"/>
      <c r="BS42" s="216"/>
      <c r="BT42" s="216"/>
      <c r="BU42" s="216"/>
      <c r="BV42" s="216"/>
      <c r="BW42" s="216"/>
      <c r="BX42" s="216"/>
      <c r="BY42" s="216"/>
      <c r="BZ42" s="216"/>
      <c r="CA42" s="216"/>
      <c r="CB42" s="216"/>
      <c r="CC42" s="216"/>
      <c r="CD42" s="216"/>
      <c r="CE42" s="216"/>
      <c r="CF42" s="216"/>
      <c r="CG42" s="216"/>
      <c r="CH42" s="216"/>
      <c r="CI42" s="216"/>
      <c r="CJ42" s="216"/>
      <c r="CK42" s="216"/>
      <c r="CL42" s="216"/>
      <c r="CM42" s="216"/>
      <c r="CN42" s="216"/>
      <c r="CO42" s="216"/>
      <c r="CP42" s="216"/>
      <c r="CQ42" s="216"/>
    </row>
    <row r="43" spans="1:95" ht="22.5" customHeight="1" x14ac:dyDescent="0.25">
      <c r="A43" s="201">
        <v>33</v>
      </c>
      <c r="B43" s="244" t="s">
        <v>392</v>
      </c>
      <c r="C43" s="369" t="s">
        <v>394</v>
      </c>
      <c r="D43" s="377"/>
      <c r="E43" s="377"/>
      <c r="F43" s="227"/>
      <c r="G43" s="235"/>
      <c r="H43" s="235"/>
      <c r="I43" s="227"/>
      <c r="J43" s="227"/>
      <c r="K43" s="233"/>
      <c r="L43" s="227"/>
      <c r="M43" s="227"/>
      <c r="N43" s="227"/>
      <c r="O43" s="227"/>
      <c r="P43" s="227"/>
      <c r="Q43" s="227"/>
      <c r="R43" s="227"/>
      <c r="S43" s="227"/>
      <c r="T43" s="227"/>
      <c r="U43" s="227"/>
      <c r="V43" s="267"/>
      <c r="W43" s="267"/>
      <c r="X43" s="267"/>
      <c r="Y43" s="267"/>
      <c r="Z43" s="267"/>
      <c r="AA43" s="267"/>
      <c r="AB43" s="267"/>
      <c r="AC43" s="267"/>
      <c r="AD43" s="267"/>
      <c r="AE43" s="267"/>
      <c r="AF43" s="267"/>
      <c r="AG43" s="216"/>
      <c r="AH43" s="216"/>
      <c r="AI43" s="216"/>
      <c r="AJ43" s="216"/>
      <c r="AK43" s="216"/>
      <c r="AL43" s="216"/>
      <c r="AM43" s="216"/>
      <c r="AN43" s="216"/>
      <c r="AO43" s="216"/>
      <c r="AP43" s="216"/>
      <c r="AQ43" s="216"/>
      <c r="AR43" s="216"/>
      <c r="AS43" s="216"/>
      <c r="AT43" s="216"/>
      <c r="AU43" s="216"/>
      <c r="AV43" s="216"/>
      <c r="AW43" s="216"/>
      <c r="AX43" s="216"/>
      <c r="AY43" s="216"/>
      <c r="AZ43" s="216"/>
      <c r="BA43" s="216"/>
      <c r="BB43" s="216"/>
      <c r="BC43" s="216"/>
      <c r="BD43" s="216"/>
      <c r="BE43" s="216"/>
      <c r="BF43" s="216"/>
      <c r="BG43" s="216"/>
      <c r="BH43" s="216"/>
      <c r="BI43" s="216"/>
      <c r="BJ43" s="216"/>
      <c r="BK43" s="216"/>
      <c r="BL43" s="216"/>
      <c r="BM43" s="216"/>
      <c r="BN43" s="216"/>
      <c r="BO43" s="216"/>
      <c r="BP43" s="216"/>
      <c r="BQ43" s="216"/>
      <c r="BR43" s="216"/>
      <c r="BS43" s="216"/>
      <c r="BT43" s="216"/>
      <c r="BU43" s="216"/>
      <c r="BV43" s="216"/>
      <c r="BW43" s="216"/>
      <c r="BX43" s="216"/>
      <c r="BY43" s="216"/>
      <c r="BZ43" s="216"/>
      <c r="CA43" s="216"/>
      <c r="CB43" s="216"/>
      <c r="CC43" s="216"/>
      <c r="CD43" s="216"/>
      <c r="CE43" s="216"/>
      <c r="CF43" s="216"/>
      <c r="CG43" s="216"/>
      <c r="CH43" s="216"/>
      <c r="CI43" s="216"/>
      <c r="CJ43" s="216"/>
      <c r="CK43" s="216"/>
      <c r="CL43" s="216"/>
      <c r="CM43" s="216"/>
      <c r="CN43" s="216"/>
      <c r="CO43" s="216"/>
      <c r="CP43" s="216"/>
      <c r="CQ43" s="216"/>
    </row>
    <row r="44" spans="1:95" ht="22.5" customHeight="1" x14ac:dyDescent="0.25">
      <c r="A44" s="201"/>
      <c r="B44" s="224" t="s">
        <v>310</v>
      </c>
      <c r="C44" s="243">
        <v>0</v>
      </c>
      <c r="D44" s="377"/>
      <c r="E44" s="377"/>
      <c r="F44" s="230"/>
      <c r="G44" s="318" t="str">
        <f t="shared" ref="G44:G49" si="7">IF(C44=0," ","✓")</f>
        <v xml:space="preserve"> </v>
      </c>
      <c r="H44" s="237"/>
      <c r="I44" s="268"/>
      <c r="J44" s="268"/>
      <c r="K44" s="234"/>
      <c r="L44" s="268"/>
      <c r="M44" s="268"/>
      <c r="N44" s="268"/>
      <c r="O44" s="268"/>
      <c r="P44" s="268"/>
      <c r="Q44" s="268"/>
      <c r="R44" s="268"/>
      <c r="S44" s="268"/>
      <c r="T44" s="268"/>
      <c r="U44" s="268"/>
      <c r="V44" s="267"/>
      <c r="W44" s="267"/>
      <c r="X44" s="267"/>
      <c r="Y44" s="267"/>
      <c r="Z44" s="267"/>
      <c r="AA44" s="267"/>
      <c r="AB44" s="267"/>
      <c r="AC44" s="267"/>
      <c r="AD44" s="267"/>
      <c r="AE44" s="267"/>
      <c r="AF44" s="267"/>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216"/>
      <c r="BI44" s="216"/>
      <c r="BJ44" s="216"/>
      <c r="BK44" s="216"/>
      <c r="BL44" s="216"/>
      <c r="BM44" s="216"/>
      <c r="BN44" s="216"/>
      <c r="BO44" s="216"/>
      <c r="BP44" s="216"/>
      <c r="BQ44" s="216"/>
      <c r="BR44" s="216"/>
      <c r="BS44" s="216"/>
      <c r="BT44" s="216"/>
      <c r="BU44" s="216"/>
      <c r="BV44" s="216"/>
      <c r="BW44" s="216"/>
      <c r="BX44" s="216"/>
      <c r="BY44" s="216"/>
      <c r="BZ44" s="216"/>
      <c r="CA44" s="216"/>
      <c r="CB44" s="216"/>
      <c r="CC44" s="216"/>
      <c r="CD44" s="216"/>
      <c r="CE44" s="216"/>
      <c r="CF44" s="216"/>
      <c r="CG44" s="216"/>
      <c r="CH44" s="216"/>
      <c r="CI44" s="216"/>
      <c r="CJ44" s="216"/>
      <c r="CK44" s="216"/>
      <c r="CL44" s="216"/>
      <c r="CM44" s="216"/>
      <c r="CN44" s="216"/>
      <c r="CO44" s="216"/>
      <c r="CP44" s="216"/>
      <c r="CQ44" s="216"/>
    </row>
    <row r="45" spans="1:95" ht="22.5" customHeight="1" x14ac:dyDescent="0.25">
      <c r="A45" s="228"/>
      <c r="B45" s="224" t="s">
        <v>70</v>
      </c>
      <c r="C45" s="243">
        <v>0</v>
      </c>
      <c r="D45" s="377"/>
      <c r="E45" s="377"/>
      <c r="F45" s="227"/>
      <c r="G45" s="318" t="str">
        <f t="shared" si="7"/>
        <v xml:space="preserve"> </v>
      </c>
      <c r="H45" s="235"/>
      <c r="I45" s="227"/>
      <c r="J45" s="216"/>
      <c r="K45" s="234"/>
      <c r="L45" s="216"/>
      <c r="M45" s="216"/>
      <c r="N45" s="216"/>
      <c r="O45" s="216"/>
      <c r="P45" s="227"/>
      <c r="Q45" s="216"/>
      <c r="R45" s="216"/>
      <c r="S45" s="216"/>
      <c r="T45" s="216"/>
      <c r="U45" s="216"/>
      <c r="V45" s="268"/>
      <c r="W45" s="216"/>
      <c r="X45" s="216"/>
      <c r="Y45" s="227"/>
      <c r="Z45" s="269"/>
      <c r="AA45" s="216"/>
      <c r="AB45" s="216"/>
      <c r="AC45" s="227"/>
      <c r="AD45" s="227"/>
      <c r="AE45" s="227"/>
      <c r="AF45" s="227"/>
      <c r="AG45" s="216"/>
      <c r="AH45" s="216"/>
      <c r="AI45" s="216"/>
      <c r="AJ45" s="216"/>
      <c r="AK45" s="216"/>
      <c r="AL45" s="216"/>
      <c r="AM45" s="216"/>
      <c r="AN45" s="216"/>
      <c r="AO45" s="216"/>
      <c r="AP45" s="216"/>
      <c r="AQ45" s="216"/>
      <c r="AR45" s="216"/>
      <c r="AS45" s="216"/>
      <c r="AT45" s="216"/>
      <c r="AU45" s="216"/>
      <c r="AV45" s="216"/>
      <c r="AW45" s="216"/>
      <c r="AX45" s="216"/>
      <c r="AY45" s="216"/>
      <c r="AZ45" s="216"/>
      <c r="BA45" s="216"/>
      <c r="BB45" s="216"/>
      <c r="BC45" s="216"/>
      <c r="BD45" s="216"/>
      <c r="BE45" s="216"/>
      <c r="BF45" s="216"/>
      <c r="BG45" s="216"/>
      <c r="BH45" s="216"/>
      <c r="BI45" s="216"/>
      <c r="BJ45" s="216"/>
      <c r="BK45" s="216"/>
      <c r="BL45" s="216"/>
      <c r="BM45" s="216"/>
      <c r="BN45" s="216"/>
      <c r="BO45" s="216"/>
      <c r="BP45" s="216"/>
      <c r="BQ45" s="216"/>
      <c r="BR45" s="216"/>
      <c r="BS45" s="216"/>
      <c r="BT45" s="216"/>
      <c r="BU45" s="216"/>
      <c r="BV45" s="216"/>
      <c r="BW45" s="216"/>
      <c r="BX45" s="216"/>
      <c r="BY45" s="216"/>
      <c r="BZ45" s="216"/>
      <c r="CA45" s="216"/>
      <c r="CB45" s="216"/>
      <c r="CC45" s="216"/>
      <c r="CD45" s="216"/>
      <c r="CE45" s="216"/>
      <c r="CF45" s="216"/>
      <c r="CG45" s="216"/>
      <c r="CH45" s="216"/>
      <c r="CI45" s="216"/>
      <c r="CJ45" s="216"/>
      <c r="CK45" s="216"/>
      <c r="CL45" s="216"/>
      <c r="CM45" s="216"/>
      <c r="CN45" s="216"/>
      <c r="CO45" s="216"/>
      <c r="CP45" s="216"/>
      <c r="CQ45" s="216"/>
    </row>
    <row r="46" spans="1:95" ht="22.5" customHeight="1" x14ac:dyDescent="0.25">
      <c r="A46" s="201"/>
      <c r="B46" s="224" t="s">
        <v>71</v>
      </c>
      <c r="C46" s="243">
        <v>0</v>
      </c>
      <c r="D46" s="377"/>
      <c r="E46" s="377"/>
      <c r="F46" s="225"/>
      <c r="G46" s="318" t="str">
        <f t="shared" si="7"/>
        <v xml:space="preserve"> </v>
      </c>
      <c r="H46" s="320"/>
      <c r="I46" s="267"/>
      <c r="J46" s="267"/>
      <c r="K46" s="245"/>
      <c r="L46" s="267"/>
      <c r="M46" s="267"/>
      <c r="N46" s="267"/>
      <c r="O46" s="267"/>
      <c r="P46" s="267"/>
      <c r="Q46" s="267"/>
      <c r="R46" s="267"/>
      <c r="S46" s="267"/>
      <c r="T46" s="267"/>
      <c r="U46" s="267"/>
      <c r="V46" s="267"/>
      <c r="W46" s="267"/>
      <c r="X46" s="267"/>
      <c r="Y46" s="267"/>
      <c r="Z46" s="267"/>
      <c r="AA46" s="267"/>
      <c r="AB46" s="267"/>
      <c r="AC46" s="267"/>
      <c r="AD46" s="267"/>
      <c r="AE46" s="268"/>
      <c r="AF46" s="267"/>
      <c r="AG46" s="216"/>
      <c r="AH46" s="216"/>
      <c r="AI46" s="216"/>
      <c r="AJ46" s="216"/>
      <c r="AK46" s="216"/>
      <c r="AL46" s="216"/>
      <c r="AM46" s="216"/>
      <c r="AN46" s="216"/>
      <c r="AO46" s="216"/>
      <c r="AP46" s="216"/>
      <c r="AQ46" s="216"/>
      <c r="AR46" s="216"/>
      <c r="AS46" s="216"/>
      <c r="AT46" s="216"/>
      <c r="AU46" s="216"/>
      <c r="AV46" s="216"/>
      <c r="AW46" s="216"/>
      <c r="AX46" s="216"/>
      <c r="AY46" s="216"/>
      <c r="AZ46" s="216"/>
      <c r="BA46" s="216"/>
      <c r="BB46" s="216"/>
      <c r="BC46" s="216"/>
      <c r="BD46" s="216"/>
      <c r="BE46" s="216"/>
      <c r="BF46" s="216"/>
      <c r="BG46" s="216"/>
      <c r="BH46" s="216"/>
      <c r="BI46" s="216"/>
      <c r="BJ46" s="216"/>
      <c r="BK46" s="216"/>
      <c r="BL46" s="216"/>
      <c r="BM46" s="216"/>
      <c r="BN46" s="216"/>
      <c r="BO46" s="216"/>
      <c r="BP46" s="216"/>
      <c r="BQ46" s="216"/>
      <c r="BR46" s="216"/>
      <c r="BS46" s="216"/>
      <c r="BT46" s="216"/>
      <c r="BU46" s="216"/>
      <c r="BV46" s="216"/>
      <c r="BW46" s="216"/>
      <c r="BX46" s="216"/>
      <c r="BY46" s="216"/>
      <c r="BZ46" s="216"/>
      <c r="CA46" s="216"/>
      <c r="CB46" s="216"/>
      <c r="CC46" s="216"/>
      <c r="CD46" s="216"/>
      <c r="CE46" s="216"/>
      <c r="CF46" s="216"/>
      <c r="CG46" s="216"/>
      <c r="CH46" s="216"/>
      <c r="CI46" s="216"/>
      <c r="CJ46" s="216"/>
      <c r="CK46" s="216"/>
      <c r="CL46" s="216"/>
      <c r="CM46" s="216"/>
      <c r="CN46" s="216"/>
      <c r="CO46" s="216"/>
      <c r="CP46" s="216"/>
      <c r="CQ46" s="216"/>
    </row>
    <row r="47" spans="1:95" ht="22.5" customHeight="1" x14ac:dyDescent="0.25">
      <c r="A47" s="201"/>
      <c r="B47" s="113" t="s">
        <v>72</v>
      </c>
      <c r="C47" s="243">
        <v>0</v>
      </c>
      <c r="D47" s="377"/>
      <c r="E47" s="377"/>
      <c r="F47" s="227"/>
      <c r="G47" s="318" t="str">
        <f t="shared" si="7"/>
        <v xml:space="preserve"> </v>
      </c>
      <c r="H47" s="235"/>
      <c r="I47" s="227"/>
      <c r="J47" s="227"/>
      <c r="K47" s="233"/>
      <c r="L47" s="227"/>
      <c r="M47" s="227"/>
      <c r="N47" s="216"/>
      <c r="O47" s="216"/>
      <c r="P47" s="216"/>
      <c r="Q47" s="216"/>
      <c r="R47" s="227"/>
      <c r="S47" s="269"/>
      <c r="T47" s="216"/>
      <c r="U47" s="227"/>
      <c r="V47" s="269"/>
      <c r="W47" s="216"/>
      <c r="X47" s="216"/>
      <c r="Y47" s="269"/>
      <c r="Z47" s="216"/>
      <c r="AA47" s="216"/>
      <c r="AB47" s="269"/>
      <c r="AC47" s="216"/>
      <c r="AD47" s="227"/>
      <c r="AE47" s="227"/>
      <c r="AF47" s="269"/>
      <c r="AG47" s="216"/>
      <c r="AH47" s="216"/>
      <c r="AI47" s="216"/>
      <c r="AJ47" s="216"/>
      <c r="AK47" s="216"/>
      <c r="AL47" s="216"/>
      <c r="AM47" s="216"/>
      <c r="AN47" s="216"/>
      <c r="AO47" s="216"/>
      <c r="AP47" s="216"/>
      <c r="AQ47" s="216"/>
      <c r="AR47" s="216"/>
      <c r="AS47" s="216"/>
      <c r="AT47" s="216"/>
      <c r="AU47" s="216"/>
      <c r="AV47" s="216"/>
      <c r="AW47" s="216"/>
      <c r="AX47" s="216"/>
      <c r="AY47" s="216"/>
      <c r="AZ47" s="216"/>
      <c r="BA47" s="216"/>
      <c r="BB47" s="216"/>
      <c r="BC47" s="216"/>
      <c r="BD47" s="216"/>
      <c r="BE47" s="216"/>
      <c r="BF47" s="216"/>
      <c r="BG47" s="216"/>
      <c r="BH47" s="216"/>
      <c r="BI47" s="216"/>
      <c r="BJ47" s="216"/>
      <c r="BK47" s="216"/>
      <c r="BL47" s="216"/>
      <c r="BM47" s="216"/>
      <c r="BN47" s="216"/>
      <c r="BO47" s="216"/>
      <c r="BP47" s="216"/>
      <c r="BQ47" s="216"/>
      <c r="BR47" s="216"/>
      <c r="BS47" s="216"/>
      <c r="BT47" s="216"/>
      <c r="BU47" s="216"/>
      <c r="BV47" s="216"/>
      <c r="BW47" s="216"/>
      <c r="BX47" s="216"/>
      <c r="BY47" s="216"/>
      <c r="BZ47" s="216"/>
      <c r="CA47" s="216"/>
      <c r="CB47" s="216"/>
      <c r="CC47" s="216"/>
      <c r="CD47" s="216"/>
      <c r="CE47" s="216"/>
      <c r="CF47" s="216"/>
      <c r="CG47" s="216"/>
      <c r="CH47" s="216"/>
      <c r="CI47" s="216"/>
      <c r="CJ47" s="216"/>
      <c r="CK47" s="216"/>
      <c r="CL47" s="216"/>
      <c r="CM47" s="216"/>
      <c r="CN47" s="216"/>
      <c r="CO47" s="216"/>
      <c r="CP47" s="216"/>
      <c r="CQ47" s="216"/>
    </row>
    <row r="48" spans="1:95" ht="22.5" customHeight="1" x14ac:dyDescent="0.25">
      <c r="A48" s="201"/>
      <c r="B48" s="113" t="s">
        <v>311</v>
      </c>
      <c r="C48" s="243">
        <v>0</v>
      </c>
      <c r="D48" s="377"/>
      <c r="E48" s="377"/>
      <c r="F48" s="225"/>
      <c r="G48" s="318" t="str">
        <f t="shared" si="7"/>
        <v xml:space="preserve"> </v>
      </c>
      <c r="H48" s="320"/>
      <c r="I48" s="267"/>
      <c r="J48" s="267"/>
      <c r="K48" s="245"/>
      <c r="L48" s="267"/>
      <c r="M48" s="267"/>
      <c r="N48" s="267"/>
      <c r="O48" s="267"/>
      <c r="P48" s="267"/>
      <c r="Q48" s="267"/>
      <c r="R48" s="267"/>
      <c r="S48" s="267"/>
      <c r="T48" s="267"/>
      <c r="U48" s="267"/>
      <c r="V48" s="267"/>
      <c r="W48" s="267"/>
      <c r="X48" s="267"/>
      <c r="Y48" s="267"/>
      <c r="Z48" s="267"/>
      <c r="AA48" s="267"/>
      <c r="AB48" s="267"/>
      <c r="AC48" s="267"/>
      <c r="AD48" s="267"/>
      <c r="AE48" s="267"/>
      <c r="AF48" s="267"/>
      <c r="AG48" s="216"/>
      <c r="AH48" s="216"/>
      <c r="AI48" s="216"/>
      <c r="AJ48" s="216"/>
      <c r="AK48" s="216"/>
      <c r="AL48" s="216"/>
      <c r="AM48" s="216"/>
      <c r="AN48" s="216"/>
      <c r="AO48" s="216"/>
      <c r="AP48" s="216"/>
      <c r="AQ48" s="216"/>
      <c r="AR48" s="216"/>
      <c r="AS48" s="216"/>
      <c r="AT48" s="216"/>
      <c r="AU48" s="216"/>
      <c r="AV48" s="216"/>
      <c r="AW48" s="216"/>
      <c r="AX48" s="216"/>
      <c r="AY48" s="216"/>
      <c r="AZ48" s="216"/>
      <c r="BA48" s="216"/>
      <c r="BB48" s="216"/>
      <c r="BC48" s="216"/>
      <c r="BD48" s="216"/>
      <c r="BE48" s="216"/>
      <c r="BF48" s="216"/>
      <c r="BG48" s="216"/>
      <c r="BH48" s="216"/>
      <c r="BI48" s="216"/>
      <c r="BJ48" s="216"/>
      <c r="BK48" s="216"/>
      <c r="BL48" s="216"/>
      <c r="BM48" s="216"/>
      <c r="BN48" s="216"/>
      <c r="BO48" s="216"/>
      <c r="BP48" s="216"/>
      <c r="BQ48" s="216"/>
      <c r="BR48" s="216"/>
      <c r="BS48" s="216"/>
      <c r="BT48" s="216"/>
      <c r="BU48" s="216"/>
      <c r="BV48" s="216"/>
      <c r="BW48" s="216"/>
      <c r="BX48" s="216"/>
      <c r="BY48" s="216"/>
      <c r="BZ48" s="216"/>
      <c r="CA48" s="216"/>
      <c r="CB48" s="216"/>
      <c r="CC48" s="216"/>
      <c r="CD48" s="216"/>
      <c r="CE48" s="216"/>
      <c r="CF48" s="216"/>
      <c r="CG48" s="216"/>
      <c r="CH48" s="216"/>
      <c r="CI48" s="216"/>
      <c r="CJ48" s="216"/>
      <c r="CK48" s="216"/>
      <c r="CL48" s="216"/>
      <c r="CM48" s="216"/>
      <c r="CN48" s="216"/>
      <c r="CO48" s="216"/>
      <c r="CP48" s="216"/>
      <c r="CQ48" s="216"/>
    </row>
    <row r="49" spans="1:95" ht="22.5" customHeight="1" x14ac:dyDescent="0.25">
      <c r="A49" s="201"/>
      <c r="B49" s="224" t="s">
        <v>312</v>
      </c>
      <c r="C49" s="243">
        <v>0</v>
      </c>
      <c r="D49" s="377"/>
      <c r="E49" s="377"/>
      <c r="F49" s="225"/>
      <c r="G49" s="318" t="str">
        <f t="shared" si="7"/>
        <v xml:space="preserve"> </v>
      </c>
      <c r="H49" s="320"/>
      <c r="I49" s="267"/>
      <c r="J49" s="267"/>
      <c r="K49" s="245"/>
      <c r="L49" s="267"/>
      <c r="M49" s="267"/>
      <c r="N49" s="267"/>
      <c r="O49" s="267"/>
      <c r="P49" s="267"/>
      <c r="Q49" s="267"/>
      <c r="R49" s="267"/>
      <c r="S49" s="267"/>
      <c r="T49" s="267"/>
      <c r="U49" s="267"/>
      <c r="V49" s="267"/>
      <c r="W49" s="267"/>
      <c r="X49" s="267"/>
      <c r="Y49" s="267"/>
      <c r="Z49" s="267"/>
      <c r="AA49" s="267"/>
      <c r="AB49" s="267"/>
      <c r="AC49" s="267"/>
      <c r="AD49" s="267"/>
      <c r="AE49" s="267"/>
      <c r="AF49" s="267"/>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216"/>
      <c r="BI49" s="216"/>
      <c r="BJ49" s="216"/>
      <c r="BK49" s="216"/>
      <c r="BL49" s="216"/>
      <c r="BM49" s="216"/>
      <c r="BN49" s="216"/>
      <c r="BO49" s="216"/>
      <c r="BP49" s="216"/>
      <c r="BQ49" s="216"/>
      <c r="BR49" s="216"/>
      <c r="BS49" s="216"/>
      <c r="BT49" s="216"/>
      <c r="BU49" s="216"/>
      <c r="BV49" s="216"/>
      <c r="BW49" s="216"/>
      <c r="BX49" s="216"/>
      <c r="BY49" s="216"/>
      <c r="BZ49" s="216"/>
      <c r="CA49" s="216"/>
      <c r="CB49" s="216"/>
      <c r="CC49" s="216"/>
      <c r="CD49" s="216"/>
      <c r="CE49" s="216"/>
      <c r="CF49" s="216"/>
      <c r="CG49" s="216"/>
      <c r="CH49" s="216"/>
      <c r="CI49" s="216"/>
      <c r="CJ49" s="216"/>
      <c r="CK49" s="216"/>
      <c r="CL49" s="216"/>
      <c r="CM49" s="216"/>
      <c r="CN49" s="216"/>
      <c r="CO49" s="216"/>
      <c r="CP49" s="216"/>
      <c r="CQ49" s="216"/>
    </row>
    <row r="50" spans="1:95" ht="28.5" customHeight="1" x14ac:dyDescent="0.25">
      <c r="A50" s="201">
        <v>34</v>
      </c>
      <c r="B50" s="224" t="s">
        <v>75</v>
      </c>
      <c r="C50" s="255"/>
      <c r="D50" s="377"/>
      <c r="E50" s="377"/>
      <c r="F50" s="227"/>
      <c r="G50" s="227"/>
      <c r="H50" s="227"/>
      <c r="I50" s="227"/>
      <c r="J50" s="227"/>
      <c r="K50" s="217" t="str">
        <f>MID($C50,COLUMNS($C$50:C$50),1)</f>
        <v/>
      </c>
      <c r="L50" s="217" t="str">
        <f>MID($C50,COLUMNS($C$50:D$50),1)</f>
        <v/>
      </c>
      <c r="M50" s="217" t="str">
        <f>MID($C50,COLUMNS($C$50:E$50),1)</f>
        <v/>
      </c>
      <c r="N50" s="217" t="str">
        <f>MID($C50,COLUMNS($C$50:F$50),1)</f>
        <v/>
      </c>
      <c r="O50" s="217" t="str">
        <f>MID($C50,COLUMNS($C$50:G$50),1)</f>
        <v/>
      </c>
      <c r="P50" s="217" t="str">
        <f>MID($C50,COLUMNS($C$50:H$50),1)</f>
        <v/>
      </c>
      <c r="Q50" s="217" t="str">
        <f>MID($C50,COLUMNS($C$50:I$50),1)</f>
        <v/>
      </c>
      <c r="R50" s="217" t="str">
        <f>MID($C50,COLUMNS($C$50:J$50),1)</f>
        <v/>
      </c>
      <c r="S50" s="217" t="str">
        <f>MID($C50,COLUMNS($C$50:K$50),1)</f>
        <v/>
      </c>
      <c r="T50" s="217" t="str">
        <f>MID($C50,COLUMNS($C$50:L$50),1)</f>
        <v/>
      </c>
      <c r="U50" s="217" t="str">
        <f>MID($C50,COLUMNS($C$50:M$50),1)</f>
        <v/>
      </c>
      <c r="V50" s="217" t="str">
        <f>MID($C50,COLUMNS($C$50:N$50),1)</f>
        <v/>
      </c>
      <c r="W50" s="217" t="str">
        <f>MID($C50,COLUMNS($C$50:O$50),1)</f>
        <v/>
      </c>
      <c r="X50" s="217" t="str">
        <f>MID($C50,COLUMNS($C$50:P$50),1)</f>
        <v/>
      </c>
      <c r="Y50" s="217" t="str">
        <f>MID($C50,COLUMNS($C$50:Q$50),1)</f>
        <v/>
      </c>
      <c r="Z50" s="217" t="str">
        <f>MID($C50,COLUMNS($C$50:R$50),1)</f>
        <v/>
      </c>
      <c r="AA50" s="217" t="str">
        <f>MID($C50,COLUMNS($C$50:S$50),1)</f>
        <v/>
      </c>
      <c r="AB50" s="217" t="str">
        <f>MID($C50,COLUMNS($C$50:T$50),1)</f>
        <v/>
      </c>
      <c r="AC50" s="217" t="str">
        <f>MID($C50,COLUMNS($C$50:U$50),1)</f>
        <v/>
      </c>
      <c r="AD50" s="217" t="str">
        <f>MID($C50,COLUMNS($C$50:V$50),1)</f>
        <v/>
      </c>
      <c r="AE50" s="217" t="str">
        <f>MID($C50,COLUMNS($C$50:W$50),1)</f>
        <v/>
      </c>
      <c r="AF50" s="217" t="str">
        <f>MID($C50,COLUMNS($C$50:X$50),1)</f>
        <v/>
      </c>
      <c r="AG50" s="217" t="str">
        <f>MID($C50,COLUMNS($C$50:Y$50),1)</f>
        <v/>
      </c>
      <c r="AH50" s="217" t="str">
        <f>MID($C50,COLUMNS($C$50:Z$50),1)</f>
        <v/>
      </c>
      <c r="AI50" s="217" t="str">
        <f>MID($C50,COLUMNS($C$50:AA$50),1)</f>
        <v/>
      </c>
      <c r="AJ50" s="217" t="str">
        <f>MID($C50,COLUMNS($C$50:AB$50),1)</f>
        <v/>
      </c>
      <c r="AK50" s="217" t="str">
        <f>MID($C50,COLUMNS($C$50:AC$50),1)</f>
        <v/>
      </c>
      <c r="AL50" s="217" t="str">
        <f>MID($C50,COLUMNS($C$50:AD$50),1)</f>
        <v/>
      </c>
      <c r="AM50" s="217" t="str">
        <f>MID($C50,COLUMNS($C$50:AE$50),1)</f>
        <v/>
      </c>
      <c r="AN50" s="217" t="str">
        <f>MID($C50,COLUMNS($C$50:AF$50),1)</f>
        <v/>
      </c>
      <c r="AO50" s="217" t="str">
        <f>MID($C50,COLUMNS($C$50:AG$50),1)</f>
        <v/>
      </c>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row>
    <row r="51" spans="1:95" ht="28.5" customHeight="1" x14ac:dyDescent="0.25">
      <c r="A51" s="201">
        <v>35</v>
      </c>
      <c r="B51" s="113" t="s">
        <v>76</v>
      </c>
      <c r="C51" s="246"/>
      <c r="D51" s="377"/>
      <c r="E51" s="377"/>
      <c r="F51" s="216"/>
      <c r="G51" s="216"/>
      <c r="H51" s="216"/>
      <c r="I51" s="216"/>
      <c r="J51" s="216"/>
      <c r="K51" s="221">
        <f>DAY(C51)</f>
        <v>0</v>
      </c>
      <c r="L51" s="222">
        <f>MONTH(C51)</f>
        <v>1</v>
      </c>
      <c r="M51" s="222">
        <f>YEAR(C51)</f>
        <v>1900</v>
      </c>
      <c r="N51" s="216"/>
      <c r="O51" s="216"/>
      <c r="P51" s="216"/>
      <c r="Q51" s="216"/>
      <c r="R51" s="267"/>
      <c r="S51" s="269"/>
      <c r="T51" s="269"/>
      <c r="U51" s="269"/>
      <c r="V51" s="269"/>
      <c r="W51" s="269"/>
      <c r="X51" s="269"/>
      <c r="Y51" s="269"/>
      <c r="Z51" s="269"/>
      <c r="AA51" s="267"/>
      <c r="AB51" s="267"/>
      <c r="AC51" s="267"/>
      <c r="AD51" s="267"/>
      <c r="AE51" s="267"/>
      <c r="AF51" s="267"/>
      <c r="AG51" s="216"/>
      <c r="AH51" s="216"/>
      <c r="AI51" s="216"/>
      <c r="AJ51" s="216"/>
      <c r="AK51" s="216"/>
      <c r="AL51" s="216"/>
      <c r="AM51" s="216"/>
      <c r="AN51" s="216"/>
      <c r="AO51" s="216"/>
      <c r="AP51" s="216"/>
      <c r="AQ51" s="216"/>
      <c r="AR51" s="216"/>
      <c r="AS51" s="216"/>
      <c r="AT51" s="216"/>
      <c r="AU51" s="216"/>
      <c r="AV51" s="216"/>
      <c r="AW51" s="216"/>
      <c r="AX51" s="216"/>
      <c r="AY51" s="216"/>
      <c r="AZ51" s="216"/>
      <c r="BA51" s="216"/>
      <c r="BB51" s="216"/>
      <c r="BC51" s="216"/>
      <c r="BD51" s="216"/>
      <c r="BE51" s="216"/>
      <c r="BF51" s="216"/>
      <c r="BG51" s="216"/>
      <c r="BH51" s="216"/>
      <c r="BI51" s="216"/>
      <c r="BJ51" s="216"/>
      <c r="BK51" s="216"/>
      <c r="BL51" s="216"/>
      <c r="BM51" s="216"/>
      <c r="BN51" s="216"/>
      <c r="BO51" s="216"/>
      <c r="BP51" s="216"/>
      <c r="BQ51" s="216"/>
      <c r="BR51" s="216"/>
      <c r="BS51" s="216"/>
      <c r="BT51" s="216"/>
      <c r="BU51" s="216"/>
      <c r="BV51" s="216"/>
      <c r="BW51" s="216"/>
      <c r="BX51" s="216"/>
      <c r="BY51" s="216"/>
      <c r="BZ51" s="216"/>
      <c r="CA51" s="216"/>
      <c r="CB51" s="216"/>
      <c r="CC51" s="216"/>
      <c r="CD51" s="216"/>
      <c r="CE51" s="216"/>
      <c r="CF51" s="216"/>
      <c r="CG51" s="216"/>
      <c r="CH51" s="216"/>
      <c r="CI51" s="216"/>
      <c r="CJ51" s="216"/>
      <c r="CK51" s="216"/>
      <c r="CL51" s="216"/>
      <c r="CM51" s="216"/>
      <c r="CN51" s="216"/>
      <c r="CO51" s="216"/>
      <c r="CP51" s="216"/>
      <c r="CQ51" s="216"/>
    </row>
    <row r="52" spans="1:95" ht="8.25" customHeight="1" x14ac:dyDescent="0.25">
      <c r="A52" s="384"/>
      <c r="B52" s="384"/>
      <c r="C52" s="384"/>
      <c r="D52" s="384"/>
      <c r="E52" s="384"/>
      <c r="F52" s="216"/>
      <c r="G52" s="216"/>
      <c r="H52" s="216"/>
      <c r="I52" s="216"/>
      <c r="J52" s="216"/>
      <c r="K52" s="221"/>
      <c r="L52" s="222"/>
      <c r="M52" s="222"/>
      <c r="N52" s="216"/>
      <c r="O52" s="216"/>
      <c r="P52" s="216"/>
      <c r="Q52" s="216"/>
      <c r="R52" s="267"/>
      <c r="S52" s="269"/>
      <c r="T52" s="269"/>
      <c r="U52" s="269"/>
      <c r="V52" s="269"/>
      <c r="W52" s="269"/>
      <c r="X52" s="269"/>
      <c r="Y52" s="269"/>
      <c r="Z52" s="269"/>
      <c r="AA52" s="267"/>
      <c r="AB52" s="267"/>
      <c r="AC52" s="267"/>
      <c r="AD52" s="267"/>
      <c r="AE52" s="267"/>
      <c r="AF52" s="267"/>
      <c r="AG52" s="216"/>
      <c r="AH52" s="216"/>
      <c r="AI52" s="216"/>
      <c r="AJ52" s="216"/>
      <c r="AK52" s="216"/>
      <c r="AL52" s="216"/>
      <c r="AM52" s="216"/>
      <c r="AN52" s="216"/>
      <c r="AO52" s="216"/>
      <c r="AP52" s="216"/>
      <c r="AQ52" s="216"/>
      <c r="AR52" s="216"/>
      <c r="AS52" s="216"/>
      <c r="AT52" s="216"/>
      <c r="AU52" s="216"/>
      <c r="AV52" s="216"/>
      <c r="AW52" s="216"/>
      <c r="AX52" s="216"/>
      <c r="AY52" s="216"/>
      <c r="AZ52" s="216"/>
      <c r="BA52" s="216"/>
      <c r="BB52" s="216"/>
      <c r="BC52" s="216"/>
      <c r="BD52" s="216"/>
      <c r="BE52" s="216"/>
      <c r="BF52" s="216"/>
      <c r="BG52" s="216"/>
      <c r="BH52" s="216"/>
      <c r="BI52" s="216"/>
      <c r="BJ52" s="216"/>
      <c r="BK52" s="216"/>
      <c r="BL52" s="216"/>
      <c r="BM52" s="216"/>
      <c r="BN52" s="216"/>
      <c r="BO52" s="216"/>
      <c r="BP52" s="216"/>
      <c r="BQ52" s="216"/>
      <c r="BR52" s="216"/>
      <c r="BS52" s="216"/>
      <c r="BT52" s="216"/>
      <c r="BU52" s="216"/>
      <c r="BV52" s="216"/>
      <c r="BW52" s="216"/>
      <c r="BX52" s="216"/>
      <c r="BY52" s="216"/>
      <c r="BZ52" s="216"/>
      <c r="CA52" s="216"/>
      <c r="CB52" s="216"/>
      <c r="CC52" s="216"/>
      <c r="CD52" s="216"/>
      <c r="CE52" s="216"/>
      <c r="CF52" s="216"/>
      <c r="CG52" s="216"/>
      <c r="CH52" s="216"/>
      <c r="CI52" s="216"/>
      <c r="CJ52" s="216"/>
      <c r="CK52" s="216"/>
      <c r="CL52" s="216"/>
      <c r="CM52" s="216"/>
      <c r="CN52" s="216"/>
      <c r="CO52" s="216"/>
      <c r="CP52" s="216"/>
      <c r="CQ52" s="216"/>
    </row>
    <row r="53" spans="1:95" ht="20.25" customHeight="1" x14ac:dyDescent="0.25">
      <c r="A53" s="201">
        <v>36</v>
      </c>
      <c r="B53" s="385" t="s">
        <v>387</v>
      </c>
      <c r="C53" s="385"/>
      <c r="D53" s="385"/>
      <c r="E53" s="385"/>
      <c r="F53" s="216"/>
      <c r="G53" s="216"/>
      <c r="H53" s="216"/>
      <c r="I53" s="216"/>
      <c r="J53" s="216"/>
      <c r="K53" s="216"/>
      <c r="L53" s="267"/>
      <c r="M53" s="267"/>
      <c r="N53" s="267"/>
      <c r="O53" s="267"/>
      <c r="P53" s="267"/>
      <c r="Q53" s="267"/>
      <c r="R53" s="267"/>
      <c r="S53" s="267"/>
      <c r="T53" s="267"/>
      <c r="U53" s="267"/>
      <c r="V53" s="267"/>
      <c r="W53" s="267"/>
      <c r="X53" s="267"/>
      <c r="Y53" s="267"/>
      <c r="Z53" s="267"/>
      <c r="AA53" s="267"/>
      <c r="AB53" s="267"/>
      <c r="AC53" s="267"/>
      <c r="AD53" s="267"/>
      <c r="AE53" s="267"/>
      <c r="AF53" s="267"/>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216"/>
      <c r="BM53" s="216"/>
      <c r="BN53" s="216"/>
      <c r="BO53" s="216"/>
      <c r="BP53" s="216"/>
      <c r="BQ53" s="216"/>
      <c r="BR53" s="216"/>
      <c r="BS53" s="216"/>
      <c r="BT53" s="216"/>
      <c r="BU53" s="216"/>
      <c r="BV53" s="216"/>
      <c r="BW53" s="216"/>
      <c r="BX53" s="216"/>
      <c r="BY53" s="216"/>
      <c r="BZ53" s="216"/>
      <c r="CA53" s="216"/>
      <c r="CB53" s="216"/>
      <c r="CC53" s="216"/>
      <c r="CD53" s="216"/>
      <c r="CE53" s="216"/>
      <c r="CF53" s="216"/>
      <c r="CG53" s="216"/>
      <c r="CH53" s="216"/>
      <c r="CI53" s="216"/>
      <c r="CJ53" s="216"/>
      <c r="CK53" s="216"/>
      <c r="CL53" s="216"/>
      <c r="CM53" s="216"/>
      <c r="CN53" s="216"/>
      <c r="CO53" s="216"/>
      <c r="CP53" s="216"/>
      <c r="CQ53" s="216"/>
    </row>
    <row r="54" spans="1:95" ht="38.25" x14ac:dyDescent="0.25">
      <c r="A54" s="250" t="s">
        <v>139</v>
      </c>
      <c r="B54" s="248" t="s">
        <v>78</v>
      </c>
      <c r="C54" s="248" t="s">
        <v>79</v>
      </c>
      <c r="D54" s="248" t="s">
        <v>80</v>
      </c>
      <c r="E54" s="248" t="s">
        <v>81</v>
      </c>
      <c r="F54" s="249" t="s">
        <v>82</v>
      </c>
      <c r="G54" s="227"/>
      <c r="H54" s="227"/>
      <c r="I54" s="227"/>
      <c r="J54" s="216"/>
      <c r="K54" s="233"/>
      <c r="L54" s="227"/>
      <c r="M54" s="227"/>
      <c r="N54" s="227"/>
      <c r="O54" s="216"/>
      <c r="P54" s="216"/>
      <c r="Q54" s="216"/>
      <c r="R54" s="216"/>
      <c r="S54" s="216"/>
      <c r="T54" s="227"/>
      <c r="U54" s="227"/>
      <c r="V54" s="227"/>
      <c r="W54" s="227"/>
      <c r="X54" s="227"/>
      <c r="Y54" s="227"/>
      <c r="Z54" s="227"/>
      <c r="AA54" s="216"/>
      <c r="AB54" s="227"/>
      <c r="AC54" s="227"/>
      <c r="AD54" s="216"/>
      <c r="AE54" s="227"/>
      <c r="AF54" s="227"/>
      <c r="AG54" s="216"/>
      <c r="AH54" s="216"/>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216"/>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row>
    <row r="55" spans="1:95" ht="23.25" customHeight="1" x14ac:dyDescent="0.25">
      <c r="A55" s="228">
        <v>1</v>
      </c>
      <c r="B55" s="256"/>
      <c r="C55" s="256"/>
      <c r="D55" s="246"/>
      <c r="E55" s="256"/>
      <c r="F55" s="257"/>
      <c r="H55" s="318" t="str">
        <f>IF(B55&lt;=0," ",B55)</f>
        <v xml:space="preserve"> </v>
      </c>
      <c r="I55" s="318" t="str">
        <f>IF(C55&lt;=0," ",C55)</f>
        <v xml:space="preserve"> </v>
      </c>
      <c r="J55" s="338" t="str">
        <f>IF(D55&lt;=0," ",D55)</f>
        <v xml:space="preserve"> </v>
      </c>
      <c r="K55" s="318" t="str">
        <f>IF(E55&lt;=0," ",E55)</f>
        <v xml:space="preserve"> </v>
      </c>
      <c r="L55" s="318" t="str">
        <f>IF(F55&lt;=0," ",F55)</f>
        <v xml:space="preserve"> </v>
      </c>
      <c r="M55" s="227"/>
      <c r="N55" s="227"/>
      <c r="O55" s="375"/>
      <c r="P55" s="375"/>
      <c r="Q55" s="375"/>
      <c r="R55" s="375"/>
      <c r="S55" s="269"/>
      <c r="T55" s="269"/>
      <c r="U55" s="269"/>
      <c r="V55" s="269"/>
      <c r="W55" s="269"/>
      <c r="X55" s="269"/>
      <c r="Y55" s="269"/>
      <c r="Z55" s="269"/>
      <c r="AA55" s="376"/>
      <c r="AB55" s="376"/>
      <c r="AC55" s="376"/>
      <c r="AD55" s="376"/>
      <c r="AE55" s="376"/>
      <c r="AF55" s="376"/>
      <c r="AG55" s="216"/>
      <c r="AH55" s="216"/>
      <c r="AI55" s="216"/>
      <c r="AJ55" s="216"/>
      <c r="AK55" s="216"/>
      <c r="AL55" s="216"/>
      <c r="AM55" s="216"/>
      <c r="AN55" s="216"/>
      <c r="AO55" s="216"/>
      <c r="AP55" s="216"/>
      <c r="AQ55" s="216"/>
      <c r="AR55" s="216"/>
      <c r="AS55" s="216"/>
      <c r="AT55" s="216"/>
      <c r="AU55" s="216"/>
      <c r="AV55" s="216"/>
      <c r="AW55" s="216"/>
      <c r="AX55" s="216"/>
      <c r="AY55" s="216"/>
      <c r="AZ55" s="216"/>
      <c r="BA55" s="216"/>
      <c r="BB55" s="216"/>
      <c r="BC55" s="216"/>
      <c r="BD55" s="216"/>
      <c r="BE55" s="216"/>
      <c r="BF55" s="216"/>
      <c r="BG55" s="216"/>
      <c r="BH55" s="216"/>
      <c r="BI55" s="216"/>
      <c r="BJ55" s="216"/>
      <c r="BK55" s="216"/>
      <c r="BL55" s="216"/>
      <c r="BM55" s="216"/>
      <c r="BN55" s="216"/>
      <c r="BO55" s="216"/>
      <c r="BP55" s="216"/>
      <c r="BQ55" s="216"/>
      <c r="BR55" s="216"/>
      <c r="BS55" s="216"/>
      <c r="BT55" s="216"/>
      <c r="BU55" s="216"/>
      <c r="BV55" s="216"/>
      <c r="BW55" s="216"/>
      <c r="BX55" s="216"/>
      <c r="BY55" s="216"/>
      <c r="BZ55" s="216"/>
      <c r="CA55" s="216"/>
      <c r="CB55" s="216"/>
      <c r="CC55" s="216"/>
      <c r="CD55" s="216"/>
      <c r="CE55" s="216"/>
      <c r="CF55" s="216"/>
      <c r="CG55" s="216"/>
      <c r="CH55" s="216"/>
      <c r="CI55" s="216"/>
      <c r="CJ55" s="216"/>
      <c r="CK55" s="216"/>
      <c r="CL55" s="216"/>
      <c r="CM55" s="216"/>
      <c r="CN55" s="216"/>
      <c r="CO55" s="216"/>
      <c r="CP55" s="216"/>
      <c r="CQ55" s="216"/>
    </row>
    <row r="56" spans="1:95" ht="23.25" customHeight="1" x14ac:dyDescent="0.25">
      <c r="A56" s="228">
        <v>2</v>
      </c>
      <c r="B56" s="256"/>
      <c r="C56" s="256"/>
      <c r="D56" s="258"/>
      <c r="E56" s="256"/>
      <c r="F56" s="257"/>
      <c r="G56" s="227"/>
      <c r="H56" s="318" t="str">
        <f t="shared" ref="H56:H58" si="8">IF(B56&lt;=0," ",B56)</f>
        <v xml:space="preserve"> </v>
      </c>
      <c r="I56" s="318" t="str">
        <f t="shared" ref="I56:J61" si="9">IF(C56&lt;=0," ",C56)</f>
        <v xml:space="preserve"> </v>
      </c>
      <c r="J56" s="338" t="str">
        <f t="shared" ref="J56:J58" si="10">IF(D56&lt;=0," ",D56)</f>
        <v xml:space="preserve"> </v>
      </c>
      <c r="K56" s="318" t="str">
        <f t="shared" ref="K56:K58" si="11">IF(E56&lt;=0," ",E56)</f>
        <v xml:space="preserve"> </v>
      </c>
      <c r="L56" s="318" t="str">
        <f t="shared" ref="L56:L58" si="12">IF(F56&lt;=0," ",F56)</f>
        <v xml:space="preserve"> </v>
      </c>
      <c r="M56" s="227"/>
      <c r="N56" s="227"/>
      <c r="O56" s="375"/>
      <c r="P56" s="375"/>
      <c r="Q56" s="375"/>
      <c r="R56" s="375"/>
      <c r="S56" s="269"/>
      <c r="T56" s="269"/>
      <c r="U56" s="269"/>
      <c r="V56" s="269"/>
      <c r="W56" s="269"/>
      <c r="X56" s="269"/>
      <c r="Y56" s="269"/>
      <c r="Z56" s="269"/>
      <c r="AA56" s="376"/>
      <c r="AB56" s="376"/>
      <c r="AC56" s="376"/>
      <c r="AD56" s="376"/>
      <c r="AE56" s="376"/>
      <c r="AF56" s="376"/>
      <c r="AG56" s="216"/>
      <c r="AH56" s="216"/>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216"/>
      <c r="BF56" s="216"/>
      <c r="BG56" s="216"/>
      <c r="BH56" s="216"/>
      <c r="BI56" s="216"/>
      <c r="BJ56" s="216"/>
      <c r="BK56" s="216"/>
      <c r="BL56" s="216"/>
      <c r="BM56" s="216"/>
      <c r="BN56" s="216"/>
      <c r="BO56" s="216"/>
      <c r="BP56" s="216"/>
      <c r="BQ56" s="216"/>
      <c r="BR56" s="216"/>
      <c r="BS56" s="216"/>
      <c r="BT56" s="216"/>
      <c r="BU56" s="216"/>
      <c r="BV56" s="216"/>
      <c r="BW56" s="216"/>
      <c r="BX56" s="216"/>
      <c r="BY56" s="216"/>
      <c r="BZ56" s="216"/>
      <c r="CA56" s="216"/>
      <c r="CB56" s="216"/>
      <c r="CC56" s="216"/>
      <c r="CD56" s="216"/>
      <c r="CE56" s="216"/>
      <c r="CF56" s="216"/>
      <c r="CG56" s="216"/>
      <c r="CH56" s="216"/>
      <c r="CI56" s="216"/>
      <c r="CJ56" s="216"/>
      <c r="CK56" s="216"/>
      <c r="CL56" s="216"/>
      <c r="CM56" s="216"/>
      <c r="CN56" s="216"/>
      <c r="CO56" s="216"/>
      <c r="CP56" s="216"/>
      <c r="CQ56" s="216"/>
    </row>
    <row r="57" spans="1:95" ht="23.25" customHeight="1" x14ac:dyDescent="0.25">
      <c r="A57" s="228">
        <v>3</v>
      </c>
      <c r="B57" s="256"/>
      <c r="C57" s="256"/>
      <c r="D57" s="258"/>
      <c r="E57" s="256"/>
      <c r="F57" s="257"/>
      <c r="G57" s="227"/>
      <c r="H57" s="318" t="str">
        <f t="shared" si="8"/>
        <v xml:space="preserve"> </v>
      </c>
      <c r="I57" s="318" t="str">
        <f t="shared" si="9"/>
        <v xml:space="preserve"> </v>
      </c>
      <c r="J57" s="338" t="str">
        <f t="shared" si="10"/>
        <v xml:space="preserve"> </v>
      </c>
      <c r="K57" s="318" t="str">
        <f t="shared" si="11"/>
        <v xml:space="preserve"> </v>
      </c>
      <c r="L57" s="318" t="str">
        <f t="shared" si="12"/>
        <v xml:space="preserve"> </v>
      </c>
      <c r="M57" s="227"/>
      <c r="N57" s="227"/>
      <c r="O57" s="375"/>
      <c r="P57" s="375"/>
      <c r="Q57" s="375"/>
      <c r="R57" s="375"/>
      <c r="S57" s="269"/>
      <c r="T57" s="269"/>
      <c r="U57" s="269"/>
      <c r="V57" s="269"/>
      <c r="W57" s="269"/>
      <c r="X57" s="269"/>
      <c r="Y57" s="269"/>
      <c r="Z57" s="269"/>
      <c r="AA57" s="376"/>
      <c r="AB57" s="376"/>
      <c r="AC57" s="376"/>
      <c r="AD57" s="376"/>
      <c r="AE57" s="376"/>
      <c r="AF57" s="376"/>
      <c r="AG57" s="216"/>
      <c r="AH57" s="216"/>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216"/>
      <c r="BF57" s="216"/>
      <c r="BG57" s="216"/>
      <c r="BH57" s="216"/>
      <c r="BI57" s="216"/>
      <c r="BJ57" s="216"/>
      <c r="BK57" s="216"/>
      <c r="BL57" s="216"/>
      <c r="BM57" s="216"/>
      <c r="BN57" s="216"/>
      <c r="BO57" s="216"/>
      <c r="BP57" s="216"/>
      <c r="BQ57" s="216"/>
      <c r="BR57" s="216"/>
      <c r="BS57" s="216"/>
      <c r="BT57" s="216"/>
      <c r="BU57" s="216"/>
      <c r="BV57" s="216"/>
      <c r="BW57" s="216"/>
      <c r="BX57" s="216"/>
      <c r="BY57" s="216"/>
      <c r="BZ57" s="216"/>
      <c r="CA57" s="216"/>
      <c r="CB57" s="216"/>
      <c r="CC57" s="216"/>
      <c r="CD57" s="216"/>
      <c r="CE57" s="216"/>
      <c r="CF57" s="216"/>
      <c r="CG57" s="216"/>
      <c r="CH57" s="216"/>
      <c r="CI57" s="216"/>
      <c r="CJ57" s="216"/>
      <c r="CK57" s="216"/>
      <c r="CL57" s="216"/>
      <c r="CM57" s="216"/>
      <c r="CN57" s="216"/>
      <c r="CO57" s="216"/>
      <c r="CP57" s="216"/>
      <c r="CQ57" s="216"/>
    </row>
    <row r="58" spans="1:95" ht="23.25" customHeight="1" x14ac:dyDescent="0.25">
      <c r="A58" s="228">
        <v>4</v>
      </c>
      <c r="B58" s="256"/>
      <c r="C58" s="256"/>
      <c r="D58" s="258"/>
      <c r="E58" s="256"/>
      <c r="F58" s="257"/>
      <c r="G58" s="227"/>
      <c r="H58" s="318" t="str">
        <f t="shared" si="8"/>
        <v xml:space="preserve"> </v>
      </c>
      <c r="I58" s="318" t="str">
        <f t="shared" si="9"/>
        <v xml:space="preserve"> </v>
      </c>
      <c r="J58" s="338" t="str">
        <f t="shared" si="10"/>
        <v xml:space="preserve"> </v>
      </c>
      <c r="K58" s="318" t="str">
        <f t="shared" si="11"/>
        <v xml:space="preserve"> </v>
      </c>
      <c r="L58" s="318" t="str">
        <f t="shared" si="12"/>
        <v xml:space="preserve"> </v>
      </c>
      <c r="M58" s="227"/>
      <c r="N58" s="227"/>
      <c r="O58" s="375"/>
      <c r="P58" s="375"/>
      <c r="Q58" s="375"/>
      <c r="R58" s="375"/>
      <c r="S58" s="269"/>
      <c r="T58" s="269"/>
      <c r="U58" s="269"/>
      <c r="V58" s="269"/>
      <c r="W58" s="269"/>
      <c r="X58" s="269"/>
      <c r="Y58" s="269"/>
      <c r="Z58" s="269"/>
      <c r="AA58" s="376"/>
      <c r="AB58" s="376"/>
      <c r="AC58" s="376"/>
      <c r="AD58" s="376"/>
      <c r="AE58" s="376"/>
      <c r="AF58" s="376"/>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216"/>
      <c r="BM58" s="216"/>
      <c r="BN58" s="216"/>
      <c r="BO58" s="216"/>
      <c r="BP58" s="216"/>
      <c r="BQ58" s="216"/>
      <c r="BR58" s="216"/>
      <c r="BS58" s="216"/>
      <c r="BT58" s="216"/>
      <c r="BU58" s="216"/>
      <c r="BV58" s="216"/>
      <c r="BW58" s="216"/>
      <c r="BX58" s="216"/>
      <c r="BY58" s="216"/>
      <c r="BZ58" s="216"/>
      <c r="CA58" s="216"/>
      <c r="CB58" s="216"/>
      <c r="CC58" s="216"/>
      <c r="CD58" s="216"/>
      <c r="CE58" s="216"/>
      <c r="CF58" s="216"/>
      <c r="CG58" s="216"/>
      <c r="CH58" s="216"/>
      <c r="CI58" s="216"/>
      <c r="CJ58" s="216"/>
      <c r="CK58" s="216"/>
      <c r="CL58" s="216"/>
      <c r="CM58" s="216"/>
      <c r="CN58" s="216"/>
      <c r="CO58" s="216"/>
      <c r="CP58" s="216"/>
      <c r="CQ58" s="216"/>
    </row>
    <row r="59" spans="1:95" ht="8.25" customHeight="1" x14ac:dyDescent="0.25">
      <c r="A59" s="383"/>
      <c r="B59" s="383"/>
      <c r="C59" s="383"/>
      <c r="D59" s="383"/>
      <c r="E59" s="383"/>
      <c r="F59" s="227"/>
      <c r="G59" s="227"/>
      <c r="H59" s="339"/>
      <c r="I59" s="339"/>
      <c r="J59" s="340"/>
      <c r="K59" s="339"/>
      <c r="L59" s="339"/>
      <c r="M59" s="227"/>
      <c r="N59" s="227"/>
      <c r="O59" s="268"/>
      <c r="P59" s="268"/>
      <c r="Q59" s="268"/>
      <c r="R59" s="268"/>
      <c r="S59" s="269"/>
      <c r="T59" s="269"/>
      <c r="U59" s="269"/>
      <c r="V59" s="269"/>
      <c r="W59" s="269"/>
      <c r="X59" s="269"/>
      <c r="Y59" s="269"/>
      <c r="Z59" s="269"/>
      <c r="AA59" s="269"/>
      <c r="AB59" s="269"/>
      <c r="AC59" s="269"/>
      <c r="AD59" s="269"/>
      <c r="AE59" s="269"/>
      <c r="AF59" s="269"/>
      <c r="AG59" s="216"/>
      <c r="AH59" s="216"/>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216"/>
      <c r="BI59" s="216"/>
      <c r="BJ59" s="216"/>
      <c r="BK59" s="216"/>
      <c r="BL59" s="216"/>
      <c r="BM59" s="216"/>
      <c r="BN59" s="216"/>
      <c r="BO59" s="216"/>
      <c r="BP59" s="216"/>
      <c r="BQ59" s="216"/>
      <c r="BR59" s="216"/>
      <c r="BS59" s="216"/>
      <c r="BT59" s="216"/>
      <c r="BU59" s="216"/>
      <c r="BV59" s="216"/>
      <c r="BW59" s="216"/>
      <c r="BX59" s="216"/>
      <c r="BY59" s="216"/>
      <c r="BZ59" s="216"/>
      <c r="CA59" s="216"/>
      <c r="CB59" s="216"/>
      <c r="CC59" s="216"/>
      <c r="CD59" s="216"/>
      <c r="CE59" s="216"/>
      <c r="CF59" s="216"/>
      <c r="CG59" s="216"/>
      <c r="CH59" s="216"/>
      <c r="CI59" s="216"/>
      <c r="CJ59" s="216"/>
      <c r="CK59" s="216"/>
      <c r="CL59" s="216"/>
      <c r="CM59" s="216"/>
      <c r="CN59" s="216"/>
      <c r="CO59" s="216"/>
      <c r="CP59" s="216"/>
      <c r="CQ59" s="216"/>
    </row>
    <row r="60" spans="1:95" ht="21.75" customHeight="1" x14ac:dyDescent="0.25">
      <c r="A60" s="215">
        <v>37</v>
      </c>
      <c r="B60" s="251" t="s">
        <v>83</v>
      </c>
      <c r="C60" s="251" t="s">
        <v>84</v>
      </c>
      <c r="D60" s="252" t="s">
        <v>85</v>
      </c>
      <c r="E60" s="386"/>
      <c r="F60" s="216"/>
      <c r="G60" s="216"/>
      <c r="H60" s="216"/>
      <c r="I60" s="216"/>
      <c r="J60" s="216"/>
      <c r="K60" s="217"/>
      <c r="L60" s="216"/>
      <c r="M60" s="216"/>
      <c r="N60" s="267"/>
      <c r="O60" s="216"/>
      <c r="P60" s="267"/>
      <c r="Q60" s="267"/>
      <c r="R60" s="267"/>
      <c r="S60" s="267"/>
      <c r="T60" s="267"/>
      <c r="U60" s="216"/>
      <c r="V60" s="266"/>
      <c r="W60" s="267"/>
      <c r="X60" s="267"/>
      <c r="Y60" s="267"/>
      <c r="Z60" s="267"/>
      <c r="AA60" s="267"/>
      <c r="AB60" s="267"/>
      <c r="AC60" s="267"/>
      <c r="AD60" s="267"/>
      <c r="AE60" s="267"/>
      <c r="AF60" s="267"/>
      <c r="AG60" s="216"/>
      <c r="AH60" s="216"/>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216"/>
      <c r="BI60" s="216"/>
      <c r="BJ60" s="216"/>
      <c r="BK60" s="216"/>
      <c r="BL60" s="216"/>
      <c r="BM60" s="216"/>
      <c r="BN60" s="216"/>
      <c r="BO60" s="216"/>
      <c r="BP60" s="216"/>
      <c r="BQ60" s="216"/>
      <c r="BR60" s="216"/>
      <c r="BS60" s="216"/>
      <c r="BT60" s="216"/>
      <c r="BU60" s="216"/>
      <c r="BV60" s="216"/>
      <c r="BW60" s="216"/>
      <c r="BX60" s="216"/>
      <c r="BY60" s="216"/>
      <c r="BZ60" s="216"/>
      <c r="CA60" s="216"/>
      <c r="CB60" s="216"/>
      <c r="CC60" s="216"/>
      <c r="CD60" s="216"/>
      <c r="CE60" s="216"/>
      <c r="CF60" s="216"/>
      <c r="CG60" s="216"/>
      <c r="CH60" s="216"/>
      <c r="CI60" s="216"/>
      <c r="CJ60" s="216"/>
      <c r="CK60" s="216"/>
      <c r="CL60" s="216"/>
      <c r="CM60" s="216"/>
      <c r="CN60" s="216"/>
      <c r="CO60" s="216"/>
      <c r="CP60" s="216"/>
      <c r="CQ60" s="216"/>
    </row>
    <row r="61" spans="1:95" ht="25.5" customHeight="1" x14ac:dyDescent="0.25">
      <c r="A61" s="201" t="s">
        <v>170</v>
      </c>
      <c r="B61" s="113" t="s">
        <v>86</v>
      </c>
      <c r="C61" s="246"/>
      <c r="D61" s="246"/>
      <c r="E61" s="386"/>
      <c r="F61" s="216"/>
      <c r="G61" s="267"/>
      <c r="H61" s="267"/>
      <c r="I61" s="341" t="str">
        <f t="shared" si="9"/>
        <v xml:space="preserve"> </v>
      </c>
      <c r="J61" s="341" t="str">
        <f t="shared" si="9"/>
        <v xml:space="preserve"> </v>
      </c>
      <c r="K61" s="217"/>
      <c r="L61" s="216"/>
      <c r="M61" s="269"/>
      <c r="N61" s="269"/>
      <c r="O61" s="269"/>
      <c r="P61" s="269"/>
      <c r="Q61" s="269"/>
      <c r="R61" s="269"/>
      <c r="S61" s="269"/>
      <c r="T61" s="269"/>
      <c r="U61" s="269"/>
      <c r="V61" s="269"/>
      <c r="W61" s="269"/>
      <c r="X61" s="269"/>
      <c r="Y61" s="269"/>
      <c r="Z61" s="269"/>
      <c r="AA61" s="269"/>
      <c r="AB61" s="269"/>
      <c r="AC61" s="267"/>
      <c r="AD61" s="267"/>
      <c r="AE61" s="267"/>
      <c r="AF61" s="267"/>
      <c r="AG61" s="216"/>
      <c r="AH61" s="216"/>
      <c r="AI61" s="216"/>
      <c r="AJ61" s="216"/>
      <c r="AK61" s="216"/>
      <c r="AL61" s="216"/>
      <c r="AM61" s="216"/>
      <c r="AN61" s="216"/>
      <c r="AO61" s="216"/>
      <c r="AP61" s="216"/>
      <c r="AQ61" s="216"/>
      <c r="AR61" s="216"/>
      <c r="AS61" s="216"/>
      <c r="AT61" s="216"/>
      <c r="AU61" s="216"/>
      <c r="AV61" s="216"/>
      <c r="AW61" s="216"/>
      <c r="AX61" s="216"/>
      <c r="AY61" s="216"/>
      <c r="AZ61" s="216"/>
      <c r="BA61" s="216"/>
      <c r="BB61" s="216"/>
      <c r="BC61" s="216"/>
      <c r="BD61" s="216"/>
      <c r="BE61" s="216"/>
      <c r="BF61" s="216"/>
      <c r="BG61" s="216"/>
      <c r="BH61" s="216"/>
      <c r="BI61" s="216"/>
      <c r="BJ61" s="216"/>
      <c r="BK61" s="216"/>
      <c r="BL61" s="216"/>
      <c r="BM61" s="216"/>
      <c r="BN61" s="216"/>
      <c r="BO61" s="216"/>
      <c r="BP61" s="216"/>
      <c r="BQ61" s="216"/>
      <c r="BR61" s="216"/>
      <c r="BS61" s="216"/>
      <c r="BT61" s="216"/>
      <c r="BU61" s="216"/>
      <c r="BV61" s="216"/>
      <c r="BW61" s="216"/>
      <c r="BX61" s="216"/>
      <c r="BY61" s="216"/>
      <c r="BZ61" s="216"/>
      <c r="CA61" s="216"/>
      <c r="CB61" s="216"/>
      <c r="CC61" s="216"/>
      <c r="CD61" s="216"/>
      <c r="CE61" s="216"/>
      <c r="CF61" s="216"/>
      <c r="CG61" s="216"/>
      <c r="CH61" s="216"/>
      <c r="CI61" s="216"/>
      <c r="CJ61" s="216"/>
      <c r="CK61" s="216"/>
      <c r="CL61" s="216"/>
      <c r="CM61" s="216"/>
      <c r="CN61" s="216"/>
      <c r="CO61" s="216"/>
      <c r="CP61" s="216"/>
      <c r="CQ61" s="216"/>
    </row>
    <row r="62" spans="1:95" ht="25.5" customHeight="1" x14ac:dyDescent="0.25">
      <c r="A62" s="201" t="s">
        <v>171</v>
      </c>
      <c r="B62" s="113" t="s">
        <v>87</v>
      </c>
      <c r="C62" s="246"/>
      <c r="D62" s="246"/>
      <c r="E62" s="386"/>
      <c r="F62" s="216"/>
      <c r="G62" s="267"/>
      <c r="H62" s="267"/>
      <c r="I62" s="341" t="str">
        <f t="shared" ref="I62:I65" si="13">IF(C62&lt;=0," ",C62)</f>
        <v xml:space="preserve"> </v>
      </c>
      <c r="J62" s="341" t="str">
        <f t="shared" ref="J62:J65" si="14">IF(D62&lt;=0," ",D62)</f>
        <v xml:space="preserve"> </v>
      </c>
      <c r="K62" s="245"/>
      <c r="L62" s="267"/>
      <c r="M62" s="269"/>
      <c r="N62" s="269"/>
      <c r="O62" s="269"/>
      <c r="P62" s="269"/>
      <c r="Q62" s="269"/>
      <c r="R62" s="269"/>
      <c r="S62" s="269"/>
      <c r="T62" s="269"/>
      <c r="U62" s="269"/>
      <c r="V62" s="269"/>
      <c r="W62" s="269"/>
      <c r="X62" s="269"/>
      <c r="Y62" s="269"/>
      <c r="Z62" s="269"/>
      <c r="AA62" s="269"/>
      <c r="AB62" s="269"/>
      <c r="AC62" s="267"/>
      <c r="AD62" s="267"/>
      <c r="AE62" s="267"/>
      <c r="AF62" s="267"/>
      <c r="AG62" s="216"/>
      <c r="AH62" s="216"/>
      <c r="AI62" s="216"/>
      <c r="AJ62" s="216"/>
      <c r="AK62" s="216"/>
      <c r="AL62" s="216"/>
      <c r="AM62" s="216"/>
      <c r="AN62" s="216"/>
      <c r="AO62" s="216"/>
      <c r="AP62" s="216"/>
      <c r="AQ62" s="216"/>
      <c r="AR62" s="216"/>
      <c r="AS62" s="216"/>
      <c r="AT62" s="216"/>
      <c r="AU62" s="216"/>
      <c r="AV62" s="216"/>
      <c r="AW62" s="216"/>
      <c r="AX62" s="216"/>
      <c r="AY62" s="216"/>
      <c r="AZ62" s="216"/>
      <c r="BA62" s="216"/>
      <c r="BB62" s="216"/>
      <c r="BC62" s="216"/>
      <c r="BD62" s="216"/>
      <c r="BE62" s="216"/>
      <c r="BF62" s="216"/>
      <c r="BG62" s="216"/>
      <c r="BH62" s="216"/>
      <c r="BI62" s="216"/>
      <c r="BJ62" s="216"/>
      <c r="BK62" s="216"/>
      <c r="BL62" s="216"/>
      <c r="BM62" s="216"/>
      <c r="BN62" s="216"/>
      <c r="BO62" s="216"/>
      <c r="BP62" s="216"/>
      <c r="BQ62" s="216"/>
      <c r="BR62" s="216"/>
      <c r="BS62" s="216"/>
      <c r="BT62" s="216"/>
      <c r="BU62" s="216"/>
      <c r="BV62" s="216"/>
      <c r="BW62" s="216"/>
      <c r="BX62" s="216"/>
      <c r="BY62" s="216"/>
      <c r="BZ62" s="216"/>
      <c r="CA62" s="216"/>
      <c r="CB62" s="216"/>
      <c r="CC62" s="216"/>
      <c r="CD62" s="216"/>
      <c r="CE62" s="216"/>
      <c r="CF62" s="216"/>
      <c r="CG62" s="216"/>
      <c r="CH62" s="216"/>
      <c r="CI62" s="216"/>
      <c r="CJ62" s="216"/>
      <c r="CK62" s="216"/>
      <c r="CL62" s="216"/>
      <c r="CM62" s="216"/>
      <c r="CN62" s="216"/>
      <c r="CO62" s="216"/>
      <c r="CP62" s="216"/>
      <c r="CQ62" s="216"/>
    </row>
    <row r="63" spans="1:95" ht="25.5" customHeight="1" x14ac:dyDescent="0.25">
      <c r="A63" s="201" t="s">
        <v>388</v>
      </c>
      <c r="B63" s="113" t="s">
        <v>88</v>
      </c>
      <c r="C63" s="246"/>
      <c r="D63" s="246"/>
      <c r="E63" s="386"/>
      <c r="F63" s="216"/>
      <c r="G63" s="216"/>
      <c r="H63" s="216"/>
      <c r="I63" s="341" t="str">
        <f t="shared" si="13"/>
        <v xml:space="preserve"> </v>
      </c>
      <c r="J63" s="341" t="str">
        <f t="shared" si="14"/>
        <v xml:space="preserve"> </v>
      </c>
      <c r="K63" s="245"/>
      <c r="L63" s="267"/>
      <c r="M63" s="269"/>
      <c r="N63" s="269"/>
      <c r="O63" s="269"/>
      <c r="P63" s="269"/>
      <c r="Q63" s="269"/>
      <c r="R63" s="269"/>
      <c r="S63" s="269"/>
      <c r="T63" s="269"/>
      <c r="U63" s="269"/>
      <c r="V63" s="269"/>
      <c r="W63" s="269"/>
      <c r="X63" s="269"/>
      <c r="Y63" s="269"/>
      <c r="Z63" s="269"/>
      <c r="AA63" s="269"/>
      <c r="AB63" s="269"/>
      <c r="AC63" s="267"/>
      <c r="AD63" s="267"/>
      <c r="AE63" s="267"/>
      <c r="AF63" s="267"/>
      <c r="AG63" s="216"/>
      <c r="AH63" s="216"/>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216"/>
      <c r="BI63" s="216"/>
      <c r="BJ63" s="216"/>
      <c r="BK63" s="216"/>
      <c r="BL63" s="216"/>
      <c r="BM63" s="216"/>
      <c r="BN63" s="216"/>
      <c r="BO63" s="216"/>
      <c r="BP63" s="216"/>
      <c r="BQ63" s="216"/>
      <c r="BR63" s="216"/>
      <c r="BS63" s="216"/>
      <c r="BT63" s="216"/>
      <c r="BU63" s="216"/>
      <c r="BV63" s="216"/>
      <c r="BW63" s="216"/>
      <c r="BX63" s="216"/>
      <c r="BY63" s="216"/>
      <c r="BZ63" s="216"/>
      <c r="CA63" s="216"/>
      <c r="CB63" s="216"/>
      <c r="CC63" s="216"/>
      <c r="CD63" s="216"/>
      <c r="CE63" s="216"/>
      <c r="CF63" s="216"/>
      <c r="CG63" s="216"/>
      <c r="CH63" s="216"/>
      <c r="CI63" s="216"/>
      <c r="CJ63" s="216"/>
      <c r="CK63" s="216"/>
      <c r="CL63" s="216"/>
      <c r="CM63" s="216"/>
      <c r="CN63" s="216"/>
      <c r="CO63" s="216"/>
      <c r="CP63" s="216"/>
      <c r="CQ63" s="216"/>
    </row>
    <row r="64" spans="1:95" ht="25.5" customHeight="1" x14ac:dyDescent="0.25">
      <c r="A64" s="201" t="s">
        <v>389</v>
      </c>
      <c r="B64" s="113" t="s">
        <v>89</v>
      </c>
      <c r="C64" s="246"/>
      <c r="D64" s="246"/>
      <c r="E64" s="386"/>
      <c r="F64" s="216"/>
      <c r="G64" s="216"/>
      <c r="H64" s="216"/>
      <c r="I64" s="341" t="str">
        <f t="shared" si="13"/>
        <v xml:space="preserve"> </v>
      </c>
      <c r="J64" s="341" t="str">
        <f t="shared" si="14"/>
        <v xml:space="preserve"> </v>
      </c>
      <c r="K64" s="245"/>
      <c r="L64" s="267"/>
      <c r="M64" s="269"/>
      <c r="N64" s="269"/>
      <c r="O64" s="269"/>
      <c r="P64" s="269"/>
      <c r="Q64" s="269"/>
      <c r="R64" s="269"/>
      <c r="S64" s="269"/>
      <c r="T64" s="269"/>
      <c r="U64" s="269"/>
      <c r="V64" s="269"/>
      <c r="W64" s="269"/>
      <c r="X64" s="269"/>
      <c r="Y64" s="269"/>
      <c r="Z64" s="269"/>
      <c r="AA64" s="269"/>
      <c r="AB64" s="269"/>
      <c r="AC64" s="267"/>
      <c r="AD64" s="267"/>
      <c r="AE64" s="267"/>
      <c r="AF64" s="267"/>
      <c r="AG64" s="216"/>
      <c r="AH64" s="216"/>
      <c r="AI64" s="216"/>
      <c r="AJ64" s="216"/>
      <c r="AK64" s="216"/>
      <c r="AL64" s="216"/>
      <c r="AM64" s="216"/>
      <c r="AN64" s="216"/>
      <c r="AO64" s="216"/>
      <c r="AP64" s="216"/>
      <c r="AQ64" s="216"/>
      <c r="AR64" s="216"/>
      <c r="AS64" s="216"/>
      <c r="AT64" s="216"/>
      <c r="AU64" s="216"/>
      <c r="AV64" s="216"/>
      <c r="AW64" s="216"/>
      <c r="AX64" s="216"/>
      <c r="AY64" s="216"/>
      <c r="AZ64" s="216"/>
      <c r="BA64" s="216"/>
      <c r="BB64" s="216"/>
      <c r="BC64" s="216"/>
      <c r="BD64" s="216"/>
      <c r="BE64" s="216"/>
      <c r="BF64" s="216"/>
      <c r="BG64" s="216"/>
      <c r="BH64" s="216"/>
      <c r="BI64" s="216"/>
      <c r="BJ64" s="216"/>
      <c r="BK64" s="216"/>
      <c r="BL64" s="216"/>
      <c r="BM64" s="216"/>
      <c r="BN64" s="216"/>
      <c r="BO64" s="216"/>
      <c r="BP64" s="216"/>
      <c r="BQ64" s="216"/>
      <c r="BR64" s="216"/>
      <c r="BS64" s="216"/>
      <c r="BT64" s="216"/>
      <c r="BU64" s="216"/>
      <c r="BV64" s="216"/>
      <c r="BW64" s="216"/>
      <c r="BX64" s="216"/>
      <c r="BY64" s="216"/>
      <c r="BZ64" s="216"/>
      <c r="CA64" s="216"/>
      <c r="CB64" s="216"/>
      <c r="CC64" s="216"/>
      <c r="CD64" s="216"/>
      <c r="CE64" s="216"/>
      <c r="CF64" s="216"/>
      <c r="CG64" s="216"/>
      <c r="CH64" s="216"/>
      <c r="CI64" s="216"/>
      <c r="CJ64" s="216"/>
      <c r="CK64" s="216"/>
      <c r="CL64" s="216"/>
      <c r="CM64" s="216"/>
      <c r="CN64" s="216"/>
      <c r="CO64" s="216"/>
      <c r="CP64" s="216"/>
      <c r="CQ64" s="216"/>
    </row>
    <row r="65" spans="1:95" ht="25.5" customHeight="1" x14ac:dyDescent="0.25">
      <c r="A65" s="201" t="s">
        <v>390</v>
      </c>
      <c r="B65" s="113" t="s">
        <v>90</v>
      </c>
      <c r="C65" s="246"/>
      <c r="D65" s="246"/>
      <c r="E65" s="386"/>
      <c r="F65" s="216"/>
      <c r="G65" s="216"/>
      <c r="H65" s="216"/>
      <c r="I65" s="341" t="str">
        <f t="shared" si="13"/>
        <v xml:space="preserve"> </v>
      </c>
      <c r="J65" s="341" t="str">
        <f t="shared" si="14"/>
        <v xml:space="preserve"> </v>
      </c>
      <c r="K65" s="245"/>
      <c r="L65" s="267"/>
      <c r="M65" s="269"/>
      <c r="N65" s="269"/>
      <c r="O65" s="269"/>
      <c r="P65" s="269"/>
      <c r="Q65" s="269"/>
      <c r="R65" s="269"/>
      <c r="S65" s="269"/>
      <c r="T65" s="269"/>
      <c r="U65" s="269"/>
      <c r="V65" s="269"/>
      <c r="W65" s="269"/>
      <c r="X65" s="269"/>
      <c r="Y65" s="269"/>
      <c r="Z65" s="269"/>
      <c r="AA65" s="269"/>
      <c r="AB65" s="269"/>
      <c r="AC65" s="267"/>
      <c r="AD65" s="267"/>
      <c r="AE65" s="267"/>
      <c r="AF65" s="267"/>
      <c r="AG65" s="216"/>
      <c r="AH65" s="216"/>
      <c r="AI65" s="216"/>
      <c r="AJ65" s="216"/>
      <c r="AK65" s="216"/>
      <c r="AL65" s="216"/>
      <c r="AM65" s="216"/>
      <c r="AN65" s="216"/>
      <c r="AO65" s="216"/>
      <c r="AP65" s="216"/>
      <c r="AQ65" s="216"/>
      <c r="AR65" s="216"/>
      <c r="AS65" s="216"/>
      <c r="AT65" s="216"/>
      <c r="AU65" s="216"/>
      <c r="AV65" s="216"/>
      <c r="AW65" s="216"/>
      <c r="AX65" s="216"/>
      <c r="AY65" s="216"/>
      <c r="AZ65" s="216"/>
      <c r="BA65" s="216"/>
      <c r="BB65" s="216"/>
      <c r="BC65" s="216"/>
      <c r="BD65" s="216"/>
      <c r="BE65" s="216"/>
      <c r="BF65" s="216"/>
      <c r="BG65" s="216"/>
      <c r="BH65" s="216"/>
      <c r="BI65" s="216"/>
      <c r="BJ65" s="216"/>
      <c r="BK65" s="216"/>
      <c r="BL65" s="216"/>
      <c r="BM65" s="216"/>
      <c r="BN65" s="216"/>
      <c r="BO65" s="216"/>
      <c r="BP65" s="216"/>
      <c r="BQ65" s="216"/>
      <c r="BR65" s="216"/>
      <c r="BS65" s="216"/>
      <c r="BT65" s="216"/>
      <c r="BU65" s="216"/>
      <c r="BV65" s="216"/>
      <c r="BW65" s="216"/>
      <c r="BX65" s="216"/>
      <c r="BY65" s="216"/>
      <c r="BZ65" s="216"/>
      <c r="CA65" s="216"/>
      <c r="CB65" s="216"/>
      <c r="CC65" s="216"/>
      <c r="CD65" s="216"/>
      <c r="CE65" s="216"/>
      <c r="CF65" s="216"/>
      <c r="CG65" s="216"/>
      <c r="CH65" s="216"/>
      <c r="CI65" s="216"/>
      <c r="CJ65" s="216"/>
      <c r="CK65" s="216"/>
      <c r="CL65" s="216"/>
      <c r="CM65" s="216"/>
      <c r="CN65" s="216"/>
      <c r="CO65" s="216"/>
      <c r="CP65" s="216"/>
      <c r="CQ65" s="216"/>
    </row>
    <row r="66" spans="1:95" ht="8.25" customHeight="1" x14ac:dyDescent="0.25">
      <c r="A66" s="384"/>
      <c r="B66" s="384"/>
      <c r="C66" s="384"/>
      <c r="D66" s="384"/>
      <c r="E66" s="384"/>
      <c r="F66" s="216"/>
      <c r="G66" s="216"/>
      <c r="H66" s="216"/>
      <c r="I66" s="216"/>
      <c r="J66" s="216"/>
      <c r="K66" s="245"/>
      <c r="L66" s="267"/>
      <c r="M66" s="269"/>
      <c r="N66" s="269"/>
      <c r="O66" s="269"/>
      <c r="P66" s="269"/>
      <c r="Q66" s="269"/>
      <c r="R66" s="269"/>
      <c r="S66" s="269"/>
      <c r="T66" s="269"/>
      <c r="U66" s="269"/>
      <c r="V66" s="269"/>
      <c r="W66" s="269"/>
      <c r="X66" s="269"/>
      <c r="Y66" s="269"/>
      <c r="Z66" s="269"/>
      <c r="AA66" s="269"/>
      <c r="AB66" s="269"/>
      <c r="AC66" s="267"/>
      <c r="AD66" s="267"/>
      <c r="AE66" s="267"/>
      <c r="AF66" s="267"/>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216"/>
      <c r="BM66" s="216"/>
      <c r="BN66" s="216"/>
      <c r="BO66" s="216"/>
      <c r="BP66" s="216"/>
      <c r="BQ66" s="216"/>
      <c r="BR66" s="216"/>
      <c r="BS66" s="216"/>
      <c r="BT66" s="216"/>
      <c r="BU66" s="216"/>
      <c r="BV66" s="216"/>
      <c r="BW66" s="216"/>
      <c r="BX66" s="216"/>
      <c r="BY66" s="216"/>
      <c r="BZ66" s="216"/>
      <c r="CA66" s="216"/>
      <c r="CB66" s="216"/>
      <c r="CC66" s="216"/>
      <c r="CD66" s="216"/>
      <c r="CE66" s="216"/>
      <c r="CF66" s="216"/>
      <c r="CG66" s="216"/>
      <c r="CH66" s="216"/>
      <c r="CI66" s="216"/>
      <c r="CJ66" s="216"/>
      <c r="CK66" s="216"/>
      <c r="CL66" s="216"/>
      <c r="CM66" s="216"/>
      <c r="CN66" s="216"/>
      <c r="CO66" s="216"/>
      <c r="CP66" s="216"/>
      <c r="CQ66" s="216"/>
    </row>
    <row r="67" spans="1:95" ht="19.5" customHeight="1" x14ac:dyDescent="0.25">
      <c r="A67" s="215">
        <v>38</v>
      </c>
      <c r="B67" s="385" t="s">
        <v>275</v>
      </c>
      <c r="C67" s="385"/>
      <c r="D67" s="385"/>
      <c r="E67" s="385"/>
      <c r="F67" s="225"/>
      <c r="G67" s="267"/>
      <c r="H67" s="267"/>
      <c r="I67" s="267"/>
      <c r="J67" s="267"/>
      <c r="K67" s="245"/>
      <c r="L67" s="267"/>
      <c r="M67" s="267"/>
      <c r="N67" s="267"/>
      <c r="O67" s="267"/>
      <c r="P67" s="267"/>
      <c r="Q67" s="267"/>
      <c r="R67" s="267"/>
      <c r="S67" s="267"/>
      <c r="T67" s="267"/>
      <c r="U67" s="267"/>
      <c r="V67" s="267"/>
      <c r="W67" s="267"/>
      <c r="X67" s="267"/>
      <c r="Y67" s="267"/>
      <c r="Z67" s="267"/>
      <c r="AA67" s="267"/>
      <c r="AB67" s="267"/>
      <c r="AC67" s="267"/>
      <c r="AD67" s="267"/>
      <c r="AE67" s="267"/>
      <c r="AF67" s="267"/>
      <c r="AG67" s="216"/>
      <c r="AH67" s="216"/>
      <c r="AI67" s="216"/>
      <c r="AJ67" s="216"/>
      <c r="AK67" s="216"/>
      <c r="AL67" s="216"/>
      <c r="AM67" s="216"/>
      <c r="AN67" s="216"/>
      <c r="AO67" s="216"/>
      <c r="AP67" s="216"/>
      <c r="AQ67" s="216"/>
      <c r="AR67" s="216"/>
      <c r="AS67" s="216"/>
      <c r="AT67" s="216"/>
      <c r="AU67" s="216"/>
      <c r="AV67" s="216"/>
      <c r="AW67" s="216"/>
      <c r="AX67" s="216"/>
      <c r="AY67" s="216"/>
      <c r="AZ67" s="216"/>
      <c r="BA67" s="216"/>
      <c r="BB67" s="216"/>
      <c r="BC67" s="216"/>
      <c r="BD67" s="216"/>
      <c r="BE67" s="216"/>
      <c r="BF67" s="216"/>
      <c r="BG67" s="216"/>
      <c r="BH67" s="216"/>
      <c r="BI67" s="216"/>
      <c r="BJ67" s="216"/>
      <c r="BK67" s="216"/>
      <c r="BL67" s="216"/>
      <c r="BM67" s="216"/>
      <c r="BN67" s="216"/>
      <c r="BO67" s="216"/>
      <c r="BP67" s="216"/>
      <c r="BQ67" s="216"/>
      <c r="BR67" s="216"/>
      <c r="BS67" s="216"/>
      <c r="BT67" s="216"/>
      <c r="BU67" s="216"/>
      <c r="BV67" s="216"/>
      <c r="BW67" s="216"/>
      <c r="BX67" s="216"/>
      <c r="BY67" s="216"/>
      <c r="BZ67" s="216"/>
      <c r="CA67" s="216"/>
      <c r="CB67" s="216"/>
      <c r="CC67" s="216"/>
      <c r="CD67" s="216"/>
      <c r="CE67" s="216"/>
      <c r="CF67" s="216"/>
      <c r="CG67" s="216"/>
      <c r="CH67" s="216"/>
      <c r="CI67" s="216"/>
      <c r="CJ67" s="216"/>
      <c r="CK67" s="216"/>
      <c r="CL67" s="216"/>
      <c r="CM67" s="216"/>
      <c r="CN67" s="216"/>
      <c r="CO67" s="216"/>
      <c r="CP67" s="216"/>
      <c r="CQ67" s="216"/>
    </row>
    <row r="68" spans="1:95" ht="19.5" customHeight="1" x14ac:dyDescent="0.25">
      <c r="A68" s="377"/>
      <c r="B68" s="385" t="s">
        <v>276</v>
      </c>
      <c r="C68" s="385"/>
      <c r="D68" s="385"/>
      <c r="E68" s="385"/>
      <c r="F68" s="225"/>
      <c r="G68" s="267"/>
      <c r="H68" s="267"/>
      <c r="I68" s="267"/>
      <c r="J68" s="267"/>
      <c r="K68" s="245"/>
      <c r="L68" s="267"/>
      <c r="M68" s="267"/>
      <c r="N68" s="267"/>
      <c r="O68" s="267"/>
      <c r="P68" s="267"/>
      <c r="Q68" s="267"/>
      <c r="R68" s="267"/>
      <c r="S68" s="267"/>
      <c r="T68" s="267"/>
      <c r="U68" s="267"/>
      <c r="V68" s="267"/>
      <c r="W68" s="267"/>
      <c r="X68" s="267"/>
      <c r="Y68" s="267"/>
      <c r="Z68" s="267"/>
      <c r="AA68" s="267"/>
      <c r="AB68" s="267"/>
      <c r="AC68" s="267"/>
      <c r="AD68" s="267"/>
      <c r="AE68" s="267"/>
      <c r="AF68" s="267"/>
      <c r="AG68" s="216"/>
      <c r="AH68" s="216"/>
      <c r="AI68" s="216"/>
      <c r="AJ68" s="216"/>
      <c r="AK68" s="216"/>
      <c r="AL68" s="216"/>
      <c r="AM68" s="216"/>
      <c r="AN68" s="216"/>
      <c r="AO68" s="216"/>
      <c r="AP68" s="216"/>
      <c r="AQ68" s="216"/>
      <c r="AR68" s="216"/>
      <c r="AS68" s="216"/>
      <c r="AT68" s="216"/>
      <c r="AU68" s="216"/>
      <c r="AV68" s="216"/>
      <c r="AW68" s="216"/>
      <c r="AX68" s="216"/>
      <c r="AY68" s="216"/>
      <c r="AZ68" s="216"/>
      <c r="BA68" s="216"/>
      <c r="BB68" s="216"/>
      <c r="BC68" s="216"/>
      <c r="BD68" s="216"/>
      <c r="BE68" s="216"/>
      <c r="BF68" s="216"/>
      <c r="BG68" s="216"/>
      <c r="BH68" s="216"/>
      <c r="BI68" s="216"/>
      <c r="BJ68" s="216"/>
      <c r="BK68" s="216"/>
      <c r="BL68" s="216"/>
      <c r="BM68" s="216"/>
      <c r="BN68" s="216"/>
      <c r="BO68" s="216"/>
      <c r="BP68" s="216"/>
      <c r="BQ68" s="216"/>
      <c r="BR68" s="216"/>
      <c r="BS68" s="216"/>
      <c r="BT68" s="216"/>
      <c r="BU68" s="216"/>
      <c r="BV68" s="216"/>
      <c r="BW68" s="216"/>
      <c r="BX68" s="216"/>
      <c r="BY68" s="216"/>
      <c r="BZ68" s="216"/>
      <c r="CA68" s="216"/>
      <c r="CB68" s="216"/>
      <c r="CC68" s="216"/>
      <c r="CD68" s="216"/>
      <c r="CE68" s="216"/>
      <c r="CF68" s="216"/>
      <c r="CG68" s="216"/>
      <c r="CH68" s="216"/>
      <c r="CI68" s="216"/>
      <c r="CJ68" s="216"/>
      <c r="CK68" s="216"/>
      <c r="CL68" s="216"/>
      <c r="CM68" s="216"/>
      <c r="CN68" s="216"/>
      <c r="CO68" s="216"/>
      <c r="CP68" s="216"/>
      <c r="CQ68" s="216"/>
    </row>
    <row r="69" spans="1:95" ht="24.75" customHeight="1" x14ac:dyDescent="0.25">
      <c r="A69" s="377"/>
      <c r="B69" s="212"/>
      <c r="C69" s="212"/>
      <c r="D69" s="212"/>
      <c r="E69" s="212"/>
      <c r="F69" s="216"/>
      <c r="G69" s="216"/>
      <c r="H69" s="216"/>
      <c r="I69" s="216"/>
      <c r="J69" s="216"/>
      <c r="K69" s="217"/>
      <c r="L69" s="216"/>
      <c r="M69" s="216"/>
      <c r="N69" s="216"/>
      <c r="O69" s="216"/>
      <c r="P69" s="216"/>
      <c r="Q69" s="216"/>
      <c r="R69" s="216"/>
      <c r="S69" s="216"/>
      <c r="T69" s="216"/>
      <c r="U69" s="216"/>
      <c r="V69" s="216"/>
      <c r="W69" s="216"/>
      <c r="X69" s="216"/>
      <c r="Y69" s="216"/>
      <c r="Z69" s="216"/>
      <c r="AA69" s="216"/>
      <c r="AB69" s="216"/>
      <c r="AC69" s="267"/>
      <c r="AD69" s="267"/>
      <c r="AE69" s="267"/>
      <c r="AF69" s="267"/>
      <c r="AG69" s="216"/>
      <c r="AH69" s="216"/>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216"/>
      <c r="BI69" s="216"/>
      <c r="BJ69" s="216"/>
      <c r="BK69" s="216"/>
      <c r="BL69" s="216"/>
      <c r="BM69" s="216"/>
      <c r="BN69" s="216"/>
      <c r="BO69" s="216"/>
      <c r="BP69" s="216"/>
      <c r="BQ69" s="216"/>
      <c r="BR69" s="216"/>
      <c r="BS69" s="216"/>
      <c r="BT69" s="216"/>
      <c r="BU69" s="216"/>
      <c r="BV69" s="216"/>
      <c r="BW69" s="216"/>
      <c r="BX69" s="216"/>
      <c r="BY69" s="216"/>
      <c r="BZ69" s="216"/>
      <c r="CA69" s="216"/>
      <c r="CB69" s="216"/>
      <c r="CC69" s="216"/>
      <c r="CD69" s="216"/>
      <c r="CE69" s="216"/>
      <c r="CF69" s="216"/>
      <c r="CG69" s="216"/>
      <c r="CH69" s="216"/>
      <c r="CI69" s="216"/>
      <c r="CJ69" s="216"/>
      <c r="CK69" s="216"/>
      <c r="CL69" s="216"/>
      <c r="CM69" s="216"/>
      <c r="CN69" s="216"/>
      <c r="CO69" s="216"/>
      <c r="CP69" s="216"/>
      <c r="CQ69" s="216"/>
    </row>
    <row r="70" spans="1:95" ht="24.75" customHeight="1" x14ac:dyDescent="0.25">
      <c r="A70" s="377"/>
      <c r="B70" s="212"/>
      <c r="C70" s="212"/>
      <c r="D70" s="212"/>
      <c r="E70" s="212"/>
      <c r="F70" s="216"/>
      <c r="G70" s="216"/>
      <c r="H70" s="216"/>
      <c r="I70" s="216"/>
      <c r="J70" s="216"/>
      <c r="K70" s="217"/>
      <c r="L70" s="216"/>
      <c r="M70" s="216"/>
      <c r="N70" s="216"/>
      <c r="O70" s="216"/>
      <c r="P70" s="216"/>
      <c r="Q70" s="216"/>
      <c r="R70" s="216"/>
      <c r="S70" s="216"/>
      <c r="T70" s="216"/>
      <c r="U70" s="216"/>
      <c r="V70" s="216"/>
      <c r="W70" s="216"/>
      <c r="X70" s="216"/>
      <c r="Y70" s="216"/>
      <c r="Z70" s="216"/>
      <c r="AA70" s="216"/>
      <c r="AB70" s="216"/>
      <c r="AC70" s="267"/>
      <c r="AD70" s="267"/>
      <c r="AE70" s="267"/>
      <c r="AF70" s="267"/>
      <c r="AG70" s="216"/>
      <c r="AH70" s="216"/>
      <c r="AI70" s="216"/>
      <c r="AJ70" s="216"/>
      <c r="AK70" s="216"/>
      <c r="AL70" s="216"/>
      <c r="AM70" s="216"/>
      <c r="AN70" s="216"/>
      <c r="AO70" s="216"/>
      <c r="AP70" s="216"/>
      <c r="AQ70" s="216"/>
      <c r="AR70" s="216"/>
      <c r="AS70" s="216"/>
      <c r="AT70" s="216"/>
      <c r="AU70" s="216"/>
      <c r="AV70" s="216"/>
      <c r="AW70" s="216"/>
      <c r="AX70" s="216"/>
      <c r="AY70" s="216"/>
      <c r="AZ70" s="216"/>
      <c r="BA70" s="216"/>
      <c r="BB70" s="216"/>
      <c r="BC70" s="216"/>
      <c r="BD70" s="216"/>
      <c r="BE70" s="216"/>
      <c r="BF70" s="216"/>
      <c r="BG70" s="216"/>
      <c r="BH70" s="216"/>
      <c r="BI70" s="216"/>
      <c r="BJ70" s="216"/>
      <c r="BK70" s="216"/>
      <c r="BL70" s="216"/>
      <c r="BM70" s="216"/>
      <c r="BN70" s="216"/>
      <c r="BO70" s="216"/>
      <c r="BP70" s="216"/>
      <c r="BQ70" s="216"/>
      <c r="BR70" s="216"/>
      <c r="BS70" s="216"/>
      <c r="BT70" s="216"/>
      <c r="BU70" s="216"/>
      <c r="BV70" s="216"/>
      <c r="BW70" s="216"/>
      <c r="BX70" s="216"/>
      <c r="BY70" s="216"/>
      <c r="BZ70" s="216"/>
      <c r="CA70" s="216"/>
      <c r="CB70" s="216"/>
      <c r="CC70" s="216"/>
      <c r="CD70" s="216"/>
      <c r="CE70" s="216"/>
      <c r="CF70" s="216"/>
      <c r="CG70" s="216"/>
      <c r="CH70" s="216"/>
      <c r="CI70" s="216"/>
      <c r="CJ70" s="216"/>
      <c r="CK70" s="216"/>
      <c r="CL70" s="216"/>
      <c r="CM70" s="216"/>
      <c r="CN70" s="216"/>
      <c r="CO70" s="216"/>
      <c r="CP70" s="216"/>
      <c r="CQ70" s="216"/>
    </row>
    <row r="71" spans="1:95" ht="7.5" customHeight="1" x14ac:dyDescent="0.25">
      <c r="A71" s="384"/>
      <c r="B71" s="384"/>
      <c r="C71" s="384"/>
      <c r="D71" s="384"/>
      <c r="E71" s="384"/>
      <c r="F71" s="225"/>
      <c r="G71" s="267"/>
      <c r="H71" s="267"/>
      <c r="I71" s="267"/>
      <c r="J71" s="267"/>
      <c r="K71" s="245"/>
      <c r="L71" s="267"/>
      <c r="M71" s="267"/>
      <c r="N71" s="267"/>
      <c r="O71" s="267"/>
      <c r="P71" s="267"/>
      <c r="Q71" s="267"/>
      <c r="R71" s="267"/>
      <c r="S71" s="267"/>
      <c r="T71" s="267"/>
      <c r="U71" s="267"/>
      <c r="V71" s="267"/>
      <c r="W71" s="267"/>
      <c r="X71" s="267"/>
      <c r="Y71" s="267"/>
      <c r="Z71" s="267"/>
      <c r="AA71" s="267"/>
      <c r="AB71" s="267"/>
      <c r="AC71" s="267"/>
      <c r="AD71" s="267"/>
      <c r="AE71" s="267"/>
      <c r="AF71" s="267"/>
      <c r="AG71" s="216"/>
      <c r="AH71" s="216"/>
      <c r="AI71" s="216"/>
      <c r="AJ71" s="216"/>
      <c r="AK71" s="216"/>
      <c r="AL71" s="216"/>
      <c r="AM71" s="216"/>
      <c r="AN71" s="216"/>
      <c r="AO71" s="216"/>
      <c r="AP71" s="216"/>
      <c r="AQ71" s="216"/>
      <c r="AR71" s="216"/>
      <c r="AS71" s="216"/>
      <c r="AT71" s="216"/>
      <c r="AU71" s="216"/>
      <c r="AV71" s="216"/>
      <c r="AW71" s="216"/>
      <c r="AX71" s="216"/>
      <c r="AY71" s="216"/>
      <c r="AZ71" s="216"/>
      <c r="BA71" s="216"/>
      <c r="BB71" s="216"/>
      <c r="BC71" s="216"/>
      <c r="BD71" s="216"/>
      <c r="BE71" s="216"/>
      <c r="BF71" s="216"/>
      <c r="BG71" s="216"/>
      <c r="BH71" s="216"/>
      <c r="BI71" s="216"/>
      <c r="BJ71" s="216"/>
      <c r="BK71" s="216"/>
      <c r="BL71" s="216"/>
      <c r="BM71" s="216"/>
      <c r="BN71" s="216"/>
      <c r="BO71" s="216"/>
      <c r="BP71" s="216"/>
      <c r="BQ71" s="216"/>
      <c r="BR71" s="216"/>
      <c r="BS71" s="216"/>
      <c r="BT71" s="216"/>
      <c r="BU71" s="216"/>
      <c r="BV71" s="216"/>
      <c r="BW71" s="216"/>
      <c r="BX71" s="216"/>
      <c r="BY71" s="216"/>
      <c r="BZ71" s="216"/>
      <c r="CA71" s="216"/>
      <c r="CB71" s="216"/>
      <c r="CC71" s="216"/>
      <c r="CD71" s="216"/>
      <c r="CE71" s="216"/>
      <c r="CF71" s="216"/>
      <c r="CG71" s="216"/>
      <c r="CH71" s="216"/>
      <c r="CI71" s="216"/>
      <c r="CJ71" s="216"/>
      <c r="CK71" s="216"/>
      <c r="CL71" s="216"/>
      <c r="CM71" s="216"/>
      <c r="CN71" s="216"/>
      <c r="CO71" s="216"/>
      <c r="CP71" s="216"/>
      <c r="CQ71" s="216"/>
    </row>
    <row r="72" spans="1:95" s="216" customFormat="1" ht="23.25" customHeight="1" x14ac:dyDescent="0.25">
      <c r="A72" s="201">
        <v>39</v>
      </c>
      <c r="B72" s="393" t="s">
        <v>92</v>
      </c>
      <c r="C72" s="394"/>
      <c r="D72" s="394"/>
      <c r="E72" s="395"/>
      <c r="AA72" s="267"/>
      <c r="AB72" s="267"/>
      <c r="AC72" s="267"/>
      <c r="AD72" s="267"/>
      <c r="AE72" s="267"/>
      <c r="AF72" s="267"/>
    </row>
    <row r="73" spans="1:95" s="216" customFormat="1" ht="23.25" customHeight="1" x14ac:dyDescent="0.25">
      <c r="A73" s="377"/>
      <c r="B73" s="253"/>
      <c r="C73" s="253"/>
      <c r="D73" s="251" t="s">
        <v>93</v>
      </c>
      <c r="E73" s="251" t="s">
        <v>93</v>
      </c>
      <c r="F73" s="239"/>
      <c r="G73" s="267"/>
      <c r="H73" s="267"/>
      <c r="I73" s="267"/>
      <c r="J73" s="267"/>
      <c r="K73" s="245"/>
      <c r="L73" s="267"/>
      <c r="M73" s="267"/>
      <c r="N73" s="267"/>
      <c r="O73" s="267"/>
      <c r="P73" s="267"/>
      <c r="Q73" s="267"/>
      <c r="R73" s="267"/>
      <c r="S73" s="267"/>
      <c r="T73" s="267"/>
      <c r="U73" s="267"/>
      <c r="V73" s="267"/>
      <c r="W73" s="267"/>
      <c r="X73" s="267"/>
      <c r="Y73" s="267"/>
      <c r="Z73" s="267"/>
      <c r="AA73" s="267"/>
      <c r="AB73" s="267"/>
      <c r="AC73" s="267"/>
      <c r="AD73" s="267"/>
      <c r="AE73" s="267"/>
      <c r="AF73" s="267"/>
    </row>
    <row r="74" spans="1:95" ht="22.5" customHeight="1" x14ac:dyDescent="0.25">
      <c r="A74" s="377"/>
      <c r="B74" s="259"/>
      <c r="C74" s="259"/>
      <c r="D74" s="259"/>
      <c r="E74" s="259"/>
      <c r="F74" s="216"/>
      <c r="G74" s="216"/>
      <c r="H74" s="216"/>
      <c r="I74" s="216"/>
      <c r="J74" s="216"/>
      <c r="K74" s="216"/>
      <c r="L74" s="216"/>
      <c r="M74" s="216"/>
      <c r="N74" s="216"/>
      <c r="O74" s="216"/>
      <c r="P74" s="216"/>
      <c r="Q74" s="216"/>
      <c r="R74" s="267"/>
      <c r="S74" s="373"/>
      <c r="T74" s="373"/>
      <c r="U74" s="373"/>
      <c r="V74" s="373"/>
      <c r="W74" s="373"/>
      <c r="X74" s="373"/>
      <c r="Y74" s="373"/>
      <c r="Z74" s="372"/>
      <c r="AA74" s="372"/>
      <c r="AB74" s="372"/>
      <c r="AC74" s="372"/>
      <c r="AD74" s="372"/>
      <c r="AE74" s="372"/>
      <c r="AF74" s="372"/>
      <c r="AG74" s="216"/>
      <c r="AH74" s="216"/>
      <c r="AI74" s="216"/>
      <c r="AJ74" s="216"/>
      <c r="AK74" s="216"/>
      <c r="AL74" s="216"/>
      <c r="AM74" s="216"/>
      <c r="AN74" s="216"/>
      <c r="AO74" s="216"/>
      <c r="AP74" s="216"/>
      <c r="AQ74" s="216"/>
      <c r="AR74" s="216"/>
      <c r="AS74" s="216"/>
      <c r="AT74" s="216"/>
      <c r="AU74" s="216"/>
      <c r="AV74" s="216"/>
      <c r="AW74" s="216"/>
      <c r="AX74" s="216"/>
      <c r="AY74" s="216"/>
      <c r="AZ74" s="216"/>
      <c r="BA74" s="216"/>
      <c r="BB74" s="216"/>
      <c r="BC74" s="216"/>
      <c r="BD74" s="216"/>
      <c r="BE74" s="216"/>
      <c r="BF74" s="216"/>
      <c r="BG74" s="216"/>
      <c r="BH74" s="216"/>
      <c r="BI74" s="216"/>
      <c r="BJ74" s="216"/>
      <c r="BK74" s="216"/>
      <c r="BL74" s="216"/>
      <c r="BM74" s="216"/>
      <c r="BN74" s="216"/>
      <c r="BO74" s="216"/>
      <c r="BP74" s="216"/>
      <c r="BQ74" s="216"/>
      <c r="BR74" s="216"/>
      <c r="BS74" s="216"/>
      <c r="BT74" s="216"/>
      <c r="BU74" s="216"/>
      <c r="BV74" s="216"/>
      <c r="BW74" s="216"/>
      <c r="BX74" s="216"/>
      <c r="BY74" s="216"/>
      <c r="BZ74" s="216"/>
      <c r="CA74" s="216"/>
      <c r="CB74" s="216"/>
      <c r="CC74" s="216"/>
      <c r="CD74" s="216"/>
      <c r="CE74" s="216"/>
      <c r="CF74" s="216"/>
      <c r="CG74" s="216"/>
      <c r="CH74" s="216"/>
      <c r="CI74" s="216"/>
      <c r="CJ74" s="216"/>
      <c r="CK74" s="216"/>
      <c r="CL74" s="216"/>
      <c r="CM74" s="216"/>
      <c r="CN74" s="216"/>
      <c r="CO74" s="216"/>
      <c r="CP74" s="216"/>
      <c r="CQ74" s="216"/>
    </row>
    <row r="75" spans="1:95" ht="22.5" customHeight="1" x14ac:dyDescent="0.25">
      <c r="A75" s="377"/>
      <c r="B75" s="259"/>
      <c r="C75" s="259"/>
      <c r="D75" s="259"/>
      <c r="E75" s="259"/>
      <c r="F75" s="216"/>
      <c r="G75" s="216"/>
      <c r="H75" s="216"/>
      <c r="I75" s="216"/>
      <c r="J75" s="216"/>
      <c r="K75" s="216"/>
      <c r="L75" s="216"/>
      <c r="M75" s="216"/>
      <c r="N75" s="216"/>
      <c r="O75" s="216"/>
      <c r="P75" s="216"/>
      <c r="Q75" s="216"/>
      <c r="R75" s="267"/>
      <c r="S75" s="373"/>
      <c r="T75" s="373"/>
      <c r="U75" s="373"/>
      <c r="V75" s="373"/>
      <c r="W75" s="373"/>
      <c r="X75" s="373"/>
      <c r="Y75" s="373"/>
      <c r="Z75" s="372"/>
      <c r="AA75" s="372"/>
      <c r="AB75" s="372"/>
      <c r="AC75" s="372"/>
      <c r="AD75" s="372"/>
      <c r="AE75" s="372"/>
      <c r="AF75" s="372"/>
      <c r="AG75" s="216"/>
      <c r="AH75" s="216"/>
      <c r="AI75" s="216"/>
      <c r="AJ75" s="216"/>
      <c r="AK75" s="216"/>
      <c r="AL75" s="216"/>
      <c r="AM75" s="216"/>
      <c r="AN75" s="216"/>
      <c r="AO75" s="216"/>
      <c r="AP75" s="216"/>
      <c r="AQ75" s="216"/>
      <c r="AR75" s="216"/>
      <c r="AS75" s="216"/>
      <c r="AT75" s="216"/>
      <c r="AU75" s="216"/>
      <c r="AV75" s="216"/>
      <c r="AW75" s="216"/>
      <c r="AX75" s="216"/>
      <c r="AY75" s="216"/>
      <c r="AZ75" s="216"/>
      <c r="BA75" s="216"/>
      <c r="BB75" s="216"/>
      <c r="BC75" s="216"/>
      <c r="BD75" s="216"/>
      <c r="BE75" s="216"/>
      <c r="BF75" s="216"/>
      <c r="BG75" s="216"/>
      <c r="BH75" s="216"/>
      <c r="BI75" s="216"/>
      <c r="BJ75" s="216"/>
      <c r="BK75" s="216"/>
      <c r="BL75" s="216"/>
      <c r="BM75" s="216"/>
      <c r="BN75" s="216"/>
      <c r="BO75" s="216"/>
      <c r="BP75" s="216"/>
      <c r="BQ75" s="216"/>
      <c r="BR75" s="216"/>
      <c r="BS75" s="216"/>
      <c r="BT75" s="216"/>
      <c r="BU75" s="216"/>
      <c r="BV75" s="216"/>
      <c r="BW75" s="216"/>
      <c r="BX75" s="216"/>
      <c r="BY75" s="216"/>
      <c r="BZ75" s="216"/>
      <c r="CA75" s="216"/>
      <c r="CB75" s="216"/>
      <c r="CC75" s="216"/>
      <c r="CD75" s="216"/>
      <c r="CE75" s="216"/>
      <c r="CF75" s="216"/>
      <c r="CG75" s="216"/>
      <c r="CH75" s="216"/>
      <c r="CI75" s="216"/>
      <c r="CJ75" s="216"/>
      <c r="CK75" s="216"/>
      <c r="CL75" s="216"/>
      <c r="CM75" s="216"/>
      <c r="CN75" s="216"/>
      <c r="CO75" s="216"/>
      <c r="CP75" s="216"/>
      <c r="CQ75" s="216"/>
    </row>
    <row r="76" spans="1:95" ht="22.5" customHeight="1" x14ac:dyDescent="0.25">
      <c r="A76" s="377"/>
      <c r="B76" s="259"/>
      <c r="C76" s="259"/>
      <c r="D76" s="259"/>
      <c r="E76" s="259"/>
      <c r="F76" s="216"/>
      <c r="G76" s="216"/>
      <c r="H76" s="216"/>
      <c r="I76" s="216"/>
      <c r="J76" s="216"/>
      <c r="K76" s="216"/>
      <c r="L76" s="216"/>
      <c r="M76" s="216"/>
      <c r="N76" s="216"/>
      <c r="O76" s="216"/>
      <c r="P76" s="216"/>
      <c r="Q76" s="216"/>
      <c r="R76" s="267"/>
      <c r="S76" s="373"/>
      <c r="T76" s="373"/>
      <c r="U76" s="373"/>
      <c r="V76" s="373"/>
      <c r="W76" s="373"/>
      <c r="X76" s="373"/>
      <c r="Y76" s="373"/>
      <c r="Z76" s="372"/>
      <c r="AA76" s="372"/>
      <c r="AB76" s="372"/>
      <c r="AC76" s="372"/>
      <c r="AD76" s="372"/>
      <c r="AE76" s="372"/>
      <c r="AF76" s="372"/>
      <c r="AG76" s="216"/>
      <c r="AH76" s="216"/>
      <c r="AI76" s="216"/>
      <c r="AJ76" s="216"/>
      <c r="AK76" s="216"/>
      <c r="AL76" s="216"/>
      <c r="AM76" s="216"/>
      <c r="AN76" s="216"/>
      <c r="AO76" s="216"/>
      <c r="AP76" s="216"/>
      <c r="AQ76" s="216"/>
      <c r="AR76" s="216"/>
      <c r="AS76" s="216"/>
      <c r="AT76" s="216"/>
      <c r="AU76" s="216"/>
      <c r="AV76" s="216"/>
      <c r="AW76" s="216"/>
      <c r="AX76" s="216"/>
      <c r="AY76" s="216"/>
      <c r="AZ76" s="216"/>
      <c r="BA76" s="216"/>
      <c r="BB76" s="216"/>
      <c r="BC76" s="216"/>
      <c r="BD76" s="216"/>
      <c r="BE76" s="216"/>
      <c r="BF76" s="216"/>
      <c r="BG76" s="216"/>
      <c r="BH76" s="216"/>
      <c r="BI76" s="216"/>
      <c r="BJ76" s="216"/>
      <c r="BK76" s="216"/>
      <c r="BL76" s="216"/>
      <c r="BM76" s="216"/>
      <c r="BN76" s="216"/>
      <c r="BO76" s="216"/>
      <c r="BP76" s="216"/>
      <c r="BQ76" s="216"/>
      <c r="BR76" s="216"/>
      <c r="BS76" s="216"/>
      <c r="BT76" s="216"/>
      <c r="BU76" s="216"/>
      <c r="BV76" s="216"/>
      <c r="BW76" s="216"/>
      <c r="BX76" s="216"/>
      <c r="BY76" s="216"/>
      <c r="BZ76" s="216"/>
      <c r="CA76" s="216"/>
      <c r="CB76" s="216"/>
      <c r="CC76" s="216"/>
      <c r="CD76" s="216"/>
      <c r="CE76" s="216"/>
      <c r="CF76" s="216"/>
      <c r="CG76" s="216"/>
      <c r="CH76" s="216"/>
      <c r="CI76" s="216"/>
      <c r="CJ76" s="216"/>
      <c r="CK76" s="216"/>
      <c r="CL76" s="216"/>
      <c r="CM76" s="216"/>
      <c r="CN76" s="216"/>
      <c r="CO76" s="216"/>
      <c r="CP76" s="216"/>
      <c r="CQ76" s="216"/>
    </row>
    <row r="77" spans="1:95" ht="22.5" customHeight="1" x14ac:dyDescent="0.25">
      <c r="A77" s="377"/>
      <c r="B77" s="259"/>
      <c r="C77" s="259"/>
      <c r="D77" s="259"/>
      <c r="E77" s="259"/>
      <c r="F77" s="216"/>
      <c r="G77" s="216"/>
      <c r="H77" s="216"/>
      <c r="I77" s="216"/>
      <c r="J77" s="216"/>
      <c r="K77" s="216"/>
      <c r="L77" s="216"/>
      <c r="M77" s="216"/>
      <c r="N77" s="216"/>
      <c r="O77" s="216"/>
      <c r="P77" s="216"/>
      <c r="Q77" s="216"/>
      <c r="R77" s="267"/>
      <c r="S77" s="373"/>
      <c r="T77" s="373"/>
      <c r="U77" s="373"/>
      <c r="V77" s="373"/>
      <c r="W77" s="373"/>
      <c r="X77" s="373"/>
      <c r="Y77" s="373"/>
      <c r="Z77" s="372"/>
      <c r="AA77" s="372"/>
      <c r="AB77" s="372"/>
      <c r="AC77" s="372"/>
      <c r="AD77" s="372"/>
      <c r="AE77" s="372"/>
      <c r="AF77" s="372"/>
      <c r="AG77" s="216"/>
      <c r="AH77" s="216"/>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216"/>
      <c r="BI77" s="216"/>
      <c r="BJ77" s="216"/>
      <c r="BK77" s="216"/>
      <c r="BL77" s="216"/>
      <c r="BM77" s="216"/>
      <c r="BN77" s="216"/>
      <c r="BO77" s="216"/>
      <c r="BP77" s="216"/>
      <c r="BQ77" s="216"/>
      <c r="BR77" s="216"/>
      <c r="BS77" s="216"/>
      <c r="BT77" s="216"/>
      <c r="BU77" s="216"/>
      <c r="BV77" s="216"/>
      <c r="BW77" s="216"/>
      <c r="BX77" s="216"/>
      <c r="BY77" s="216"/>
      <c r="BZ77" s="216"/>
      <c r="CA77" s="216"/>
      <c r="CB77" s="216"/>
      <c r="CC77" s="216"/>
      <c r="CD77" s="216"/>
      <c r="CE77" s="216"/>
      <c r="CF77" s="216"/>
      <c r="CG77" s="216"/>
      <c r="CH77" s="216"/>
      <c r="CI77" s="216"/>
      <c r="CJ77" s="216"/>
      <c r="CK77" s="216"/>
      <c r="CL77" s="216"/>
      <c r="CM77" s="216"/>
      <c r="CN77" s="216"/>
      <c r="CO77" s="216"/>
      <c r="CP77" s="216"/>
      <c r="CQ77" s="216"/>
    </row>
    <row r="78" spans="1:95" ht="22.5" customHeight="1" x14ac:dyDescent="0.25">
      <c r="A78" s="377"/>
      <c r="B78" s="259"/>
      <c r="C78" s="259"/>
      <c r="D78" s="259"/>
      <c r="E78" s="259"/>
      <c r="F78" s="216"/>
      <c r="G78" s="216"/>
      <c r="H78" s="216"/>
      <c r="I78" s="216"/>
      <c r="J78" s="216"/>
      <c r="K78" s="216"/>
      <c r="L78" s="216"/>
      <c r="M78" s="216"/>
      <c r="N78" s="216"/>
      <c r="O78" s="216"/>
      <c r="P78" s="216"/>
      <c r="Q78" s="216"/>
      <c r="R78" s="267"/>
      <c r="S78" s="267"/>
      <c r="T78" s="267"/>
      <c r="U78" s="267"/>
      <c r="V78" s="267"/>
      <c r="W78" s="267"/>
      <c r="X78" s="267"/>
      <c r="Y78" s="267"/>
      <c r="Z78" s="266"/>
      <c r="AA78" s="266"/>
      <c r="AB78" s="266"/>
      <c r="AC78" s="266"/>
      <c r="AD78" s="266"/>
      <c r="AE78" s="266"/>
      <c r="AF78" s="266"/>
      <c r="AG78" s="216"/>
      <c r="AH78" s="216"/>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216"/>
      <c r="BI78" s="216"/>
      <c r="BJ78" s="216"/>
      <c r="BK78" s="216"/>
      <c r="BL78" s="216"/>
      <c r="BM78" s="216"/>
      <c r="BN78" s="216"/>
      <c r="BO78" s="216"/>
      <c r="BP78" s="216"/>
      <c r="BQ78" s="216"/>
      <c r="BR78" s="216"/>
      <c r="BS78" s="216"/>
      <c r="BT78" s="216"/>
      <c r="BU78" s="216"/>
      <c r="BV78" s="216"/>
      <c r="BW78" s="216"/>
      <c r="BX78" s="216"/>
      <c r="BY78" s="216"/>
      <c r="BZ78" s="216"/>
      <c r="CA78" s="216"/>
      <c r="CB78" s="216"/>
      <c r="CC78" s="216"/>
      <c r="CD78" s="216"/>
      <c r="CE78" s="216"/>
      <c r="CF78" s="216"/>
      <c r="CG78" s="216"/>
      <c r="CH78" s="216"/>
      <c r="CI78" s="216"/>
      <c r="CJ78" s="216"/>
      <c r="CK78" s="216"/>
      <c r="CL78" s="216"/>
      <c r="CM78" s="216"/>
      <c r="CN78" s="216"/>
      <c r="CO78" s="216"/>
      <c r="CP78" s="216"/>
      <c r="CQ78" s="216"/>
    </row>
    <row r="79" spans="1:95" ht="22.5" customHeight="1" x14ac:dyDescent="0.25">
      <c r="A79" s="377"/>
      <c r="B79" s="259"/>
      <c r="C79" s="259"/>
      <c r="D79" s="259"/>
      <c r="E79" s="259"/>
      <c r="F79" s="216"/>
      <c r="G79" s="216"/>
      <c r="H79" s="216"/>
      <c r="I79" s="216"/>
      <c r="J79" s="216"/>
      <c r="K79" s="216"/>
      <c r="L79" s="216"/>
      <c r="M79" s="216"/>
      <c r="N79" s="216"/>
      <c r="O79" s="216"/>
      <c r="P79" s="216"/>
      <c r="Q79" s="216"/>
      <c r="R79" s="267"/>
      <c r="S79" s="267"/>
      <c r="T79" s="267"/>
      <c r="U79" s="267"/>
      <c r="V79" s="267"/>
      <c r="W79" s="267"/>
      <c r="X79" s="267"/>
      <c r="Y79" s="267"/>
      <c r="Z79" s="266"/>
      <c r="AA79" s="266"/>
      <c r="AB79" s="266"/>
      <c r="AC79" s="266"/>
      <c r="AD79" s="266"/>
      <c r="AE79" s="266"/>
      <c r="AF79" s="266"/>
      <c r="AG79" s="216"/>
      <c r="AH79" s="216"/>
      <c r="AI79" s="216"/>
      <c r="AJ79" s="216"/>
      <c r="AK79" s="216"/>
      <c r="AL79" s="216"/>
      <c r="AM79" s="216"/>
      <c r="AN79" s="216"/>
      <c r="AO79" s="216"/>
      <c r="AP79" s="216"/>
      <c r="AQ79" s="216"/>
      <c r="AR79" s="216"/>
      <c r="AS79" s="216"/>
      <c r="AT79" s="216"/>
      <c r="AU79" s="216"/>
      <c r="AV79" s="216"/>
      <c r="AW79" s="216"/>
      <c r="AX79" s="216"/>
      <c r="AY79" s="216"/>
      <c r="AZ79" s="216"/>
      <c r="BA79" s="216"/>
      <c r="BB79" s="216"/>
      <c r="BC79" s="216"/>
      <c r="BD79" s="216"/>
      <c r="BE79" s="216"/>
      <c r="BF79" s="216"/>
      <c r="BG79" s="216"/>
      <c r="BH79" s="216"/>
      <c r="BI79" s="216"/>
      <c r="BJ79" s="216"/>
      <c r="BK79" s="216"/>
      <c r="BL79" s="216"/>
      <c r="BM79" s="216"/>
      <c r="BN79" s="216"/>
      <c r="BO79" s="216"/>
      <c r="BP79" s="216"/>
      <c r="BQ79" s="216"/>
      <c r="BR79" s="216"/>
      <c r="BS79" s="216"/>
      <c r="BT79" s="216"/>
      <c r="BU79" s="216"/>
      <c r="BV79" s="216"/>
      <c r="BW79" s="216"/>
      <c r="BX79" s="216"/>
      <c r="BY79" s="216"/>
      <c r="BZ79" s="216"/>
      <c r="CA79" s="216"/>
      <c r="CB79" s="216"/>
      <c r="CC79" s="216"/>
      <c r="CD79" s="216"/>
      <c r="CE79" s="216"/>
      <c r="CF79" s="216"/>
      <c r="CG79" s="216"/>
      <c r="CH79" s="216"/>
      <c r="CI79" s="216"/>
      <c r="CJ79" s="216"/>
      <c r="CK79" s="216"/>
      <c r="CL79" s="216"/>
      <c r="CM79" s="216"/>
      <c r="CN79" s="216"/>
      <c r="CO79" s="216"/>
      <c r="CP79" s="216"/>
      <c r="CQ79" s="216"/>
    </row>
    <row r="80" spans="1:95" ht="22.5" customHeight="1" x14ac:dyDescent="0.25">
      <c r="A80" s="377"/>
      <c r="B80" s="259"/>
      <c r="C80" s="259"/>
      <c r="D80" s="259"/>
      <c r="E80" s="259"/>
      <c r="F80" s="216"/>
      <c r="G80" s="216"/>
      <c r="H80" s="216"/>
      <c r="I80" s="216"/>
      <c r="J80" s="216"/>
      <c r="K80" s="216"/>
      <c r="L80" s="216"/>
      <c r="M80" s="216"/>
      <c r="N80" s="216"/>
      <c r="O80" s="216"/>
      <c r="P80" s="216"/>
      <c r="Q80" s="216"/>
      <c r="R80" s="267"/>
      <c r="S80" s="267"/>
      <c r="T80" s="267"/>
      <c r="U80" s="267"/>
      <c r="V80" s="267"/>
      <c r="W80" s="267"/>
      <c r="X80" s="267"/>
      <c r="Y80" s="267"/>
      <c r="Z80" s="266"/>
      <c r="AA80" s="266"/>
      <c r="AB80" s="266"/>
      <c r="AC80" s="266"/>
      <c r="AD80" s="266"/>
      <c r="AE80" s="266"/>
      <c r="AF80" s="266"/>
      <c r="AG80" s="216"/>
      <c r="AH80" s="216"/>
      <c r="AI80" s="216"/>
      <c r="AJ80" s="216"/>
      <c r="AK80" s="216"/>
      <c r="AL80" s="216"/>
      <c r="AM80" s="216"/>
      <c r="AN80" s="216"/>
      <c r="AO80" s="216"/>
      <c r="AP80" s="216"/>
      <c r="AQ80" s="216"/>
      <c r="AR80" s="216"/>
      <c r="AS80" s="216"/>
      <c r="AT80" s="216"/>
      <c r="AU80" s="216"/>
      <c r="AV80" s="216"/>
      <c r="AW80" s="216"/>
      <c r="AX80" s="216"/>
      <c r="AY80" s="216"/>
      <c r="AZ80" s="216"/>
      <c r="BA80" s="216"/>
      <c r="BB80" s="216"/>
      <c r="BC80" s="216"/>
      <c r="BD80" s="216"/>
      <c r="BE80" s="216"/>
      <c r="BF80" s="216"/>
      <c r="BG80" s="216"/>
      <c r="BH80" s="216"/>
      <c r="BI80" s="216"/>
      <c r="BJ80" s="216"/>
      <c r="BK80" s="216"/>
      <c r="BL80" s="216"/>
      <c r="BM80" s="216"/>
      <c r="BN80" s="216"/>
      <c r="BO80" s="216"/>
      <c r="BP80" s="216"/>
      <c r="BQ80" s="216"/>
      <c r="BR80" s="216"/>
      <c r="BS80" s="216"/>
      <c r="BT80" s="216"/>
      <c r="BU80" s="216"/>
      <c r="BV80" s="216"/>
      <c r="BW80" s="216"/>
      <c r="BX80" s="216"/>
      <c r="BY80" s="216"/>
      <c r="BZ80" s="216"/>
      <c r="CA80" s="216"/>
      <c r="CB80" s="216"/>
      <c r="CC80" s="216"/>
      <c r="CD80" s="216"/>
      <c r="CE80" s="216"/>
      <c r="CF80" s="216"/>
      <c r="CG80" s="216"/>
      <c r="CH80" s="216"/>
      <c r="CI80" s="216"/>
      <c r="CJ80" s="216"/>
      <c r="CK80" s="216"/>
      <c r="CL80" s="216"/>
      <c r="CM80" s="216"/>
      <c r="CN80" s="216"/>
      <c r="CO80" s="216"/>
      <c r="CP80" s="216"/>
      <c r="CQ80" s="216"/>
    </row>
    <row r="81" spans="1:95" ht="22.5" customHeight="1" x14ac:dyDescent="0.25">
      <c r="A81" s="377"/>
      <c r="B81" s="259"/>
      <c r="C81" s="259"/>
      <c r="D81" s="259"/>
      <c r="E81" s="259"/>
      <c r="F81" s="216"/>
      <c r="G81" s="216"/>
      <c r="H81" s="216"/>
      <c r="I81" s="216"/>
      <c r="J81" s="216"/>
      <c r="K81" s="216"/>
      <c r="L81" s="216"/>
      <c r="M81" s="216"/>
      <c r="N81" s="216"/>
      <c r="O81" s="216"/>
      <c r="P81" s="216"/>
      <c r="Q81" s="216"/>
      <c r="R81" s="267"/>
      <c r="S81" s="267"/>
      <c r="T81" s="267"/>
      <c r="U81" s="267"/>
      <c r="V81" s="267"/>
      <c r="W81" s="267"/>
      <c r="X81" s="267"/>
      <c r="Y81" s="267"/>
      <c r="Z81" s="266"/>
      <c r="AA81" s="266"/>
      <c r="AB81" s="266"/>
      <c r="AC81" s="266"/>
      <c r="AD81" s="266"/>
      <c r="AE81" s="266"/>
      <c r="AF81" s="266"/>
      <c r="AG81" s="216"/>
      <c r="AH81" s="216"/>
      <c r="AI81" s="216"/>
      <c r="AJ81" s="216"/>
      <c r="AK81" s="216"/>
      <c r="AL81" s="216"/>
      <c r="AM81" s="216"/>
      <c r="AN81" s="216"/>
      <c r="AO81" s="216"/>
      <c r="AP81" s="216"/>
      <c r="AQ81" s="216"/>
      <c r="AR81" s="216"/>
      <c r="AS81" s="216"/>
      <c r="AT81" s="216"/>
      <c r="AU81" s="216"/>
      <c r="AV81" s="216"/>
      <c r="AW81" s="216"/>
      <c r="AX81" s="216"/>
      <c r="AY81" s="216"/>
      <c r="AZ81" s="216"/>
      <c r="BA81" s="216"/>
      <c r="BB81" s="216"/>
      <c r="BC81" s="216"/>
      <c r="BD81" s="216"/>
      <c r="BE81" s="216"/>
      <c r="BF81" s="216"/>
      <c r="BG81" s="216"/>
      <c r="BH81" s="216"/>
      <c r="BI81" s="216"/>
      <c r="BJ81" s="216"/>
      <c r="BK81" s="216"/>
      <c r="BL81" s="216"/>
      <c r="BM81" s="216"/>
      <c r="BN81" s="216"/>
      <c r="BO81" s="216"/>
      <c r="BP81" s="216"/>
      <c r="BQ81" s="216"/>
      <c r="BR81" s="216"/>
      <c r="BS81" s="216"/>
      <c r="BT81" s="216"/>
      <c r="BU81" s="216"/>
      <c r="BV81" s="216"/>
      <c r="BW81" s="216"/>
      <c r="BX81" s="216"/>
      <c r="BY81" s="216"/>
      <c r="BZ81" s="216"/>
      <c r="CA81" s="216"/>
      <c r="CB81" s="216"/>
      <c r="CC81" s="216"/>
      <c r="CD81" s="216"/>
      <c r="CE81" s="216"/>
      <c r="CF81" s="216"/>
      <c r="CG81" s="216"/>
      <c r="CH81" s="216"/>
      <c r="CI81" s="216"/>
      <c r="CJ81" s="216"/>
      <c r="CK81" s="216"/>
      <c r="CL81" s="216"/>
      <c r="CM81" s="216"/>
      <c r="CN81" s="216"/>
      <c r="CO81" s="216"/>
      <c r="CP81" s="216"/>
      <c r="CQ81" s="216"/>
    </row>
    <row r="82" spans="1:95" ht="8.25" customHeight="1" x14ac:dyDescent="0.25">
      <c r="A82" s="384"/>
      <c r="B82" s="384"/>
      <c r="C82" s="384"/>
      <c r="D82" s="384"/>
      <c r="E82" s="384"/>
      <c r="F82" s="225"/>
      <c r="G82" s="267"/>
      <c r="H82" s="267"/>
      <c r="I82" s="267"/>
      <c r="J82" s="267"/>
      <c r="K82" s="245"/>
      <c r="L82" s="267"/>
      <c r="M82" s="267"/>
      <c r="N82" s="267"/>
      <c r="O82" s="267"/>
      <c r="P82" s="267"/>
      <c r="Q82" s="267"/>
      <c r="R82" s="267"/>
      <c r="S82" s="267"/>
      <c r="T82" s="267"/>
      <c r="U82" s="267"/>
      <c r="V82" s="267"/>
      <c r="W82" s="267"/>
      <c r="X82" s="267"/>
      <c r="Y82" s="267"/>
      <c r="Z82" s="267"/>
      <c r="AA82" s="267"/>
      <c r="AB82" s="267"/>
      <c r="AC82" s="267"/>
      <c r="AD82" s="267"/>
      <c r="AE82" s="267"/>
      <c r="AF82" s="267"/>
      <c r="AG82" s="216"/>
      <c r="AH82" s="216"/>
      <c r="AI82" s="216"/>
      <c r="AJ82" s="216"/>
      <c r="AK82" s="216"/>
      <c r="AL82" s="216"/>
      <c r="AM82" s="216"/>
      <c r="AN82" s="216"/>
      <c r="AO82" s="216"/>
      <c r="AP82" s="216"/>
      <c r="AQ82" s="216"/>
      <c r="AR82" s="216"/>
      <c r="AS82" s="216"/>
      <c r="AT82" s="216"/>
      <c r="AU82" s="216"/>
      <c r="AV82" s="216"/>
      <c r="AW82" s="216"/>
      <c r="AX82" s="216"/>
      <c r="AY82" s="216"/>
      <c r="AZ82" s="216"/>
      <c r="BA82" s="216"/>
      <c r="BB82" s="216"/>
      <c r="BC82" s="216"/>
      <c r="BD82" s="216"/>
      <c r="BE82" s="216"/>
      <c r="BF82" s="216"/>
      <c r="BG82" s="216"/>
      <c r="BH82" s="216"/>
      <c r="BI82" s="216"/>
      <c r="BJ82" s="216"/>
      <c r="BK82" s="216"/>
      <c r="BL82" s="216"/>
      <c r="BM82" s="216"/>
      <c r="BN82" s="216"/>
      <c r="BO82" s="216"/>
      <c r="BP82" s="216"/>
      <c r="BQ82" s="216"/>
      <c r="BR82" s="216"/>
      <c r="BS82" s="216"/>
      <c r="BT82" s="216"/>
      <c r="BU82" s="216"/>
      <c r="BV82" s="216"/>
      <c r="BW82" s="216"/>
      <c r="BX82" s="216"/>
      <c r="BY82" s="216"/>
      <c r="BZ82" s="216"/>
      <c r="CA82" s="216"/>
      <c r="CB82" s="216"/>
      <c r="CC82" s="216"/>
      <c r="CD82" s="216"/>
      <c r="CE82" s="216"/>
      <c r="CF82" s="216"/>
      <c r="CG82" s="216"/>
      <c r="CH82" s="216"/>
      <c r="CI82" s="216"/>
      <c r="CJ82" s="216"/>
      <c r="CK82" s="216"/>
      <c r="CL82" s="216"/>
      <c r="CM82" s="216"/>
      <c r="CN82" s="216"/>
      <c r="CO82" s="216"/>
      <c r="CP82" s="216"/>
      <c r="CQ82" s="216"/>
    </row>
    <row r="83" spans="1:95" ht="60" customHeight="1" x14ac:dyDescent="0.25">
      <c r="A83" s="201">
        <v>40</v>
      </c>
      <c r="B83" s="254" t="s">
        <v>400</v>
      </c>
      <c r="C83" s="371" t="s">
        <v>398</v>
      </c>
      <c r="D83" s="397"/>
      <c r="E83" s="397"/>
      <c r="F83" s="216"/>
      <c r="G83" s="216"/>
      <c r="H83" s="216" t="s">
        <v>398</v>
      </c>
      <c r="I83" s="266" t="str">
        <f>C83</f>
        <v>STATE SCALE</v>
      </c>
      <c r="J83" s="216"/>
      <c r="K83" s="216"/>
      <c r="L83" s="216"/>
      <c r="M83" s="216"/>
      <c r="N83" s="267"/>
      <c r="O83" s="267"/>
      <c r="P83" s="267"/>
      <c r="Q83" s="267"/>
      <c r="R83" s="267"/>
      <c r="S83" s="267"/>
      <c r="T83" s="267"/>
      <c r="U83" s="267"/>
      <c r="V83" s="267"/>
      <c r="W83" s="267"/>
      <c r="X83" s="267"/>
      <c r="Y83" s="267"/>
      <c r="Z83" s="267"/>
      <c r="AA83" s="267"/>
      <c r="AB83" s="267"/>
      <c r="AC83" s="267"/>
      <c r="AD83" s="267"/>
      <c r="AE83" s="267"/>
      <c r="AF83" s="267"/>
      <c r="AG83" s="216"/>
      <c r="AH83" s="216"/>
      <c r="AI83" s="216"/>
      <c r="AJ83" s="216"/>
      <c r="AK83" s="216"/>
      <c r="AL83" s="216"/>
      <c r="AM83" s="216"/>
      <c r="AN83" s="216"/>
      <c r="AO83" s="216"/>
      <c r="AP83" s="216"/>
      <c r="AQ83" s="216"/>
      <c r="AR83" s="216"/>
      <c r="AS83" s="216"/>
      <c r="AT83" s="216"/>
      <c r="AU83" s="216"/>
      <c r="AV83" s="216"/>
      <c r="AW83" s="216"/>
      <c r="AX83" s="216"/>
      <c r="AY83" s="216"/>
      <c r="AZ83" s="216"/>
      <c r="BA83" s="216"/>
      <c r="BB83" s="216"/>
      <c r="BC83" s="216"/>
      <c r="BD83" s="216"/>
      <c r="BE83" s="216"/>
      <c r="BF83" s="216"/>
      <c r="BG83" s="216"/>
      <c r="BH83" s="216"/>
      <c r="BI83" s="216"/>
      <c r="BJ83" s="216"/>
      <c r="BK83" s="216"/>
      <c r="BL83" s="216"/>
      <c r="BM83" s="216"/>
      <c r="BN83" s="216"/>
      <c r="BO83" s="216"/>
      <c r="BP83" s="216"/>
      <c r="BQ83" s="216"/>
      <c r="BR83" s="216"/>
      <c r="BS83" s="216"/>
      <c r="BT83" s="216"/>
      <c r="BU83" s="216"/>
      <c r="BV83" s="216"/>
      <c r="BW83" s="216"/>
      <c r="BX83" s="216"/>
      <c r="BY83" s="216"/>
      <c r="BZ83" s="216"/>
      <c r="CA83" s="216"/>
      <c r="CB83" s="216"/>
      <c r="CC83" s="216"/>
      <c r="CD83" s="216"/>
      <c r="CE83" s="216"/>
      <c r="CF83" s="216"/>
      <c r="CG83" s="216"/>
      <c r="CH83" s="216"/>
      <c r="CI83" s="216"/>
      <c r="CJ83" s="216"/>
      <c r="CK83" s="216"/>
      <c r="CL83" s="216"/>
      <c r="CM83" s="216"/>
      <c r="CN83" s="216"/>
      <c r="CO83" s="216"/>
      <c r="CP83" s="216"/>
      <c r="CQ83" s="216"/>
    </row>
    <row r="84" spans="1:95" s="216" customFormat="1" ht="26.25" customHeight="1" x14ac:dyDescent="0.25">
      <c r="A84" s="67" t="s">
        <v>396</v>
      </c>
      <c r="B84" s="113" t="s">
        <v>96</v>
      </c>
      <c r="C84" s="213"/>
      <c r="D84" s="265" t="s">
        <v>281</v>
      </c>
      <c r="E84" s="391"/>
      <c r="H84" s="216" t="s">
        <v>399</v>
      </c>
      <c r="K84" s="217" t="str">
        <f>MID($C84,COLUMNS($C$84:C$84),1)</f>
        <v/>
      </c>
      <c r="L84" s="217" t="str">
        <f>MID($C84,COLUMNS($C$84:D$84),1)</f>
        <v/>
      </c>
      <c r="M84" s="217" t="str">
        <f>MID($C84,COLUMNS($C$84:E$84),1)</f>
        <v/>
      </c>
      <c r="N84" s="217" t="str">
        <f>MID($C84,COLUMNS($C$84:F$84),1)</f>
        <v/>
      </c>
      <c r="O84" s="217" t="str">
        <f>MID($C84,COLUMNS($C$84:G$84),1)</f>
        <v/>
      </c>
      <c r="P84" s="217" t="str">
        <f>MID($C84,COLUMNS($C$84:H$84),1)</f>
        <v/>
      </c>
      <c r="Q84" s="217" t="str">
        <f>MID($C84,COLUMNS($C$84:I$84),1)</f>
        <v/>
      </c>
      <c r="R84" s="266"/>
      <c r="S84" s="266"/>
      <c r="T84" s="266"/>
      <c r="U84" s="266"/>
      <c r="V84" s="266"/>
      <c r="W84" s="266"/>
      <c r="X84" s="266"/>
      <c r="Y84" s="267"/>
      <c r="Z84" s="267"/>
      <c r="AA84" s="267"/>
      <c r="AB84" s="267"/>
      <c r="AC84" s="267"/>
      <c r="AD84" s="267"/>
      <c r="AE84" s="267"/>
      <c r="AF84" s="267"/>
    </row>
    <row r="85" spans="1:95" s="216" customFormat="1" ht="26.25" customHeight="1" x14ac:dyDescent="0.25">
      <c r="A85" s="67" t="s">
        <v>397</v>
      </c>
      <c r="B85" s="113" t="s">
        <v>279</v>
      </c>
      <c r="C85" s="213"/>
      <c r="D85" s="265" t="s">
        <v>281</v>
      </c>
      <c r="E85" s="392"/>
      <c r="K85" s="217" t="str">
        <f>MID($C85,COLUMNS($C$85:C$85),1)</f>
        <v/>
      </c>
      <c r="L85" s="217" t="str">
        <f>MID($C85,COLUMNS($C$85:D$85),1)</f>
        <v/>
      </c>
      <c r="M85" s="217" t="str">
        <f>MID($C85,COLUMNS($C$85:E$85),1)</f>
        <v/>
      </c>
      <c r="N85" s="217" t="str">
        <f>MID($C85,COLUMNS($C$85:F$85),1)</f>
        <v/>
      </c>
      <c r="O85" s="217" t="str">
        <f>MID($C85,COLUMNS($C$85:G$85),1)</f>
        <v/>
      </c>
      <c r="P85" s="217" t="str">
        <f>MID($C85,COLUMNS($C$85:H$85),1)</f>
        <v/>
      </c>
      <c r="Q85" s="217" t="str">
        <f>MID($C85,COLUMNS($C$85:I$85),1)</f>
        <v/>
      </c>
      <c r="R85" s="266"/>
      <c r="S85" s="266"/>
      <c r="T85" s="266"/>
      <c r="U85" s="266"/>
      <c r="V85" s="266"/>
      <c r="W85" s="266"/>
      <c r="X85" s="266"/>
      <c r="Y85" s="267"/>
      <c r="Z85" s="267"/>
      <c r="AA85" s="267"/>
      <c r="AB85" s="267"/>
      <c r="AC85" s="267"/>
      <c r="AD85" s="267"/>
      <c r="AE85" s="267"/>
      <c r="AF85" s="267"/>
    </row>
    <row r="86" spans="1:95" s="216" customFormat="1" ht="26.25" customHeight="1" x14ac:dyDescent="0.25">
      <c r="A86" s="67" t="s">
        <v>277</v>
      </c>
      <c r="B86" s="113" t="s">
        <v>280</v>
      </c>
      <c r="C86" s="213"/>
      <c r="D86" s="265" t="s">
        <v>281</v>
      </c>
      <c r="E86" s="392"/>
      <c r="K86" s="217" t="str">
        <f>MID($C86,COLUMNS($C$86:C$86),1)</f>
        <v/>
      </c>
      <c r="L86" s="217" t="str">
        <f>MID($C86,COLUMNS($C$86:D$86),1)</f>
        <v/>
      </c>
      <c r="M86" s="217" t="str">
        <f>MID($C86,COLUMNS($C$86:E$86),1)</f>
        <v/>
      </c>
      <c r="N86" s="217" t="str">
        <f>MID($C86,COLUMNS($C$86:F$86),1)</f>
        <v/>
      </c>
      <c r="O86" s="217" t="str">
        <f>MID($C86,COLUMNS($C$86:G$86),1)</f>
        <v/>
      </c>
      <c r="P86" s="217" t="str">
        <f>MID($C86,COLUMNS($C$86:H$86),1)</f>
        <v/>
      </c>
      <c r="Q86" s="217" t="str">
        <f>MID($C86,COLUMNS($C$86:I$86),1)</f>
        <v/>
      </c>
      <c r="R86" s="266"/>
      <c r="S86" s="266"/>
      <c r="T86" s="266"/>
      <c r="U86" s="266"/>
      <c r="V86" s="266"/>
      <c r="W86" s="266"/>
      <c r="X86" s="266"/>
      <c r="Y86" s="267"/>
      <c r="Z86" s="267"/>
      <c r="AA86" s="267"/>
      <c r="AB86" s="267"/>
      <c r="AC86" s="267"/>
      <c r="AD86" s="267"/>
      <c r="AE86" s="267"/>
      <c r="AF86" s="267"/>
    </row>
    <row r="87" spans="1:95" s="216" customFormat="1" ht="26.25" customHeight="1" x14ac:dyDescent="0.25">
      <c r="A87" s="67" t="s">
        <v>278</v>
      </c>
      <c r="B87" s="113" t="s">
        <v>391</v>
      </c>
      <c r="C87" s="213"/>
      <c r="D87" s="265" t="s">
        <v>281</v>
      </c>
      <c r="E87" s="396"/>
      <c r="K87" s="217" t="str">
        <f>MID($C87,COLUMNS($C$87:C$87),1)</f>
        <v/>
      </c>
      <c r="L87" s="217" t="str">
        <f>MID($C87,COLUMNS($C$87:D$87),1)</f>
        <v/>
      </c>
      <c r="M87" s="217" t="str">
        <f>MID($C87,COLUMNS($C$87:E$87),1)</f>
        <v/>
      </c>
      <c r="N87" s="217" t="str">
        <f>MID($C87,COLUMNS($C$87:F$87),1)</f>
        <v/>
      </c>
      <c r="O87" s="217" t="str">
        <f>MID($C87,COLUMNS($C$87:G$87),1)</f>
        <v/>
      </c>
      <c r="P87" s="217" t="str">
        <f>MID($C87,COLUMNS($C$87:H$87),1)</f>
        <v/>
      </c>
      <c r="Q87" s="217" t="str">
        <f>MID($C87,COLUMNS($C$87:I$87),1)</f>
        <v/>
      </c>
      <c r="R87" s="266"/>
      <c r="S87" s="266"/>
      <c r="T87" s="266"/>
      <c r="U87" s="266"/>
      <c r="V87" s="266"/>
      <c r="W87" s="266"/>
      <c r="X87" s="266"/>
      <c r="Y87" s="267"/>
      <c r="Z87" s="267"/>
      <c r="AA87" s="267"/>
      <c r="AB87" s="267"/>
      <c r="AC87" s="267"/>
      <c r="AD87" s="267"/>
      <c r="AE87" s="267"/>
      <c r="AF87" s="267"/>
    </row>
    <row r="88" spans="1:95" ht="6" customHeight="1" x14ac:dyDescent="0.25">
      <c r="A88" s="384"/>
      <c r="B88" s="384"/>
      <c r="C88" s="384"/>
      <c r="D88" s="384"/>
      <c r="E88" s="384"/>
      <c r="F88" s="225"/>
      <c r="G88" s="267"/>
      <c r="H88" s="267"/>
      <c r="I88" s="267"/>
      <c r="J88" s="267"/>
      <c r="K88" s="245"/>
      <c r="L88" s="267"/>
      <c r="M88" s="267"/>
      <c r="N88" s="267"/>
      <c r="O88" s="267"/>
      <c r="P88" s="267"/>
      <c r="Q88" s="267"/>
      <c r="R88" s="267"/>
      <c r="S88" s="267"/>
      <c r="T88" s="267"/>
      <c r="U88" s="267"/>
      <c r="V88" s="267"/>
      <c r="W88" s="267"/>
      <c r="X88" s="267"/>
      <c r="Y88" s="267"/>
      <c r="Z88" s="267"/>
      <c r="AA88" s="267"/>
      <c r="AB88" s="267"/>
      <c r="AC88" s="267"/>
      <c r="AD88" s="267"/>
      <c r="AE88" s="267"/>
      <c r="AF88" s="267"/>
      <c r="AG88" s="216"/>
      <c r="AH88" s="216"/>
      <c r="AI88" s="216"/>
      <c r="AJ88" s="216"/>
      <c r="AK88" s="216"/>
      <c r="AL88" s="216"/>
      <c r="AM88" s="216"/>
      <c r="AN88" s="216"/>
      <c r="AO88" s="216"/>
      <c r="AP88" s="216"/>
      <c r="AQ88" s="216"/>
      <c r="AR88" s="216"/>
      <c r="AS88" s="216"/>
      <c r="AT88" s="216"/>
      <c r="AU88" s="216"/>
      <c r="AV88" s="216"/>
      <c r="AW88" s="216"/>
      <c r="AX88" s="216"/>
      <c r="AY88" s="216"/>
      <c r="AZ88" s="216"/>
      <c r="BA88" s="216"/>
      <c r="BB88" s="216"/>
      <c r="BC88" s="216"/>
      <c r="BD88" s="216"/>
      <c r="BE88" s="216"/>
      <c r="BF88" s="216"/>
      <c r="BG88" s="216"/>
      <c r="BH88" s="216"/>
      <c r="BI88" s="216"/>
      <c r="BJ88" s="216"/>
      <c r="BK88" s="216"/>
      <c r="BL88" s="216"/>
      <c r="BM88" s="216"/>
      <c r="BN88" s="216"/>
      <c r="BO88" s="216"/>
      <c r="BP88" s="216"/>
      <c r="BQ88" s="216"/>
      <c r="BR88" s="216"/>
      <c r="BS88" s="216"/>
      <c r="BT88" s="216"/>
      <c r="BU88" s="216"/>
      <c r="BV88" s="216"/>
      <c r="BW88" s="216"/>
      <c r="BX88" s="216"/>
      <c r="BY88" s="216"/>
      <c r="BZ88" s="216"/>
      <c r="CA88" s="216"/>
      <c r="CB88" s="216"/>
      <c r="CC88" s="216"/>
      <c r="CD88" s="216"/>
      <c r="CE88" s="216"/>
      <c r="CF88" s="216"/>
      <c r="CG88" s="216"/>
      <c r="CH88" s="216"/>
      <c r="CI88" s="216"/>
      <c r="CJ88" s="216"/>
      <c r="CK88" s="216"/>
      <c r="CL88" s="216"/>
      <c r="CM88" s="216"/>
      <c r="CN88" s="216"/>
      <c r="CO88" s="216"/>
      <c r="CP88" s="216"/>
      <c r="CQ88" s="216"/>
    </row>
    <row r="89" spans="1:95" ht="33" customHeight="1" x14ac:dyDescent="0.25">
      <c r="A89" s="201">
        <v>41</v>
      </c>
      <c r="B89" s="113" t="s">
        <v>282</v>
      </c>
      <c r="C89" s="260"/>
      <c r="D89" s="113"/>
      <c r="E89" s="113"/>
      <c r="F89" s="216"/>
      <c r="G89" s="216"/>
      <c r="H89" s="216"/>
      <c r="I89" s="216"/>
      <c r="J89" s="216"/>
      <c r="K89" s="217" t="str">
        <f>MID($C89,COLUMNS($C$89:C$89),1)</f>
        <v/>
      </c>
      <c r="L89" s="217" t="str">
        <f>MID($C89,COLUMNS($C$89:D$89),1)</f>
        <v/>
      </c>
      <c r="M89" s="217" t="str">
        <f>MID($C89,COLUMNS($C$89:E$89),1)</f>
        <v/>
      </c>
      <c r="N89" s="217" t="str">
        <f>MID($C89,COLUMNS($C$89:F$89),1)</f>
        <v/>
      </c>
      <c r="O89" s="217" t="str">
        <f>MID($C89,COLUMNS($C$89:G$89),1)</f>
        <v/>
      </c>
      <c r="P89" s="217" t="str">
        <f>MID($C89,COLUMNS($C$89:H$89),1)</f>
        <v/>
      </c>
      <c r="Q89" s="217" t="str">
        <f>MID($C89,COLUMNS($C$89:I$89),1)</f>
        <v/>
      </c>
      <c r="R89" s="217" t="str">
        <f>MID($C89,COLUMNS($C$89:J$89),1)</f>
        <v/>
      </c>
      <c r="S89" s="217" t="str">
        <f>MID($C89,COLUMNS($C$89:K$89),1)</f>
        <v/>
      </c>
      <c r="T89" s="217" t="str">
        <f>MID($C89,COLUMNS($C$89:L$89),1)</f>
        <v/>
      </c>
      <c r="U89" s="217" t="str">
        <f>MID($C89,COLUMNS($C$89:M$89),1)</f>
        <v/>
      </c>
      <c r="V89" s="217" t="str">
        <f>MID($C89,COLUMNS($C$89:N$89),1)</f>
        <v/>
      </c>
      <c r="W89" s="217" t="str">
        <f>MID($C89,COLUMNS($C$89:O$89),1)</f>
        <v/>
      </c>
      <c r="X89" s="217" t="str">
        <f>MID($C89,COLUMNS($C$89:P$89),1)</f>
        <v/>
      </c>
      <c r="Y89" s="217" t="str">
        <f>MID($C89,COLUMNS($C$89:Q$89),1)</f>
        <v/>
      </c>
      <c r="Z89" s="266"/>
      <c r="AA89" s="266"/>
      <c r="AB89" s="266"/>
      <c r="AC89" s="266"/>
      <c r="AD89" s="267"/>
      <c r="AE89" s="267"/>
      <c r="AF89" s="267"/>
      <c r="AG89" s="216"/>
      <c r="AH89" s="216"/>
      <c r="AI89" s="216"/>
      <c r="AJ89" s="216"/>
      <c r="AK89" s="216"/>
      <c r="AL89" s="216"/>
      <c r="AM89" s="216"/>
      <c r="AN89" s="216"/>
      <c r="AO89" s="216"/>
      <c r="AP89" s="216"/>
      <c r="AQ89" s="216"/>
      <c r="AR89" s="216"/>
      <c r="AS89" s="216"/>
      <c r="AT89" s="216"/>
      <c r="AU89" s="216"/>
      <c r="AV89" s="216"/>
      <c r="AW89" s="216"/>
      <c r="AX89" s="216"/>
      <c r="AY89" s="216"/>
      <c r="AZ89" s="216"/>
      <c r="BA89" s="216"/>
      <c r="BB89" s="216"/>
      <c r="BC89" s="216"/>
      <c r="BD89" s="216"/>
      <c r="BE89" s="216"/>
      <c r="BF89" s="216"/>
      <c r="BG89" s="216"/>
      <c r="BH89" s="216"/>
      <c r="BI89" s="216"/>
      <c r="BJ89" s="216"/>
      <c r="BK89" s="216"/>
      <c r="BL89" s="216"/>
      <c r="BM89" s="216"/>
      <c r="BN89" s="216"/>
      <c r="BO89" s="216"/>
      <c r="BP89" s="216"/>
      <c r="BQ89" s="216"/>
      <c r="BR89" s="216"/>
      <c r="BS89" s="216"/>
      <c r="BT89" s="216"/>
      <c r="BU89" s="216"/>
      <c r="BV89" s="216"/>
      <c r="BW89" s="216"/>
      <c r="BX89" s="216"/>
      <c r="BY89" s="216"/>
      <c r="BZ89" s="216"/>
      <c r="CA89" s="216"/>
      <c r="CB89" s="216"/>
      <c r="CC89" s="216"/>
      <c r="CD89" s="216"/>
      <c r="CE89" s="216"/>
      <c r="CF89" s="216"/>
      <c r="CG89" s="216"/>
      <c r="CH89" s="216"/>
      <c r="CI89" s="216"/>
      <c r="CJ89" s="216"/>
      <c r="CK89" s="216"/>
      <c r="CL89" s="216"/>
      <c r="CM89" s="216"/>
      <c r="CN89" s="216"/>
      <c r="CO89" s="216"/>
      <c r="CP89" s="216"/>
      <c r="CQ89" s="216"/>
    </row>
    <row r="90" spans="1:95" ht="6.75" customHeight="1" x14ac:dyDescent="0.25">
      <c r="A90" s="384"/>
      <c r="B90" s="384"/>
      <c r="C90" s="384"/>
      <c r="D90" s="384"/>
      <c r="E90" s="384"/>
      <c r="F90" s="225"/>
      <c r="G90" s="267"/>
      <c r="H90" s="267"/>
      <c r="I90" s="267"/>
      <c r="J90" s="267"/>
      <c r="K90" s="245"/>
      <c r="L90" s="267"/>
      <c r="M90" s="267"/>
      <c r="N90" s="267"/>
      <c r="O90" s="267"/>
      <c r="P90" s="267"/>
      <c r="Q90" s="267"/>
      <c r="R90" s="267"/>
      <c r="S90" s="267"/>
      <c r="T90" s="267"/>
      <c r="U90" s="267"/>
      <c r="V90" s="267"/>
      <c r="W90" s="267"/>
      <c r="X90" s="267"/>
      <c r="Y90" s="267"/>
      <c r="Z90" s="267"/>
      <c r="AA90" s="267"/>
      <c r="AB90" s="267"/>
      <c r="AC90" s="267"/>
      <c r="AD90" s="267"/>
      <c r="AE90" s="267"/>
      <c r="AF90" s="267"/>
      <c r="AG90" s="216"/>
      <c r="AH90" s="216"/>
      <c r="AI90" s="216"/>
      <c r="AJ90" s="216"/>
      <c r="AK90" s="216"/>
      <c r="AL90" s="216"/>
      <c r="AM90" s="216"/>
      <c r="AN90" s="216"/>
      <c r="AO90" s="216"/>
      <c r="AP90" s="216"/>
      <c r="AQ90" s="216"/>
      <c r="AR90" s="216"/>
      <c r="AS90" s="216"/>
      <c r="AT90" s="216"/>
      <c r="AU90" s="216"/>
      <c r="AV90" s="216"/>
      <c r="AW90" s="216"/>
      <c r="AX90" s="216"/>
      <c r="AY90" s="216"/>
      <c r="AZ90" s="216"/>
      <c r="BA90" s="216"/>
      <c r="BB90" s="216"/>
      <c r="BC90" s="216"/>
      <c r="BD90" s="216"/>
      <c r="BE90" s="216"/>
      <c r="BF90" s="216"/>
      <c r="BG90" s="216"/>
      <c r="BH90" s="216"/>
      <c r="BI90" s="216"/>
      <c r="BJ90" s="216"/>
      <c r="BK90" s="216"/>
      <c r="BL90" s="216"/>
      <c r="BM90" s="216"/>
      <c r="BN90" s="216"/>
      <c r="BO90" s="216"/>
      <c r="BP90" s="216"/>
      <c r="BQ90" s="216"/>
      <c r="BR90" s="216"/>
      <c r="BS90" s="216"/>
      <c r="BT90" s="216"/>
      <c r="BU90" s="216"/>
      <c r="BV90" s="216"/>
      <c r="BW90" s="216"/>
      <c r="BX90" s="216"/>
      <c r="BY90" s="216"/>
      <c r="BZ90" s="216"/>
      <c r="CA90" s="216"/>
      <c r="CB90" s="216"/>
      <c r="CC90" s="216"/>
      <c r="CD90" s="216"/>
      <c r="CE90" s="216"/>
      <c r="CF90" s="216"/>
      <c r="CG90" s="216"/>
      <c r="CH90" s="216"/>
      <c r="CI90" s="216"/>
      <c r="CJ90" s="216"/>
      <c r="CK90" s="216"/>
      <c r="CL90" s="216"/>
      <c r="CM90" s="216"/>
      <c r="CN90" s="216"/>
      <c r="CO90" s="216"/>
      <c r="CP90" s="216"/>
      <c r="CQ90" s="216"/>
    </row>
    <row r="91" spans="1:95" s="216" customFormat="1" ht="21" customHeight="1" x14ac:dyDescent="0.25">
      <c r="A91" s="201">
        <v>42</v>
      </c>
      <c r="B91" s="385" t="s">
        <v>283</v>
      </c>
      <c r="C91" s="385"/>
      <c r="D91" s="377"/>
      <c r="E91" s="377"/>
      <c r="K91" s="245"/>
      <c r="L91" s="267"/>
      <c r="M91" s="267"/>
      <c r="N91" s="267"/>
      <c r="O91" s="267"/>
      <c r="P91" s="267"/>
      <c r="Q91" s="267"/>
      <c r="R91" s="267"/>
      <c r="S91" s="267"/>
      <c r="T91" s="267"/>
      <c r="U91" s="267"/>
      <c r="V91" s="267"/>
      <c r="W91" s="267"/>
      <c r="X91" s="267"/>
      <c r="Y91" s="267"/>
      <c r="Z91" s="267"/>
      <c r="AA91" s="267"/>
      <c r="AB91" s="267"/>
      <c r="AC91" s="267"/>
      <c r="AD91" s="267"/>
      <c r="AE91" s="267"/>
      <c r="AF91" s="267"/>
    </row>
    <row r="92" spans="1:95" s="216" customFormat="1" ht="23.25" customHeight="1" x14ac:dyDescent="0.25">
      <c r="A92" s="201" t="s">
        <v>103</v>
      </c>
      <c r="B92" s="114" t="s">
        <v>198</v>
      </c>
      <c r="C92" s="213"/>
      <c r="D92" s="377"/>
      <c r="E92" s="377"/>
      <c r="F92" s="239"/>
      <c r="G92" s="267"/>
      <c r="H92" s="267"/>
      <c r="I92" s="267"/>
      <c r="J92" s="267"/>
      <c r="K92" s="217" t="str">
        <f>MID($C92,COLUMNS($C$92:C$92),1)</f>
        <v/>
      </c>
      <c r="L92" s="217" t="str">
        <f>MID($C92,COLUMNS($C$92:D$92),1)</f>
        <v/>
      </c>
      <c r="M92" s="217" t="str">
        <f>MID($C92,COLUMNS($C$92:E$92),1)</f>
        <v/>
      </c>
      <c r="N92" s="217" t="str">
        <f>MID($C92,COLUMNS($C$92:F$92),1)</f>
        <v/>
      </c>
      <c r="O92" s="217" t="str">
        <f>MID($C92,COLUMNS($C$92:G$92),1)</f>
        <v/>
      </c>
      <c r="P92" s="217" t="str">
        <f>MID($C92,COLUMNS($C$92:H$92),1)</f>
        <v/>
      </c>
      <c r="Q92" s="217" t="str">
        <f>MID($C92,COLUMNS($C$92:I$92),1)</f>
        <v/>
      </c>
      <c r="R92" s="217" t="str">
        <f>MID($C92,COLUMNS($C$92:J$92),1)</f>
        <v/>
      </c>
      <c r="S92" s="266"/>
      <c r="T92" s="266"/>
      <c r="U92" s="266"/>
      <c r="V92" s="266"/>
      <c r="W92" s="266"/>
      <c r="X92" s="266"/>
      <c r="Y92" s="266"/>
      <c r="Z92" s="267"/>
      <c r="AA92" s="267"/>
      <c r="AB92" s="267"/>
      <c r="AC92" s="267"/>
      <c r="AD92" s="267"/>
      <c r="AE92" s="267"/>
      <c r="AF92" s="267"/>
    </row>
    <row r="93" spans="1:95" s="216" customFormat="1" ht="23.25" customHeight="1" x14ac:dyDescent="0.25">
      <c r="A93" s="201" t="s">
        <v>104</v>
      </c>
      <c r="B93" s="114" t="s">
        <v>105</v>
      </c>
      <c r="C93" s="213"/>
      <c r="D93" s="377"/>
      <c r="E93" s="377"/>
      <c r="F93" s="239"/>
      <c r="G93" s="267"/>
      <c r="H93" s="267"/>
      <c r="I93" s="267"/>
      <c r="J93" s="267"/>
      <c r="K93" s="217" t="str">
        <f>MID($C93,COLUMNS($C$93:C$93),1)</f>
        <v/>
      </c>
      <c r="L93" s="217" t="str">
        <f>MID($C93,COLUMNS($C$93:D$93),1)</f>
        <v/>
      </c>
      <c r="M93" s="217" t="str">
        <f>MID($C93,COLUMNS($C$93:E$93),1)</f>
        <v/>
      </c>
      <c r="N93" s="217" t="str">
        <f>MID($C93,COLUMNS($C$93:F$93),1)</f>
        <v/>
      </c>
      <c r="O93" s="217" t="str">
        <f>MID($C93,COLUMNS($C$93:G$93),1)</f>
        <v/>
      </c>
      <c r="P93" s="217" t="str">
        <f>MID($C93,COLUMNS($C$93:H$93),1)</f>
        <v/>
      </c>
      <c r="Q93" s="217" t="str">
        <f>MID($C93,COLUMNS($C$93:I$93),1)</f>
        <v/>
      </c>
      <c r="R93" s="217" t="str">
        <f>MID($C93,COLUMNS($C$93:J$93),1)</f>
        <v/>
      </c>
      <c r="S93" s="266"/>
      <c r="T93" s="266"/>
      <c r="U93" s="266"/>
      <c r="V93" s="266"/>
      <c r="W93" s="266"/>
      <c r="X93" s="266"/>
      <c r="Y93" s="266"/>
      <c r="Z93" s="267"/>
      <c r="AA93" s="267"/>
      <c r="AB93" s="267"/>
      <c r="AC93" s="267"/>
      <c r="AD93" s="267"/>
      <c r="AE93" s="267"/>
      <c r="AF93" s="267"/>
    </row>
    <row r="94" spans="1:95" s="216" customFormat="1" ht="23.25" customHeight="1" x14ac:dyDescent="0.25">
      <c r="A94" s="201" t="s">
        <v>106</v>
      </c>
      <c r="B94" s="114" t="s">
        <v>107</v>
      </c>
      <c r="C94" s="213"/>
      <c r="D94" s="377"/>
      <c r="E94" s="377"/>
      <c r="F94" s="239"/>
      <c r="G94" s="267"/>
      <c r="H94" s="267"/>
      <c r="I94" s="267"/>
      <c r="J94" s="267"/>
      <c r="K94" s="217" t="str">
        <f>MID($C94,COLUMNS($C$94:C$94),1)</f>
        <v/>
      </c>
      <c r="L94" s="217" t="str">
        <f>MID($C94,COLUMNS($C$94:D$94),1)</f>
        <v/>
      </c>
      <c r="M94" s="217" t="str">
        <f>MID($C94,COLUMNS($C$94:E$94),1)</f>
        <v/>
      </c>
      <c r="N94" s="217" t="str">
        <f>MID($C94,COLUMNS($C$94:F$94),1)</f>
        <v/>
      </c>
      <c r="O94" s="217" t="str">
        <f>MID($C94,COLUMNS($C$94:G$94),1)</f>
        <v/>
      </c>
      <c r="P94" s="217" t="str">
        <f>MID($C94,COLUMNS($C$94:H$94),1)</f>
        <v/>
      </c>
      <c r="Q94" s="217" t="str">
        <f>MID($C94,COLUMNS($C$94:I$94),1)</f>
        <v/>
      </c>
      <c r="R94" s="217" t="str">
        <f>MID($C94,COLUMNS($C$94:J$94),1)</f>
        <v/>
      </c>
      <c r="S94" s="266"/>
      <c r="T94" s="266"/>
      <c r="U94" s="266"/>
      <c r="V94" s="266"/>
      <c r="W94" s="266"/>
      <c r="X94" s="266"/>
      <c r="Y94" s="266"/>
      <c r="Z94" s="267"/>
      <c r="AA94" s="267"/>
      <c r="AB94" s="267"/>
      <c r="AC94" s="267"/>
      <c r="AD94" s="267"/>
      <c r="AE94" s="267"/>
      <c r="AF94" s="267"/>
    </row>
    <row r="95" spans="1:95" s="216" customFormat="1" ht="23.25" customHeight="1" x14ac:dyDescent="0.25">
      <c r="A95" s="201" t="s">
        <v>108</v>
      </c>
      <c r="B95" s="114" t="s">
        <v>109</v>
      </c>
      <c r="C95" s="213"/>
      <c r="D95" s="377"/>
      <c r="E95" s="377"/>
      <c r="F95" s="239"/>
      <c r="G95" s="267"/>
      <c r="H95" s="267"/>
      <c r="I95" s="267"/>
      <c r="J95" s="267"/>
      <c r="K95" s="217" t="str">
        <f>MID($C95,COLUMNS($C$95:C$95),1)</f>
        <v/>
      </c>
      <c r="L95" s="217" t="str">
        <f>MID($C95,COLUMNS($C$95:D$95),1)</f>
        <v/>
      </c>
      <c r="M95" s="217" t="str">
        <f>MID($C95,COLUMNS($C$95:E$95),1)</f>
        <v/>
      </c>
      <c r="N95" s="217" t="str">
        <f>MID($C95,COLUMNS($C$95:F$95),1)</f>
        <v/>
      </c>
      <c r="O95" s="217" t="str">
        <f>MID($C95,COLUMNS($C$95:G$95),1)</f>
        <v/>
      </c>
      <c r="P95" s="217" t="str">
        <f>MID($C95,COLUMNS($C$95:H$95),1)</f>
        <v/>
      </c>
      <c r="Q95" s="217" t="str">
        <f>MID($C95,COLUMNS($C$95:I$95),1)</f>
        <v/>
      </c>
      <c r="R95" s="217" t="str">
        <f>MID($C95,COLUMNS($C$95:J$95),1)</f>
        <v/>
      </c>
      <c r="S95" s="266"/>
      <c r="T95" s="266"/>
      <c r="U95" s="266"/>
      <c r="V95" s="266"/>
      <c r="W95" s="266"/>
      <c r="X95" s="266"/>
      <c r="Y95" s="266"/>
      <c r="Z95" s="267"/>
      <c r="AA95" s="267"/>
      <c r="AB95" s="267"/>
      <c r="AC95" s="267"/>
      <c r="AD95" s="267"/>
      <c r="AE95" s="267"/>
      <c r="AF95" s="267"/>
    </row>
    <row r="96" spans="1:95" ht="8.25" customHeight="1" x14ac:dyDescent="0.25">
      <c r="A96" s="384"/>
      <c r="B96" s="384"/>
      <c r="C96" s="384"/>
      <c r="D96" s="377"/>
      <c r="E96" s="377"/>
      <c r="F96" s="216"/>
      <c r="G96" s="216"/>
      <c r="H96" s="216"/>
      <c r="I96" s="216"/>
      <c r="J96" s="216"/>
      <c r="K96" s="216"/>
      <c r="L96" s="216"/>
      <c r="M96" s="216"/>
      <c r="N96" s="267"/>
      <c r="O96" s="267"/>
      <c r="P96" s="267"/>
      <c r="Q96" s="267"/>
      <c r="R96" s="267"/>
      <c r="S96" s="267"/>
      <c r="T96" s="267"/>
      <c r="U96" s="267"/>
      <c r="V96" s="267"/>
      <c r="W96" s="267"/>
      <c r="X96" s="267"/>
      <c r="Y96" s="267"/>
      <c r="Z96" s="267"/>
      <c r="AA96" s="267"/>
      <c r="AB96" s="267"/>
      <c r="AC96" s="267"/>
      <c r="AD96" s="267"/>
      <c r="AE96" s="267"/>
      <c r="AF96" s="267"/>
      <c r="AG96" s="216"/>
      <c r="AH96" s="216"/>
      <c r="AI96" s="216"/>
      <c r="AJ96" s="216"/>
      <c r="AK96" s="216"/>
      <c r="AL96" s="216"/>
      <c r="AM96" s="216"/>
      <c r="AN96" s="216"/>
      <c r="AO96" s="216"/>
      <c r="AP96" s="216"/>
      <c r="AQ96" s="216"/>
      <c r="AR96" s="216"/>
      <c r="AS96" s="216"/>
      <c r="AT96" s="216"/>
      <c r="AU96" s="216"/>
      <c r="AV96" s="216"/>
      <c r="AW96" s="216"/>
      <c r="AX96" s="216"/>
      <c r="AY96" s="216"/>
      <c r="AZ96" s="216"/>
      <c r="BA96" s="216"/>
      <c r="BB96" s="216"/>
      <c r="BC96" s="216"/>
      <c r="BD96" s="216"/>
      <c r="BE96" s="216"/>
      <c r="BF96" s="216"/>
      <c r="BG96" s="216"/>
      <c r="BH96" s="216"/>
      <c r="BI96" s="216"/>
      <c r="BJ96" s="216"/>
      <c r="BK96" s="216"/>
      <c r="BL96" s="216"/>
      <c r="BM96" s="216"/>
      <c r="BN96" s="216"/>
      <c r="BO96" s="216"/>
      <c r="BP96" s="216"/>
      <c r="BQ96" s="216"/>
      <c r="BR96" s="216"/>
      <c r="BS96" s="216"/>
      <c r="BT96" s="216"/>
      <c r="BU96" s="216"/>
      <c r="BV96" s="216"/>
      <c r="BW96" s="216"/>
      <c r="BX96" s="216"/>
      <c r="BY96" s="216"/>
      <c r="BZ96" s="216"/>
      <c r="CA96" s="216"/>
      <c r="CB96" s="216"/>
      <c r="CC96" s="216"/>
      <c r="CD96" s="216"/>
      <c r="CE96" s="216"/>
      <c r="CF96" s="216"/>
      <c r="CG96" s="216"/>
      <c r="CH96" s="216"/>
      <c r="CI96" s="216"/>
      <c r="CJ96" s="216"/>
      <c r="CK96" s="216"/>
      <c r="CL96" s="216"/>
      <c r="CM96" s="216"/>
      <c r="CN96" s="216"/>
      <c r="CO96" s="216"/>
      <c r="CP96" s="216"/>
      <c r="CQ96" s="216"/>
    </row>
    <row r="97" spans="1:95" ht="38.25" customHeight="1" x14ac:dyDescent="0.25">
      <c r="A97" s="201">
        <v>43</v>
      </c>
      <c r="B97" s="224" t="s">
        <v>200</v>
      </c>
      <c r="C97" s="256"/>
      <c r="D97" s="377"/>
      <c r="E97" s="377"/>
      <c r="F97" s="225"/>
      <c r="G97" s="267"/>
      <c r="H97" s="267"/>
      <c r="I97" s="267"/>
      <c r="J97" s="267"/>
      <c r="K97" s="245"/>
      <c r="L97" s="267"/>
      <c r="M97" s="267"/>
      <c r="N97" s="267"/>
      <c r="O97" s="267"/>
      <c r="P97" s="372"/>
      <c r="Q97" s="372"/>
      <c r="R97" s="372"/>
      <c r="S97" s="372"/>
      <c r="T97" s="372"/>
      <c r="U97" s="372"/>
      <c r="V97" s="372"/>
      <c r="W97" s="372"/>
      <c r="X97" s="372"/>
      <c r="Y97" s="372"/>
      <c r="Z97" s="372"/>
      <c r="AA97" s="372"/>
      <c r="AB97" s="372"/>
      <c r="AC97" s="372"/>
      <c r="AD97" s="372"/>
      <c r="AE97" s="372"/>
      <c r="AF97" s="372"/>
      <c r="AG97" s="216"/>
      <c r="AH97" s="216"/>
      <c r="AI97" s="216"/>
      <c r="AJ97" s="216"/>
      <c r="AK97" s="216"/>
      <c r="AL97" s="216"/>
      <c r="AM97" s="216"/>
      <c r="AN97" s="216"/>
      <c r="AO97" s="216"/>
      <c r="AP97" s="216"/>
      <c r="AQ97" s="216"/>
      <c r="AR97" s="216"/>
      <c r="AS97" s="216"/>
      <c r="AT97" s="216"/>
      <c r="AU97" s="216"/>
      <c r="AV97" s="216"/>
      <c r="AW97" s="216"/>
      <c r="AX97" s="216"/>
      <c r="AY97" s="216"/>
      <c r="AZ97" s="216"/>
      <c r="BA97" s="216"/>
      <c r="BB97" s="216"/>
      <c r="BC97" s="216"/>
      <c r="BD97" s="216"/>
      <c r="BE97" s="216"/>
      <c r="BF97" s="216"/>
      <c r="BG97" s="216"/>
      <c r="BH97" s="216"/>
      <c r="BI97" s="216"/>
      <c r="BJ97" s="216"/>
      <c r="BK97" s="216"/>
      <c r="BL97" s="216"/>
      <c r="BM97" s="216"/>
      <c r="BN97" s="216"/>
      <c r="BO97" s="216"/>
      <c r="BP97" s="216"/>
      <c r="BQ97" s="216"/>
      <c r="BR97" s="216"/>
      <c r="BS97" s="216"/>
      <c r="BT97" s="216"/>
      <c r="BU97" s="216"/>
      <c r="BV97" s="216"/>
      <c r="BW97" s="216"/>
      <c r="BX97" s="216"/>
      <c r="BY97" s="216"/>
      <c r="BZ97" s="216"/>
      <c r="CA97" s="216"/>
      <c r="CB97" s="216"/>
      <c r="CC97" s="216"/>
      <c r="CD97" s="216"/>
      <c r="CE97" s="216"/>
      <c r="CF97" s="216"/>
      <c r="CG97" s="216"/>
      <c r="CH97" s="216"/>
      <c r="CI97" s="216"/>
      <c r="CJ97" s="216"/>
      <c r="CK97" s="216"/>
      <c r="CL97" s="216"/>
      <c r="CM97" s="216"/>
      <c r="CN97" s="216"/>
      <c r="CO97" s="216"/>
      <c r="CP97" s="216"/>
      <c r="CQ97" s="216"/>
    </row>
    <row r="98" spans="1:95" ht="38.25" customHeight="1" x14ac:dyDescent="0.25">
      <c r="A98" s="228">
        <v>44</v>
      </c>
      <c r="B98" s="224" t="s">
        <v>2</v>
      </c>
      <c r="C98" s="261"/>
      <c r="D98" s="377"/>
      <c r="E98" s="377"/>
      <c r="F98" s="240"/>
      <c r="G98" s="240"/>
      <c r="H98" s="216"/>
      <c r="I98" s="216"/>
      <c r="J98" s="216"/>
      <c r="K98" s="217"/>
      <c r="L98" s="216"/>
      <c r="M98" s="216"/>
      <c r="N98" s="216"/>
      <c r="O98" s="216"/>
      <c r="P98" s="216"/>
      <c r="Q98" s="216"/>
      <c r="R98" s="216"/>
      <c r="S98" s="216"/>
      <c r="T98" s="216"/>
      <c r="U98" s="216"/>
      <c r="V98" s="216"/>
      <c r="W98" s="216"/>
      <c r="X98" s="216"/>
      <c r="Y98" s="216"/>
      <c r="Z98" s="216"/>
      <c r="AA98" s="216"/>
      <c r="AB98" s="216"/>
      <c r="AC98" s="216"/>
      <c r="AD98" s="216"/>
      <c r="AE98" s="216"/>
      <c r="AF98" s="216"/>
      <c r="AG98" s="216"/>
      <c r="AH98" s="216"/>
      <c r="AI98" s="216"/>
      <c r="AJ98" s="216"/>
      <c r="AK98" s="216"/>
      <c r="AL98" s="216"/>
      <c r="AM98" s="216"/>
      <c r="AN98" s="216"/>
      <c r="AO98" s="216"/>
      <c r="AP98" s="216"/>
      <c r="AQ98" s="216"/>
      <c r="AR98" s="216"/>
      <c r="AS98" s="216"/>
      <c r="AT98" s="216"/>
      <c r="AU98" s="216"/>
      <c r="AV98" s="216"/>
      <c r="AW98" s="216"/>
      <c r="AX98" s="216"/>
      <c r="AY98" s="216"/>
      <c r="AZ98" s="216"/>
      <c r="BA98" s="216"/>
      <c r="BB98" s="216"/>
      <c r="BC98" s="216"/>
      <c r="BD98" s="216"/>
      <c r="BE98" s="216"/>
      <c r="BF98" s="216"/>
      <c r="BG98" s="216"/>
      <c r="BH98" s="216"/>
      <c r="BI98" s="216"/>
      <c r="BJ98" s="216"/>
      <c r="BK98" s="216"/>
      <c r="BL98" s="216"/>
      <c r="BM98" s="216"/>
      <c r="BN98" s="216"/>
      <c r="BO98" s="216"/>
      <c r="BP98" s="216"/>
      <c r="BQ98" s="216"/>
      <c r="BR98" s="216"/>
      <c r="BS98" s="216"/>
      <c r="BT98" s="216"/>
      <c r="BU98" s="216"/>
      <c r="BV98" s="216"/>
      <c r="BW98" s="216"/>
      <c r="BX98" s="216"/>
      <c r="BY98" s="216"/>
      <c r="BZ98" s="216"/>
      <c r="CA98" s="216"/>
      <c r="CB98" s="216"/>
      <c r="CC98" s="216"/>
      <c r="CD98" s="216"/>
      <c r="CE98" s="216"/>
      <c r="CF98" s="216"/>
      <c r="CG98" s="216"/>
      <c r="CH98" s="216"/>
      <c r="CI98" s="216"/>
      <c r="CJ98" s="216"/>
      <c r="CK98" s="216"/>
      <c r="CL98" s="216"/>
      <c r="CM98" s="216"/>
      <c r="CN98" s="216"/>
      <c r="CO98" s="216"/>
      <c r="CP98" s="216"/>
      <c r="CQ98" s="216"/>
    </row>
    <row r="99" spans="1:95" ht="38.25" customHeight="1" x14ac:dyDescent="0.25">
      <c r="A99" s="201">
        <v>45</v>
      </c>
      <c r="B99" s="224" t="s">
        <v>3</v>
      </c>
      <c r="C99" s="256"/>
      <c r="D99" s="377"/>
      <c r="E99" s="377"/>
      <c r="F99" s="216"/>
      <c r="G99" s="216"/>
      <c r="H99" s="216"/>
      <c r="I99" s="216"/>
      <c r="J99" s="216"/>
      <c r="K99" s="217"/>
      <c r="L99" s="216"/>
      <c r="M99" s="216"/>
      <c r="N99" s="216"/>
      <c r="O99" s="216"/>
      <c r="P99" s="216"/>
      <c r="Q99" s="216"/>
      <c r="R99" s="216"/>
      <c r="S99" s="216"/>
      <c r="T99" s="216"/>
      <c r="U99" s="216"/>
      <c r="V99" s="216"/>
      <c r="W99" s="216"/>
      <c r="X99" s="216"/>
      <c r="Y99" s="216"/>
      <c r="Z99" s="216"/>
      <c r="AA99" s="216"/>
      <c r="AB99" s="216"/>
      <c r="AC99" s="216"/>
      <c r="AD99" s="216"/>
      <c r="AE99" s="216"/>
      <c r="AF99" s="216"/>
      <c r="AG99" s="216"/>
      <c r="AH99" s="216"/>
      <c r="AI99" s="216"/>
      <c r="AJ99" s="216"/>
      <c r="AK99" s="216"/>
      <c r="AL99" s="216"/>
      <c r="AM99" s="216"/>
      <c r="AN99" s="216"/>
      <c r="AO99" s="216"/>
      <c r="AP99" s="216"/>
      <c r="AQ99" s="216"/>
      <c r="AR99" s="216"/>
      <c r="AS99" s="216"/>
      <c r="AT99" s="216"/>
      <c r="AU99" s="216"/>
      <c r="AV99" s="216"/>
      <c r="AW99" s="216"/>
      <c r="AX99" s="216"/>
      <c r="AY99" s="216"/>
      <c r="AZ99" s="216"/>
      <c r="BA99" s="216"/>
      <c r="BB99" s="216"/>
      <c r="BC99" s="216"/>
      <c r="BD99" s="216"/>
      <c r="BE99" s="216"/>
      <c r="BF99" s="216"/>
      <c r="BG99" s="216"/>
      <c r="BH99" s="216"/>
      <c r="BI99" s="216"/>
      <c r="BJ99" s="216"/>
      <c r="BK99" s="216"/>
      <c r="BL99" s="216"/>
      <c r="BM99" s="216"/>
      <c r="BN99" s="216"/>
      <c r="BO99" s="216"/>
      <c r="BP99" s="216"/>
      <c r="BQ99" s="216"/>
      <c r="BR99" s="216"/>
      <c r="BS99" s="216"/>
      <c r="BT99" s="216"/>
      <c r="BU99" s="216"/>
      <c r="BV99" s="216"/>
      <c r="BW99" s="216"/>
      <c r="BX99" s="216"/>
      <c r="BY99" s="216"/>
      <c r="BZ99" s="216"/>
      <c r="CA99" s="216"/>
      <c r="CB99" s="216"/>
      <c r="CC99" s="216"/>
      <c r="CD99" s="216"/>
      <c r="CE99" s="216"/>
      <c r="CF99" s="216"/>
      <c r="CG99" s="216"/>
      <c r="CH99" s="216"/>
      <c r="CI99" s="216"/>
      <c r="CJ99" s="216"/>
      <c r="CK99" s="216"/>
      <c r="CL99" s="216"/>
      <c r="CM99" s="216"/>
      <c r="CN99" s="216"/>
      <c r="CO99" s="216"/>
      <c r="CP99" s="216"/>
      <c r="CQ99" s="216"/>
    </row>
    <row r="100" spans="1:95" s="241" customFormat="1" ht="38.25" customHeight="1" x14ac:dyDescent="0.25">
      <c r="A100" s="201">
        <v>46</v>
      </c>
      <c r="B100" s="224" t="s">
        <v>209</v>
      </c>
      <c r="C100" s="256" t="s">
        <v>414</v>
      </c>
      <c r="D100" s="377"/>
      <c r="E100" s="377"/>
      <c r="F100" s="216"/>
      <c r="G100" s="263"/>
      <c r="H100" s="321"/>
      <c r="I100" s="321"/>
      <c r="J100" s="262" t="s">
        <v>414</v>
      </c>
      <c r="K100" s="321"/>
      <c r="L100" s="321"/>
      <c r="M100" s="321"/>
      <c r="N100" s="321"/>
      <c r="O100" s="321"/>
      <c r="P100" s="321"/>
      <c r="Q100" s="321"/>
      <c r="R100" s="321"/>
      <c r="S100" s="321"/>
      <c r="T100" s="321"/>
      <c r="U100" s="321"/>
      <c r="V100" s="321"/>
      <c r="W100" s="321"/>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1"/>
      <c r="BK100" s="321"/>
      <c r="BL100" s="321"/>
      <c r="BM100" s="321"/>
      <c r="BN100" s="321"/>
      <c r="BO100" s="321"/>
      <c r="BP100" s="321"/>
      <c r="BQ100" s="321"/>
      <c r="BR100" s="321"/>
      <c r="BS100" s="321"/>
      <c r="BT100" s="321"/>
      <c r="BU100" s="321"/>
      <c r="BV100" s="321"/>
      <c r="BW100" s="321"/>
      <c r="BX100" s="321"/>
      <c r="BY100" s="321"/>
      <c r="BZ100" s="321"/>
      <c r="CA100" s="321"/>
      <c r="CB100" s="321"/>
      <c r="CC100" s="321"/>
      <c r="CD100" s="321"/>
      <c r="CE100" s="321"/>
      <c r="CF100" s="321"/>
      <c r="CG100" s="321"/>
      <c r="CH100" s="321"/>
      <c r="CI100" s="321"/>
      <c r="CJ100" s="321"/>
      <c r="CK100" s="321"/>
      <c r="CL100" s="321"/>
      <c r="CM100" s="321"/>
      <c r="CN100" s="321"/>
      <c r="CO100" s="321"/>
      <c r="CP100" s="321"/>
      <c r="CQ100" s="321"/>
    </row>
    <row r="101" spans="1:95" ht="30.75" customHeight="1" x14ac:dyDescent="0.25">
      <c r="A101" s="201">
        <v>47</v>
      </c>
      <c r="B101" s="224" t="s">
        <v>7</v>
      </c>
      <c r="C101" s="256"/>
      <c r="D101" s="377"/>
      <c r="E101" s="377"/>
      <c r="F101" s="339"/>
      <c r="G101" s="264"/>
      <c r="H101" s="216"/>
      <c r="I101" s="216"/>
      <c r="J101" s="262" t="s">
        <v>349</v>
      </c>
      <c r="K101" s="217"/>
      <c r="L101" s="216"/>
      <c r="M101" s="216"/>
      <c r="N101" s="216"/>
      <c r="O101" s="216"/>
      <c r="P101" s="216"/>
      <c r="Q101" s="216"/>
      <c r="R101" s="216"/>
      <c r="S101" s="216"/>
      <c r="T101" s="216"/>
      <c r="U101" s="216"/>
      <c r="V101" s="216"/>
      <c r="W101" s="216"/>
      <c r="X101" s="216"/>
      <c r="Y101" s="216"/>
      <c r="Z101" s="216"/>
      <c r="AA101" s="216"/>
      <c r="AB101" s="216"/>
      <c r="AC101" s="216"/>
      <c r="AD101" s="216"/>
      <c r="AE101" s="216"/>
      <c r="AF101" s="216"/>
      <c r="AG101" s="216"/>
      <c r="AH101" s="216"/>
      <c r="AI101" s="216"/>
      <c r="AJ101" s="216"/>
      <c r="AK101" s="216"/>
      <c r="AL101" s="216"/>
      <c r="AM101" s="216"/>
      <c r="AN101" s="216"/>
      <c r="AO101" s="216"/>
      <c r="AP101" s="216"/>
      <c r="AQ101" s="216"/>
      <c r="AR101" s="216"/>
      <c r="AS101" s="216"/>
      <c r="AT101" s="216"/>
      <c r="AU101" s="216"/>
      <c r="AV101" s="216"/>
      <c r="AW101" s="216"/>
      <c r="AX101" s="216"/>
      <c r="AY101" s="216"/>
      <c r="AZ101" s="216"/>
      <c r="BA101" s="216"/>
      <c r="BB101" s="216"/>
      <c r="BC101" s="216"/>
      <c r="BD101" s="216"/>
      <c r="BE101" s="216"/>
      <c r="BF101" s="216"/>
      <c r="BG101" s="216"/>
      <c r="BH101" s="216"/>
      <c r="BI101" s="216"/>
      <c r="BJ101" s="216"/>
      <c r="BK101" s="216"/>
      <c r="BL101" s="216"/>
      <c r="BM101" s="216"/>
      <c r="BN101" s="216"/>
      <c r="BO101" s="216"/>
      <c r="BP101" s="216"/>
      <c r="BQ101" s="216"/>
      <c r="BR101" s="216"/>
      <c r="BS101" s="216"/>
      <c r="BT101" s="216"/>
      <c r="BU101" s="216"/>
      <c r="BV101" s="216"/>
      <c r="BW101" s="216"/>
      <c r="BX101" s="216"/>
      <c r="BY101" s="216"/>
      <c r="BZ101" s="216"/>
      <c r="CA101" s="216"/>
      <c r="CB101" s="216"/>
      <c r="CC101" s="216"/>
      <c r="CD101" s="216"/>
      <c r="CE101" s="216"/>
      <c r="CF101" s="216"/>
      <c r="CG101" s="216"/>
      <c r="CH101" s="216"/>
      <c r="CI101" s="216"/>
      <c r="CJ101" s="216"/>
      <c r="CK101" s="216"/>
      <c r="CL101" s="216"/>
      <c r="CM101" s="216"/>
      <c r="CN101" s="216"/>
      <c r="CO101" s="216"/>
      <c r="CP101" s="216"/>
      <c r="CQ101" s="216"/>
    </row>
    <row r="102" spans="1:95" ht="30.75" customHeight="1" x14ac:dyDescent="0.25">
      <c r="A102" s="201">
        <v>48</v>
      </c>
      <c r="B102" s="224" t="s">
        <v>8</v>
      </c>
      <c r="C102" s="256"/>
      <c r="D102" s="377"/>
      <c r="E102" s="377"/>
      <c r="F102" s="216"/>
      <c r="G102" s="263"/>
      <c r="H102" s="216"/>
      <c r="I102" s="216" t="s">
        <v>409</v>
      </c>
      <c r="J102" s="216"/>
      <c r="K102" s="217"/>
      <c r="L102" s="216"/>
      <c r="M102" s="216"/>
      <c r="N102" s="216"/>
      <c r="O102" s="216"/>
      <c r="P102" s="216"/>
      <c r="Q102" s="216"/>
      <c r="R102" s="216"/>
      <c r="S102" s="216"/>
      <c r="T102" s="216"/>
      <c r="U102" s="216"/>
      <c r="V102" s="216"/>
      <c r="W102" s="216"/>
      <c r="X102" s="216"/>
      <c r="Y102" s="216"/>
      <c r="Z102" s="216"/>
      <c r="AA102" s="216"/>
      <c r="AB102" s="216"/>
      <c r="AC102" s="216"/>
      <c r="AD102" s="216"/>
      <c r="AE102" s="216"/>
      <c r="AF102" s="216"/>
      <c r="AG102" s="216"/>
      <c r="AH102" s="216"/>
      <c r="AI102" s="216"/>
      <c r="AJ102" s="216"/>
      <c r="AK102" s="216"/>
      <c r="AL102" s="216"/>
      <c r="AM102" s="216"/>
      <c r="AN102" s="216"/>
      <c r="AO102" s="216"/>
      <c r="AP102" s="216"/>
      <c r="AQ102" s="216"/>
      <c r="AR102" s="216"/>
      <c r="AS102" s="216"/>
      <c r="AT102" s="216"/>
      <c r="AU102" s="216"/>
      <c r="AV102" s="216"/>
      <c r="AW102" s="216"/>
      <c r="AX102" s="216"/>
      <c r="AY102" s="216"/>
      <c r="AZ102" s="216"/>
      <c r="BA102" s="216"/>
      <c r="BB102" s="216"/>
      <c r="BC102" s="216"/>
      <c r="BD102" s="216"/>
      <c r="BE102" s="216"/>
      <c r="BF102" s="216"/>
      <c r="BG102" s="216"/>
      <c r="BH102" s="216"/>
      <c r="BI102" s="216"/>
      <c r="BJ102" s="216"/>
      <c r="BK102" s="216"/>
      <c r="BL102" s="216"/>
      <c r="BM102" s="216"/>
      <c r="BN102" s="216"/>
      <c r="BO102" s="216"/>
      <c r="BP102" s="216"/>
      <c r="BQ102" s="216"/>
      <c r="BR102" s="216"/>
      <c r="BS102" s="216"/>
      <c r="BT102" s="216"/>
      <c r="BU102" s="216"/>
      <c r="BV102" s="216"/>
      <c r="BW102" s="216"/>
      <c r="BX102" s="216"/>
      <c r="BY102" s="216"/>
      <c r="BZ102" s="216"/>
      <c r="CA102" s="216"/>
      <c r="CB102" s="216"/>
      <c r="CC102" s="216"/>
      <c r="CD102" s="216"/>
      <c r="CE102" s="216"/>
      <c r="CF102" s="216"/>
      <c r="CG102" s="216"/>
      <c r="CH102" s="216"/>
      <c r="CI102" s="216"/>
      <c r="CJ102" s="216"/>
      <c r="CK102" s="216"/>
      <c r="CL102" s="216"/>
      <c r="CM102" s="216"/>
      <c r="CN102" s="216"/>
      <c r="CO102" s="216"/>
      <c r="CP102" s="216"/>
      <c r="CQ102" s="216"/>
    </row>
    <row r="103" spans="1:95" ht="30.75" customHeight="1" x14ac:dyDescent="0.25">
      <c r="A103" s="201">
        <v>49</v>
      </c>
      <c r="B103" s="224" t="s">
        <v>148</v>
      </c>
      <c r="C103" s="256"/>
      <c r="D103" s="377"/>
      <c r="E103" s="377"/>
      <c r="G103" s="216"/>
      <c r="H103" s="216"/>
      <c r="I103" s="216" t="s">
        <v>423</v>
      </c>
      <c r="J103" s="216"/>
      <c r="K103" s="217"/>
      <c r="L103" s="216"/>
      <c r="M103" s="216"/>
      <c r="N103" s="216"/>
      <c r="O103" s="216"/>
      <c r="P103" s="216"/>
      <c r="Q103" s="216"/>
      <c r="R103" s="216"/>
      <c r="S103" s="216"/>
      <c r="T103" s="216"/>
      <c r="U103" s="216"/>
      <c r="V103" s="216"/>
      <c r="W103" s="216"/>
      <c r="X103" s="216"/>
      <c r="Y103" s="216"/>
      <c r="Z103" s="216"/>
      <c r="AA103" s="216"/>
      <c r="AB103" s="216"/>
      <c r="AC103" s="216"/>
      <c r="AD103" s="216"/>
      <c r="AE103" s="216"/>
      <c r="AF103" s="216"/>
      <c r="AG103" s="216"/>
      <c r="AH103" s="216"/>
      <c r="AI103" s="216"/>
      <c r="AJ103" s="216"/>
      <c r="AK103" s="216"/>
      <c r="AL103" s="216"/>
      <c r="AM103" s="216"/>
      <c r="AN103" s="216"/>
      <c r="AO103" s="216"/>
      <c r="AP103" s="216"/>
      <c r="AQ103" s="216"/>
      <c r="AR103" s="216"/>
      <c r="AS103" s="216"/>
      <c r="AT103" s="216"/>
      <c r="AU103" s="216"/>
      <c r="AV103" s="216"/>
      <c r="AW103" s="216"/>
      <c r="AX103" s="216"/>
      <c r="AY103" s="216"/>
      <c r="AZ103" s="216"/>
      <c r="BA103" s="216"/>
      <c r="BB103" s="216"/>
      <c r="BC103" s="216"/>
      <c r="BD103" s="216"/>
      <c r="BE103" s="216"/>
      <c r="BF103" s="216"/>
      <c r="BG103" s="216"/>
      <c r="BH103" s="216"/>
      <c r="BI103" s="216"/>
      <c r="BJ103" s="216"/>
      <c r="BK103" s="216"/>
      <c r="BL103" s="216"/>
      <c r="BM103" s="216"/>
      <c r="BN103" s="216"/>
      <c r="BO103" s="216"/>
      <c r="BP103" s="216"/>
      <c r="BQ103" s="216"/>
      <c r="BR103" s="216"/>
      <c r="BS103" s="216"/>
      <c r="BT103" s="216"/>
      <c r="BU103" s="216"/>
      <c r="BV103" s="216"/>
      <c r="BW103" s="216"/>
      <c r="BX103" s="216"/>
      <c r="BY103" s="216"/>
      <c r="BZ103" s="216"/>
      <c r="CA103" s="216"/>
      <c r="CB103" s="216"/>
      <c r="CC103" s="216"/>
      <c r="CD103" s="216"/>
      <c r="CE103" s="216"/>
      <c r="CF103" s="216"/>
      <c r="CG103" s="216"/>
      <c r="CH103" s="216"/>
      <c r="CI103" s="216"/>
      <c r="CJ103" s="216"/>
      <c r="CK103" s="216"/>
      <c r="CL103" s="216"/>
      <c r="CM103" s="216"/>
      <c r="CN103" s="216"/>
      <c r="CO103" s="216"/>
      <c r="CP103" s="216"/>
      <c r="CQ103" s="216"/>
    </row>
    <row r="104" spans="1:95" ht="93" customHeight="1" x14ac:dyDescent="0.25">
      <c r="A104" s="270">
        <v>50</v>
      </c>
      <c r="B104" s="224" t="s">
        <v>157</v>
      </c>
      <c r="C104" s="256" t="s">
        <v>409</v>
      </c>
      <c r="D104" s="377"/>
      <c r="E104" s="377"/>
      <c r="H104" s="216" t="str">
        <f>IF(C104&lt;="0"," ",C104)</f>
        <v>APPLICABLE</v>
      </c>
    </row>
    <row r="105" spans="1:95" ht="30" customHeight="1" x14ac:dyDescent="0.25">
      <c r="A105" s="201">
        <v>50</v>
      </c>
      <c r="B105" s="224" t="s">
        <v>158</v>
      </c>
      <c r="C105" s="246"/>
      <c r="D105" s="377"/>
      <c r="E105" s="377"/>
      <c r="G105" s="216"/>
      <c r="H105" s="216"/>
      <c r="I105" s="216"/>
      <c r="J105" s="216"/>
      <c r="K105" s="217"/>
      <c r="L105" s="216"/>
      <c r="M105" s="216"/>
      <c r="N105" s="216"/>
      <c r="O105" s="216"/>
      <c r="P105" s="216"/>
      <c r="Q105" s="216"/>
      <c r="R105" s="216"/>
      <c r="S105" s="216"/>
      <c r="T105" s="216"/>
      <c r="U105" s="216"/>
      <c r="V105" s="216"/>
      <c r="W105" s="216"/>
      <c r="X105" s="216"/>
      <c r="Y105" s="216"/>
      <c r="Z105" s="216"/>
      <c r="AA105" s="216"/>
      <c r="AB105" s="216"/>
      <c r="AC105" s="216"/>
      <c r="AD105" s="216"/>
      <c r="AE105" s="216"/>
      <c r="AF105" s="216"/>
      <c r="AG105" s="216"/>
      <c r="AH105" s="216"/>
      <c r="AI105" s="216"/>
      <c r="AJ105" s="216"/>
      <c r="AK105" s="216"/>
      <c r="AL105" s="216"/>
      <c r="AM105" s="216"/>
      <c r="AN105" s="216"/>
      <c r="AO105" s="216"/>
      <c r="AP105" s="216"/>
      <c r="AQ105" s="216"/>
      <c r="AR105" s="216"/>
      <c r="AS105" s="216"/>
      <c r="AT105" s="216"/>
      <c r="AU105" s="216"/>
      <c r="AV105" s="216"/>
      <c r="AW105" s="216"/>
      <c r="AX105" s="216"/>
      <c r="AY105" s="216"/>
      <c r="AZ105" s="216"/>
      <c r="BA105" s="216"/>
      <c r="BB105" s="216"/>
      <c r="BC105" s="216"/>
      <c r="BD105" s="216"/>
      <c r="BE105" s="216"/>
      <c r="BF105" s="216"/>
      <c r="BG105" s="216"/>
      <c r="BH105" s="216"/>
      <c r="BI105" s="216"/>
      <c r="BJ105" s="216"/>
      <c r="BK105" s="216"/>
      <c r="BL105" s="216"/>
      <c r="BM105" s="216"/>
      <c r="BN105" s="216"/>
      <c r="BO105" s="216"/>
      <c r="BP105" s="216"/>
      <c r="BQ105" s="216"/>
      <c r="BR105" s="216"/>
      <c r="BS105" s="216"/>
      <c r="BT105" s="216"/>
      <c r="BU105" s="216"/>
      <c r="BV105" s="216"/>
      <c r="BW105" s="216"/>
      <c r="BX105" s="216"/>
      <c r="BY105" s="216"/>
      <c r="BZ105" s="216"/>
      <c r="CA105" s="216"/>
      <c r="CB105" s="216"/>
      <c r="CC105" s="216"/>
      <c r="CD105" s="216"/>
      <c r="CE105" s="216"/>
      <c r="CF105" s="216"/>
      <c r="CG105" s="216"/>
      <c r="CH105" s="216"/>
      <c r="CI105" s="216"/>
      <c r="CJ105" s="216"/>
      <c r="CK105" s="216"/>
      <c r="CL105" s="216"/>
      <c r="CM105" s="216"/>
      <c r="CN105" s="216"/>
      <c r="CO105" s="216"/>
      <c r="CP105" s="216"/>
      <c r="CQ105" s="216"/>
    </row>
    <row r="106" spans="1:95" x14ac:dyDescent="0.25">
      <c r="G106" s="216"/>
      <c r="H106" s="216"/>
      <c r="I106" s="216"/>
      <c r="J106" s="216"/>
      <c r="K106" s="217"/>
      <c r="L106" s="216"/>
      <c r="M106" s="216"/>
      <c r="N106" s="216"/>
      <c r="O106" s="216"/>
      <c r="P106" s="216"/>
      <c r="Q106" s="216"/>
      <c r="R106" s="216"/>
      <c r="S106" s="216"/>
      <c r="T106" s="216"/>
      <c r="U106" s="216"/>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16"/>
      <c r="BB106" s="216"/>
      <c r="BC106" s="216"/>
      <c r="BD106" s="216"/>
      <c r="BE106" s="216"/>
      <c r="BF106" s="216"/>
      <c r="BG106" s="216"/>
      <c r="BH106" s="216"/>
      <c r="BI106" s="216"/>
      <c r="BJ106" s="216"/>
      <c r="BK106" s="216"/>
      <c r="BL106" s="216"/>
      <c r="BM106" s="216"/>
      <c r="BN106" s="216"/>
      <c r="BO106" s="216"/>
      <c r="BP106" s="216"/>
      <c r="BQ106" s="216"/>
      <c r="BR106" s="216"/>
      <c r="BS106" s="216"/>
      <c r="BT106" s="216"/>
      <c r="BU106" s="216"/>
      <c r="BV106" s="216"/>
      <c r="BW106" s="216"/>
      <c r="BX106" s="216"/>
      <c r="BY106" s="216"/>
      <c r="BZ106" s="216"/>
      <c r="CA106" s="216"/>
      <c r="CB106" s="216"/>
      <c r="CC106" s="216"/>
      <c r="CD106" s="216"/>
      <c r="CE106" s="216"/>
      <c r="CF106" s="216"/>
      <c r="CG106" s="216"/>
      <c r="CH106" s="216"/>
      <c r="CI106" s="216"/>
      <c r="CJ106" s="216"/>
      <c r="CK106" s="216"/>
      <c r="CL106" s="216"/>
      <c r="CM106" s="216"/>
      <c r="CN106" s="216"/>
      <c r="CO106" s="216"/>
      <c r="CP106" s="216"/>
      <c r="CQ106" s="216"/>
    </row>
    <row r="107" spans="1:95" x14ac:dyDescent="0.25">
      <c r="G107" s="216"/>
      <c r="H107" s="216"/>
      <c r="I107" s="216"/>
      <c r="J107" s="216"/>
      <c r="K107" s="217"/>
      <c r="L107" s="216"/>
      <c r="M107" s="216"/>
      <c r="N107" s="216"/>
      <c r="O107" s="216"/>
      <c r="P107" s="216"/>
      <c r="Q107" s="216"/>
      <c r="R107" s="216"/>
      <c r="S107" s="216"/>
      <c r="T107" s="216"/>
      <c r="U107" s="216"/>
      <c r="V107" s="216"/>
      <c r="W107" s="216"/>
      <c r="X107" s="216"/>
      <c r="Y107" s="216"/>
      <c r="Z107" s="216"/>
      <c r="AA107" s="216"/>
      <c r="AB107" s="216"/>
      <c r="AC107" s="216"/>
      <c r="AD107" s="216"/>
      <c r="AE107" s="216"/>
      <c r="AF107" s="216"/>
      <c r="AG107" s="216"/>
      <c r="AH107" s="216"/>
      <c r="AI107" s="216"/>
      <c r="AJ107" s="216"/>
      <c r="AK107" s="216"/>
      <c r="AL107" s="216"/>
      <c r="AM107" s="216"/>
      <c r="AN107" s="216"/>
      <c r="AO107" s="216"/>
      <c r="AP107" s="216"/>
      <c r="AQ107" s="216"/>
      <c r="AR107" s="216"/>
      <c r="AS107" s="216"/>
      <c r="AT107" s="216"/>
      <c r="AU107" s="216"/>
      <c r="AV107" s="216"/>
      <c r="AW107" s="216"/>
      <c r="AX107" s="216"/>
      <c r="AY107" s="216"/>
      <c r="AZ107" s="216"/>
      <c r="BA107" s="216"/>
      <c r="BB107" s="216"/>
      <c r="BC107" s="216"/>
      <c r="BD107" s="216"/>
      <c r="BE107" s="216"/>
      <c r="BF107" s="216"/>
      <c r="BG107" s="216"/>
      <c r="BH107" s="216"/>
      <c r="BI107" s="216"/>
      <c r="BJ107" s="216"/>
      <c r="BK107" s="216"/>
      <c r="BL107" s="216"/>
      <c r="BM107" s="216"/>
      <c r="BN107" s="216"/>
      <c r="BO107" s="216"/>
      <c r="BP107" s="216"/>
      <c r="BQ107" s="216"/>
      <c r="BR107" s="216"/>
      <c r="BS107" s="216"/>
      <c r="BT107" s="216"/>
      <c r="BU107" s="216"/>
      <c r="BV107" s="216"/>
      <c r="BW107" s="216"/>
      <c r="BX107" s="216"/>
      <c r="BY107" s="216"/>
      <c r="BZ107" s="216"/>
      <c r="CA107" s="216"/>
      <c r="CB107" s="216"/>
      <c r="CC107" s="216"/>
      <c r="CD107" s="216"/>
      <c r="CE107" s="216"/>
      <c r="CF107" s="216"/>
      <c r="CG107" s="216"/>
      <c r="CH107" s="216"/>
      <c r="CI107" s="216"/>
      <c r="CJ107" s="216"/>
      <c r="CK107" s="216"/>
      <c r="CL107" s="216"/>
      <c r="CM107" s="216"/>
      <c r="CN107" s="216"/>
      <c r="CO107" s="216"/>
      <c r="CP107" s="216"/>
      <c r="CQ107" s="216"/>
    </row>
    <row r="108" spans="1:95" x14ac:dyDescent="0.25">
      <c r="G108" s="216"/>
      <c r="H108" s="216"/>
      <c r="I108" s="216"/>
      <c r="J108" s="216"/>
      <c r="K108" s="217"/>
      <c r="L108" s="218" t="str">
        <f>TRIM(PENSION!M11&amp;""&amp;PENSION!N11&amp;""&amp;PENSION!O11&amp;""&amp;PENSION!P11&amp;""&amp;PENSION!Q11&amp;""&amp;PENSION!R11&amp;""&amp;PENSION!S11&amp;""&amp;PENSION!T11&amp;""&amp;PENSION!U11&amp;"  "&amp;PENSION!V11&amp;""&amp;PENSION!W11&amp;""&amp;PENSION!X11&amp;""&amp;PENSION!Y11&amp;""&amp;PENSION!Z11&amp;""&amp;PENSION!AA11&amp;""&amp;PENSION!AB11&amp;""&amp;PENSION!AC11&amp;""&amp;PENSION!B13&amp;""&amp;PENSION!C13&amp;""&amp;PENSION!D13&amp;""&amp;PENSION!E13&amp;""&amp;PENSION!F13&amp;""&amp;PENSION!G13&amp;""&amp;PENSION!H13&amp;""&amp;PENSION!I13&amp;""&amp;PENSION!J13&amp;""&amp;PENSION!K13&amp;""&amp;PENSION!L13&amp;""&amp;PENSION!M13&amp;""&amp;PENSION!N13&amp;""&amp;PENSION!O13&amp;""&amp;PENSION!P13&amp;""&amp;PENSION!Q13&amp;""&amp;PENSION!R13&amp;""&amp;PENSION!S13&amp;""&amp;PENSION!T13&amp;""&amp;PENSION!U13&amp;""&amp;PENSION!V13&amp;""&amp;PENSION!W13&amp;""&amp;PENSION!X13&amp;""&amp;PENSION!Y13&amp;""&amp;PENSION!Z13&amp;""&amp;PENSION!AA13&amp;""&amp;PENSION!AB13&amp;""&amp;PENSION!AC13)</f>
        <v/>
      </c>
      <c r="M108" s="216"/>
      <c r="N108" s="216"/>
      <c r="O108" s="216"/>
      <c r="P108" s="216"/>
      <c r="Q108" s="216"/>
      <c r="R108" s="216"/>
      <c r="S108" s="216"/>
      <c r="T108" s="216"/>
      <c r="U108" s="216"/>
      <c r="V108" s="216"/>
      <c r="W108" s="216"/>
      <c r="X108" s="216"/>
      <c r="Y108" s="216"/>
      <c r="Z108" s="216"/>
      <c r="AA108" s="216"/>
      <c r="AB108" s="216"/>
      <c r="AC108" s="216"/>
      <c r="AD108" s="216"/>
      <c r="AE108" s="216"/>
      <c r="AF108" s="216"/>
      <c r="AG108" s="216"/>
      <c r="AH108" s="216"/>
      <c r="AI108" s="216"/>
      <c r="AJ108" s="216"/>
      <c r="AK108" s="216"/>
      <c r="AL108" s="216"/>
      <c r="AM108" s="216"/>
      <c r="AN108" s="216"/>
      <c r="AO108" s="216"/>
      <c r="AP108" s="216"/>
      <c r="AQ108" s="216"/>
      <c r="AR108" s="216"/>
      <c r="AS108" s="216"/>
      <c r="AT108" s="216"/>
      <c r="AU108" s="216"/>
      <c r="AV108" s="216"/>
      <c r="AW108" s="216"/>
      <c r="AX108" s="216"/>
      <c r="AY108" s="216"/>
      <c r="AZ108" s="216"/>
      <c r="BA108" s="216"/>
      <c r="BB108" s="216"/>
      <c r="BC108" s="216"/>
      <c r="BD108" s="216"/>
      <c r="BE108" s="216"/>
      <c r="BF108" s="216"/>
      <c r="BG108" s="216"/>
      <c r="BH108" s="216"/>
      <c r="BI108" s="216"/>
      <c r="BJ108" s="216"/>
      <c r="BK108" s="216"/>
      <c r="BL108" s="216"/>
      <c r="BM108" s="216"/>
      <c r="BN108" s="216"/>
      <c r="BO108" s="216"/>
      <c r="BP108" s="216"/>
      <c r="BQ108" s="216"/>
      <c r="BR108" s="216"/>
      <c r="BS108" s="216"/>
      <c r="BT108" s="216"/>
      <c r="BU108" s="216"/>
      <c r="BV108" s="216"/>
      <c r="BW108" s="216"/>
      <c r="BX108" s="216"/>
      <c r="BY108" s="216"/>
      <c r="BZ108" s="216"/>
      <c r="CA108" s="216"/>
      <c r="CB108" s="216"/>
      <c r="CC108" s="216"/>
      <c r="CD108" s="216"/>
      <c r="CE108" s="216"/>
      <c r="CF108" s="216"/>
      <c r="CG108" s="216"/>
      <c r="CH108" s="216"/>
      <c r="CI108" s="216"/>
      <c r="CJ108" s="216"/>
      <c r="CK108" s="216"/>
      <c r="CL108" s="216"/>
      <c r="CM108" s="216"/>
      <c r="CN108" s="216"/>
      <c r="CO108" s="216"/>
      <c r="CP108" s="216"/>
      <c r="CQ108" s="216"/>
    </row>
    <row r="109" spans="1:95" x14ac:dyDescent="0.25">
      <c r="G109" s="216"/>
      <c r="H109" s="216"/>
      <c r="I109" s="216"/>
      <c r="J109" s="216"/>
      <c r="K109" s="217"/>
      <c r="L109" s="216"/>
      <c r="M109" s="216"/>
      <c r="N109" s="216"/>
      <c r="O109" s="216"/>
      <c r="P109" s="216"/>
      <c r="Q109" s="216"/>
      <c r="R109" s="216"/>
      <c r="S109" s="216"/>
      <c r="T109" s="216"/>
      <c r="U109" s="216"/>
      <c r="V109" s="216"/>
      <c r="W109" s="216"/>
      <c r="X109" s="216"/>
      <c r="Y109" s="216"/>
      <c r="Z109" s="216"/>
      <c r="AA109" s="216"/>
      <c r="AB109" s="216"/>
      <c r="AC109" s="216"/>
      <c r="AD109" s="216"/>
      <c r="AE109" s="216"/>
      <c r="AF109" s="216"/>
      <c r="AG109" s="216"/>
      <c r="AH109" s="216"/>
      <c r="AI109" s="216"/>
      <c r="AJ109" s="216"/>
      <c r="AK109" s="216"/>
      <c r="AL109" s="216"/>
      <c r="AM109" s="216"/>
      <c r="AN109" s="216"/>
      <c r="AO109" s="216"/>
      <c r="AP109" s="216"/>
      <c r="AQ109" s="216"/>
      <c r="AR109" s="216"/>
      <c r="AS109" s="216"/>
      <c r="AT109" s="216"/>
      <c r="AU109" s="216"/>
      <c r="AV109" s="216"/>
      <c r="AW109" s="216"/>
      <c r="AX109" s="216"/>
      <c r="AY109" s="216"/>
      <c r="AZ109" s="216"/>
      <c r="BA109" s="216"/>
      <c r="BB109" s="216"/>
      <c r="BC109" s="216"/>
      <c r="BD109" s="216"/>
      <c r="BE109" s="216"/>
      <c r="BF109" s="216"/>
      <c r="BG109" s="216"/>
      <c r="BH109" s="216"/>
      <c r="BI109" s="216"/>
      <c r="BJ109" s="216"/>
      <c r="BK109" s="216"/>
      <c r="BL109" s="216"/>
      <c r="BM109" s="216"/>
      <c r="BN109" s="216"/>
      <c r="BO109" s="216"/>
      <c r="BP109" s="216"/>
      <c r="BQ109" s="216"/>
      <c r="BR109" s="216"/>
      <c r="BS109" s="216"/>
      <c r="BT109" s="216"/>
      <c r="BU109" s="216"/>
      <c r="BV109" s="216"/>
      <c r="BW109" s="216"/>
      <c r="BX109" s="216"/>
      <c r="BY109" s="216"/>
      <c r="BZ109" s="216"/>
      <c r="CA109" s="216"/>
      <c r="CB109" s="216"/>
      <c r="CC109" s="216"/>
      <c r="CD109" s="216"/>
      <c r="CE109" s="216"/>
      <c r="CF109" s="216"/>
      <c r="CG109" s="216"/>
      <c r="CH109" s="216"/>
      <c r="CI109" s="216"/>
      <c r="CJ109" s="216"/>
      <c r="CK109" s="216"/>
      <c r="CL109" s="216"/>
      <c r="CM109" s="216"/>
      <c r="CN109" s="216"/>
      <c r="CO109" s="216"/>
      <c r="CP109" s="216"/>
      <c r="CQ109" s="216"/>
    </row>
    <row r="110" spans="1:95" x14ac:dyDescent="0.25">
      <c r="G110" s="216"/>
      <c r="H110" s="216"/>
      <c r="I110" s="216"/>
      <c r="J110" s="216"/>
      <c r="K110" s="217"/>
      <c r="L110" s="216"/>
      <c r="M110" s="216"/>
      <c r="N110" s="216"/>
      <c r="O110" s="216"/>
      <c r="P110" s="216"/>
      <c r="Q110" s="216"/>
      <c r="R110" s="216"/>
      <c r="S110" s="216"/>
      <c r="T110" s="216"/>
      <c r="U110" s="216"/>
      <c r="V110" s="216"/>
      <c r="W110" s="216"/>
      <c r="X110" s="216"/>
      <c r="Y110" s="216"/>
      <c r="Z110" s="216"/>
      <c r="AA110" s="216"/>
      <c r="AB110" s="216"/>
      <c r="AC110" s="216"/>
      <c r="AD110" s="216"/>
      <c r="AE110" s="216"/>
      <c r="AF110" s="216"/>
      <c r="AG110" s="216"/>
      <c r="AH110" s="216"/>
      <c r="AI110" s="216"/>
      <c r="AJ110" s="216"/>
      <c r="AK110" s="216"/>
      <c r="AL110" s="216"/>
      <c r="AM110" s="216"/>
      <c r="AN110" s="216"/>
      <c r="AO110" s="216"/>
      <c r="AP110" s="216"/>
      <c r="AQ110" s="216"/>
      <c r="AR110" s="216"/>
      <c r="AS110" s="216"/>
      <c r="AT110" s="216"/>
      <c r="AU110" s="216"/>
      <c r="AV110" s="216"/>
      <c r="AW110" s="216"/>
      <c r="AX110" s="216"/>
      <c r="AY110" s="216"/>
      <c r="AZ110" s="216"/>
      <c r="BA110" s="216"/>
      <c r="BB110" s="216"/>
      <c r="BC110" s="216"/>
      <c r="BD110" s="216"/>
      <c r="BE110" s="216"/>
      <c r="BF110" s="216"/>
      <c r="BG110" s="216"/>
      <c r="BH110" s="216"/>
      <c r="BI110" s="216"/>
      <c r="BJ110" s="216"/>
      <c r="BK110" s="216"/>
      <c r="BL110" s="216"/>
      <c r="BM110" s="216"/>
      <c r="BN110" s="216"/>
      <c r="BO110" s="216"/>
      <c r="BP110" s="216"/>
      <c r="BQ110" s="216"/>
      <c r="BR110" s="216"/>
      <c r="BS110" s="216"/>
      <c r="BT110" s="216"/>
      <c r="BU110" s="216"/>
      <c r="BV110" s="216"/>
      <c r="BW110" s="216"/>
      <c r="BX110" s="216"/>
      <c r="BY110" s="216"/>
      <c r="BZ110" s="216"/>
      <c r="CA110" s="216"/>
      <c r="CB110" s="216"/>
      <c r="CC110" s="216"/>
      <c r="CD110" s="216"/>
      <c r="CE110" s="216"/>
      <c r="CF110" s="216"/>
      <c r="CG110" s="216"/>
      <c r="CH110" s="216"/>
      <c r="CI110" s="216"/>
      <c r="CJ110" s="216"/>
      <c r="CK110" s="216"/>
      <c r="CL110" s="216"/>
      <c r="CM110" s="216"/>
      <c r="CN110" s="216"/>
      <c r="CO110" s="216"/>
      <c r="CP110" s="216"/>
      <c r="CQ110" s="216"/>
    </row>
    <row r="111" spans="1:95" x14ac:dyDescent="0.25">
      <c r="G111" s="216"/>
      <c r="H111" s="216"/>
      <c r="I111" s="216"/>
      <c r="J111" s="216"/>
      <c r="K111" s="217"/>
      <c r="L111" s="216"/>
      <c r="M111" s="216"/>
      <c r="N111" s="216"/>
      <c r="O111" s="216"/>
      <c r="P111" s="216"/>
      <c r="Q111" s="216"/>
      <c r="R111" s="216"/>
      <c r="S111" s="216"/>
      <c r="T111" s="216"/>
      <c r="U111" s="216"/>
      <c r="V111" s="216"/>
      <c r="W111" s="216"/>
      <c r="X111" s="216"/>
      <c r="Y111" s="216"/>
      <c r="Z111" s="216"/>
      <c r="AA111" s="216"/>
      <c r="AB111" s="216"/>
      <c r="AC111" s="216"/>
      <c r="AD111" s="216"/>
      <c r="AE111" s="216"/>
      <c r="AF111" s="216"/>
      <c r="AG111" s="216"/>
      <c r="AH111" s="216"/>
      <c r="AI111" s="216"/>
      <c r="AJ111" s="216"/>
      <c r="AK111" s="216"/>
      <c r="AL111" s="216"/>
      <c r="AM111" s="216"/>
      <c r="AN111" s="216"/>
      <c r="AO111" s="216"/>
      <c r="AP111" s="216"/>
      <c r="AQ111" s="216"/>
      <c r="AR111" s="216"/>
      <c r="AS111" s="216"/>
      <c r="AT111" s="216"/>
      <c r="AU111" s="216"/>
      <c r="AV111" s="216"/>
      <c r="AW111" s="216"/>
      <c r="AX111" s="216"/>
      <c r="AY111" s="216"/>
      <c r="AZ111" s="216"/>
      <c r="BA111" s="216"/>
      <c r="BB111" s="216"/>
      <c r="BC111" s="216"/>
      <c r="BD111" s="216"/>
      <c r="BE111" s="216"/>
      <c r="BF111" s="216"/>
      <c r="BG111" s="216"/>
      <c r="BH111" s="216"/>
      <c r="BI111" s="216"/>
      <c r="BJ111" s="216"/>
      <c r="BK111" s="216"/>
      <c r="BL111" s="216"/>
      <c r="BM111" s="216"/>
      <c r="BN111" s="216"/>
      <c r="BO111" s="216"/>
      <c r="BP111" s="216"/>
      <c r="BQ111" s="216"/>
      <c r="BR111" s="216"/>
      <c r="BS111" s="216"/>
      <c r="BT111" s="216"/>
      <c r="BU111" s="216"/>
      <c r="BV111" s="216"/>
      <c r="BW111" s="216"/>
      <c r="BX111" s="216"/>
      <c r="BY111" s="216"/>
      <c r="BZ111" s="216"/>
      <c r="CA111" s="216"/>
      <c r="CB111" s="216"/>
      <c r="CC111" s="216"/>
      <c r="CD111" s="216"/>
      <c r="CE111" s="216"/>
      <c r="CF111" s="216"/>
      <c r="CG111" s="216"/>
      <c r="CH111" s="216"/>
      <c r="CI111" s="216"/>
      <c r="CJ111" s="216"/>
      <c r="CK111" s="216"/>
      <c r="CL111" s="216"/>
      <c r="CM111" s="216"/>
      <c r="CN111" s="216"/>
      <c r="CO111" s="216"/>
      <c r="CP111" s="216"/>
      <c r="CQ111" s="216"/>
    </row>
    <row r="112" spans="1:95" x14ac:dyDescent="0.25">
      <c r="G112" s="216"/>
      <c r="H112" s="216"/>
      <c r="I112" s="216"/>
      <c r="J112" s="216"/>
      <c r="K112" s="217"/>
      <c r="L112" s="216"/>
      <c r="M112" s="216"/>
      <c r="N112" s="216"/>
      <c r="O112" s="216"/>
      <c r="P112" s="216"/>
      <c r="Q112" s="216"/>
      <c r="R112" s="216"/>
      <c r="S112" s="216"/>
      <c r="T112" s="216"/>
      <c r="U112" s="216"/>
      <c r="V112" s="216"/>
      <c r="W112" s="216"/>
      <c r="X112" s="216"/>
      <c r="Y112" s="216"/>
      <c r="Z112" s="216"/>
      <c r="AA112" s="216"/>
      <c r="AB112" s="216"/>
      <c r="AC112" s="216"/>
      <c r="AD112" s="216"/>
      <c r="AE112" s="216"/>
      <c r="AF112" s="216"/>
      <c r="AG112" s="216"/>
      <c r="AH112" s="216"/>
      <c r="AI112" s="216"/>
      <c r="AJ112" s="216"/>
      <c r="AK112" s="216"/>
      <c r="AL112" s="216"/>
      <c r="AM112" s="216"/>
      <c r="AN112" s="216"/>
      <c r="AO112" s="216"/>
      <c r="AP112" s="216"/>
      <c r="AQ112" s="216"/>
      <c r="AR112" s="216"/>
      <c r="AS112" s="216"/>
      <c r="AT112" s="216"/>
      <c r="AU112" s="216"/>
      <c r="AV112" s="216"/>
      <c r="AW112" s="216"/>
      <c r="AX112" s="216"/>
      <c r="AY112" s="216"/>
      <c r="AZ112" s="216"/>
      <c r="BA112" s="216"/>
      <c r="BB112" s="216"/>
      <c r="BC112" s="216"/>
      <c r="BD112" s="216"/>
      <c r="BE112" s="216"/>
      <c r="BF112" s="216"/>
      <c r="BG112" s="216"/>
      <c r="BH112" s="216"/>
      <c r="BI112" s="216"/>
      <c r="BJ112" s="216"/>
      <c r="BK112" s="216"/>
      <c r="BL112" s="216"/>
      <c r="BM112" s="216"/>
      <c r="BN112" s="216"/>
      <c r="BO112" s="216"/>
      <c r="BP112" s="216"/>
      <c r="BQ112" s="216"/>
      <c r="BR112" s="216"/>
      <c r="BS112" s="216"/>
      <c r="BT112" s="216"/>
      <c r="BU112" s="216"/>
      <c r="BV112" s="216"/>
      <c r="BW112" s="216"/>
      <c r="BX112" s="216"/>
      <c r="BY112" s="216"/>
      <c r="BZ112" s="216"/>
      <c r="CA112" s="216"/>
      <c r="CB112" s="216"/>
      <c r="CC112" s="216"/>
      <c r="CD112" s="216"/>
      <c r="CE112" s="216"/>
      <c r="CF112" s="216"/>
      <c r="CG112" s="216"/>
      <c r="CH112" s="216"/>
      <c r="CI112" s="216"/>
      <c r="CJ112" s="216"/>
      <c r="CK112" s="216"/>
      <c r="CL112" s="216"/>
      <c r="CM112" s="216"/>
      <c r="CN112" s="216"/>
      <c r="CO112" s="216"/>
      <c r="CP112" s="216"/>
      <c r="CQ112" s="216"/>
    </row>
    <row r="113" spans="7:95" x14ac:dyDescent="0.25">
      <c r="G113" s="216"/>
      <c r="H113" s="216"/>
      <c r="I113" s="216"/>
      <c r="J113" s="216"/>
      <c r="K113" s="217"/>
      <c r="L113" s="216"/>
      <c r="M113" s="216"/>
      <c r="N113" s="216"/>
      <c r="O113" s="216"/>
      <c r="P113" s="216"/>
      <c r="Q113" s="216"/>
      <c r="R113" s="216"/>
      <c r="S113" s="216"/>
      <c r="T113" s="216"/>
      <c r="U113" s="216"/>
      <c r="V113" s="216"/>
      <c r="W113" s="216"/>
      <c r="X113" s="216"/>
      <c r="Y113" s="216"/>
      <c r="Z113" s="216"/>
      <c r="AA113" s="216"/>
      <c r="AB113" s="216"/>
      <c r="AC113" s="216"/>
      <c r="AD113" s="216"/>
      <c r="AE113" s="216"/>
      <c r="AF113" s="216"/>
      <c r="AG113" s="216"/>
      <c r="AH113" s="216"/>
      <c r="AI113" s="216"/>
      <c r="AJ113" s="216"/>
      <c r="AK113" s="216"/>
      <c r="AL113" s="216"/>
      <c r="AM113" s="216"/>
      <c r="AN113" s="216"/>
      <c r="AO113" s="216"/>
      <c r="AP113" s="216"/>
      <c r="AQ113" s="216"/>
      <c r="AR113" s="216"/>
      <c r="AS113" s="216"/>
      <c r="AT113" s="216"/>
      <c r="AU113" s="216"/>
      <c r="AV113" s="216"/>
      <c r="AW113" s="216"/>
      <c r="AX113" s="216"/>
      <c r="AY113" s="216"/>
      <c r="AZ113" s="216"/>
      <c r="BA113" s="216"/>
      <c r="BB113" s="216"/>
      <c r="BC113" s="216"/>
      <c r="BD113" s="216"/>
      <c r="BE113" s="216"/>
      <c r="BF113" s="216"/>
      <c r="BG113" s="216"/>
      <c r="BH113" s="216"/>
      <c r="BI113" s="216"/>
      <c r="BJ113" s="216"/>
      <c r="BK113" s="216"/>
      <c r="BL113" s="216"/>
      <c r="BM113" s="216"/>
      <c r="BN113" s="216"/>
      <c r="BO113" s="216"/>
      <c r="BP113" s="216"/>
      <c r="BQ113" s="216"/>
      <c r="BR113" s="216"/>
      <c r="BS113" s="216"/>
      <c r="BT113" s="216"/>
      <c r="BU113" s="216"/>
      <c r="BV113" s="216"/>
      <c r="BW113" s="216"/>
      <c r="BX113" s="216"/>
      <c r="BY113" s="216"/>
      <c r="BZ113" s="216"/>
      <c r="CA113" s="216"/>
      <c r="CB113" s="216"/>
      <c r="CC113" s="216"/>
      <c r="CD113" s="216"/>
      <c r="CE113" s="216"/>
      <c r="CF113" s="216"/>
      <c r="CG113" s="216"/>
      <c r="CH113" s="216"/>
      <c r="CI113" s="216"/>
      <c r="CJ113" s="216"/>
      <c r="CK113" s="216"/>
      <c r="CL113" s="216"/>
      <c r="CM113" s="216"/>
      <c r="CN113" s="216"/>
      <c r="CO113" s="216"/>
      <c r="CP113" s="216"/>
      <c r="CQ113" s="216"/>
    </row>
    <row r="114" spans="7:95" x14ac:dyDescent="0.25">
      <c r="G114" s="216"/>
      <c r="H114" s="216"/>
      <c r="I114" s="216"/>
      <c r="J114" s="216"/>
      <c r="K114" s="217"/>
      <c r="L114" s="216"/>
      <c r="M114" s="216"/>
      <c r="N114" s="216"/>
      <c r="O114" s="216"/>
      <c r="P114" s="216"/>
      <c r="Q114" s="216"/>
      <c r="R114" s="216"/>
      <c r="S114" s="216"/>
      <c r="T114" s="216"/>
      <c r="U114" s="216"/>
      <c r="V114" s="216"/>
      <c r="W114" s="216"/>
      <c r="X114" s="216"/>
      <c r="Y114" s="216"/>
      <c r="Z114" s="216"/>
      <c r="AA114" s="216"/>
      <c r="AB114" s="216"/>
      <c r="AC114" s="216"/>
      <c r="AD114" s="216"/>
      <c r="AE114" s="216"/>
      <c r="AF114" s="216"/>
      <c r="AG114" s="216"/>
      <c r="AH114" s="216"/>
      <c r="AI114" s="216"/>
      <c r="AJ114" s="216"/>
      <c r="AK114" s="216"/>
      <c r="AL114" s="216"/>
      <c r="AM114" s="216"/>
      <c r="AN114" s="216"/>
      <c r="AO114" s="216"/>
      <c r="AP114" s="216"/>
      <c r="AQ114" s="216"/>
      <c r="AR114" s="216"/>
      <c r="AS114" s="216"/>
      <c r="AT114" s="216"/>
      <c r="AU114" s="216"/>
      <c r="AV114" s="216"/>
      <c r="AW114" s="216"/>
      <c r="AX114" s="216"/>
      <c r="AY114" s="216"/>
      <c r="AZ114" s="216"/>
      <c r="BA114" s="216"/>
      <c r="BB114" s="216"/>
      <c r="BC114" s="216"/>
      <c r="BD114" s="216"/>
      <c r="BE114" s="216"/>
      <c r="BF114" s="216"/>
      <c r="BG114" s="216"/>
      <c r="BH114" s="216"/>
      <c r="BI114" s="216"/>
      <c r="BJ114" s="216"/>
      <c r="BK114" s="216"/>
      <c r="BL114" s="216"/>
      <c r="BM114" s="216"/>
      <c r="BN114" s="216"/>
      <c r="BO114" s="216"/>
      <c r="BP114" s="216"/>
      <c r="BQ114" s="216"/>
      <c r="BR114" s="216"/>
      <c r="BS114" s="216"/>
      <c r="BT114" s="216"/>
      <c r="BU114" s="216"/>
      <c r="BV114" s="216"/>
      <c r="BW114" s="216"/>
      <c r="BX114" s="216"/>
      <c r="BY114" s="216"/>
      <c r="BZ114" s="216"/>
      <c r="CA114" s="216"/>
      <c r="CB114" s="216"/>
      <c r="CC114" s="216"/>
      <c r="CD114" s="216"/>
      <c r="CE114" s="216"/>
      <c r="CF114" s="216"/>
      <c r="CG114" s="216"/>
      <c r="CH114" s="216"/>
      <c r="CI114" s="216"/>
      <c r="CJ114" s="216"/>
      <c r="CK114" s="216"/>
      <c r="CL114" s="216"/>
      <c r="CM114" s="216"/>
      <c r="CN114" s="216"/>
      <c r="CO114" s="216"/>
      <c r="CP114" s="216"/>
      <c r="CQ114" s="216"/>
    </row>
    <row r="115" spans="7:95" x14ac:dyDescent="0.25">
      <c r="G115" s="216"/>
      <c r="H115" s="216"/>
      <c r="I115" s="216"/>
      <c r="J115" s="216"/>
      <c r="K115" s="217"/>
      <c r="L115" s="216"/>
      <c r="M115" s="216"/>
      <c r="N115" s="216"/>
      <c r="O115" s="216"/>
      <c r="P115" s="216"/>
      <c r="Q115" s="216"/>
      <c r="R115" s="216"/>
      <c r="S115" s="216"/>
      <c r="T115" s="216"/>
      <c r="U115" s="216"/>
      <c r="V115" s="216"/>
      <c r="W115" s="216"/>
      <c r="X115" s="216"/>
      <c r="Y115" s="216"/>
      <c r="Z115" s="216"/>
      <c r="AA115" s="216"/>
      <c r="AB115" s="216"/>
      <c r="AC115" s="216"/>
      <c r="AD115" s="216"/>
      <c r="AE115" s="216"/>
      <c r="AF115" s="216"/>
      <c r="AG115" s="216"/>
      <c r="AH115" s="216"/>
      <c r="AI115" s="216"/>
      <c r="AJ115" s="216"/>
      <c r="AK115" s="216"/>
      <c r="AL115" s="216"/>
      <c r="AM115" s="216"/>
      <c r="AN115" s="216"/>
      <c r="AO115" s="216"/>
      <c r="AP115" s="216"/>
      <c r="AQ115" s="216"/>
      <c r="AR115" s="216"/>
      <c r="AS115" s="216"/>
      <c r="AT115" s="216"/>
      <c r="AU115" s="216"/>
      <c r="AV115" s="216"/>
      <c r="AW115" s="216"/>
      <c r="AX115" s="216"/>
      <c r="AY115" s="216"/>
      <c r="AZ115" s="216"/>
      <c r="BA115" s="216"/>
      <c r="BB115" s="216"/>
      <c r="BC115" s="216"/>
      <c r="BD115" s="216"/>
      <c r="BE115" s="216"/>
      <c r="BF115" s="216"/>
      <c r="BG115" s="216"/>
      <c r="BH115" s="216"/>
      <c r="BI115" s="216"/>
      <c r="BJ115" s="216"/>
      <c r="BK115" s="216"/>
      <c r="BL115" s="216"/>
      <c r="BM115" s="216"/>
      <c r="BN115" s="216"/>
      <c r="BO115" s="216"/>
      <c r="BP115" s="216"/>
      <c r="BQ115" s="216"/>
      <c r="BR115" s="216"/>
      <c r="BS115" s="216"/>
      <c r="BT115" s="216"/>
      <c r="BU115" s="216"/>
      <c r="BV115" s="216"/>
      <c r="BW115" s="216"/>
      <c r="BX115" s="216"/>
      <c r="BY115" s="216"/>
      <c r="BZ115" s="216"/>
      <c r="CA115" s="216"/>
      <c r="CB115" s="216"/>
      <c r="CC115" s="216"/>
      <c r="CD115" s="216"/>
      <c r="CE115" s="216"/>
      <c r="CF115" s="216"/>
      <c r="CG115" s="216"/>
      <c r="CH115" s="216"/>
      <c r="CI115" s="216"/>
      <c r="CJ115" s="216"/>
      <c r="CK115" s="216"/>
      <c r="CL115" s="216"/>
      <c r="CM115" s="216"/>
      <c r="CN115" s="216"/>
      <c r="CO115" s="216"/>
      <c r="CP115" s="216"/>
      <c r="CQ115" s="216"/>
    </row>
    <row r="116" spans="7:95" x14ac:dyDescent="0.25">
      <c r="G116" s="216"/>
      <c r="H116" s="216"/>
      <c r="I116" s="216"/>
      <c r="J116" s="216"/>
      <c r="K116" s="217"/>
      <c r="L116" s="216"/>
      <c r="M116" s="216"/>
      <c r="N116" s="216"/>
      <c r="O116" s="216"/>
      <c r="P116" s="216"/>
      <c r="Q116" s="216"/>
      <c r="R116" s="216"/>
      <c r="S116" s="216"/>
      <c r="T116" s="216"/>
      <c r="U116" s="216"/>
      <c r="V116" s="216"/>
      <c r="W116" s="216"/>
      <c r="X116" s="216"/>
      <c r="Y116" s="216"/>
      <c r="Z116" s="216"/>
      <c r="AA116" s="216"/>
      <c r="AB116" s="216"/>
      <c r="AC116" s="216"/>
      <c r="AD116" s="216"/>
      <c r="AE116" s="216"/>
      <c r="AF116" s="216"/>
      <c r="AG116" s="216"/>
      <c r="AH116" s="216"/>
      <c r="AI116" s="216"/>
      <c r="AJ116" s="216"/>
      <c r="AK116" s="216"/>
      <c r="AL116" s="216"/>
      <c r="AM116" s="216"/>
      <c r="AN116" s="216"/>
      <c r="AO116" s="216"/>
      <c r="AP116" s="216"/>
      <c r="AQ116" s="216"/>
      <c r="AR116" s="216"/>
      <c r="AS116" s="216"/>
      <c r="AT116" s="216"/>
      <c r="AU116" s="216"/>
      <c r="AV116" s="216"/>
      <c r="AW116" s="216"/>
      <c r="AX116" s="216"/>
      <c r="AY116" s="216"/>
      <c r="AZ116" s="216"/>
      <c r="BA116" s="216"/>
      <c r="BB116" s="216"/>
      <c r="BC116" s="216"/>
      <c r="BD116" s="216"/>
      <c r="BE116" s="216"/>
      <c r="BF116" s="216"/>
      <c r="BG116" s="216"/>
      <c r="BH116" s="216"/>
      <c r="BI116" s="216"/>
      <c r="BJ116" s="216"/>
      <c r="BK116" s="216"/>
      <c r="BL116" s="216"/>
      <c r="BM116" s="216"/>
      <c r="BN116" s="216"/>
      <c r="BO116" s="216"/>
      <c r="BP116" s="216"/>
      <c r="BQ116" s="216"/>
      <c r="BR116" s="216"/>
      <c r="BS116" s="216"/>
      <c r="BT116" s="216"/>
      <c r="BU116" s="216"/>
      <c r="BV116" s="216"/>
      <c r="BW116" s="216"/>
      <c r="BX116" s="216"/>
      <c r="BY116" s="216"/>
      <c r="BZ116" s="216"/>
      <c r="CA116" s="216"/>
      <c r="CB116" s="216"/>
      <c r="CC116" s="216"/>
      <c r="CD116" s="216"/>
      <c r="CE116" s="216"/>
      <c r="CF116" s="216"/>
      <c r="CG116" s="216"/>
      <c r="CH116" s="216"/>
      <c r="CI116" s="216"/>
      <c r="CJ116" s="216"/>
      <c r="CK116" s="216"/>
      <c r="CL116" s="216"/>
      <c r="CM116" s="216"/>
      <c r="CN116" s="216"/>
      <c r="CO116" s="216"/>
      <c r="CP116" s="216"/>
      <c r="CQ116" s="216"/>
    </row>
    <row r="117" spans="7:95" x14ac:dyDescent="0.25">
      <c r="G117" s="216"/>
      <c r="H117" s="216"/>
      <c r="I117" s="216"/>
      <c r="J117" s="216"/>
      <c r="K117" s="217"/>
      <c r="L117" s="216"/>
      <c r="M117" s="216"/>
      <c r="N117" s="216"/>
      <c r="O117" s="216"/>
      <c r="P117" s="216"/>
      <c r="Q117" s="216"/>
      <c r="R117" s="216"/>
      <c r="S117" s="216"/>
      <c r="T117" s="216"/>
      <c r="U117" s="216"/>
      <c r="V117" s="216"/>
      <c r="W117" s="216"/>
      <c r="X117" s="216"/>
      <c r="Y117" s="216"/>
      <c r="Z117" s="216"/>
      <c r="AA117" s="216"/>
      <c r="AB117" s="216"/>
      <c r="AC117" s="216"/>
      <c r="AD117" s="216"/>
      <c r="AE117" s="216"/>
      <c r="AF117" s="216"/>
      <c r="AG117" s="216"/>
      <c r="AH117" s="216"/>
      <c r="AI117" s="216"/>
      <c r="AJ117" s="216"/>
      <c r="AK117" s="216"/>
      <c r="AL117" s="216"/>
      <c r="AM117" s="216"/>
      <c r="AN117" s="216"/>
      <c r="AO117" s="216"/>
      <c r="AP117" s="216"/>
      <c r="AQ117" s="216"/>
      <c r="AR117" s="216"/>
      <c r="AS117" s="216"/>
      <c r="AT117" s="216"/>
      <c r="AU117" s="216"/>
      <c r="AV117" s="216"/>
      <c r="AW117" s="216"/>
      <c r="AX117" s="216"/>
      <c r="AY117" s="216"/>
      <c r="AZ117" s="216"/>
      <c r="BA117" s="216"/>
      <c r="BB117" s="216"/>
      <c r="BC117" s="216"/>
      <c r="BD117" s="216"/>
      <c r="BE117" s="216"/>
      <c r="BF117" s="216"/>
      <c r="BG117" s="216"/>
      <c r="BH117" s="216"/>
      <c r="BI117" s="216"/>
      <c r="BJ117" s="216"/>
      <c r="BK117" s="216"/>
      <c r="BL117" s="216"/>
      <c r="BM117" s="216"/>
      <c r="BN117" s="216"/>
      <c r="BO117" s="216"/>
      <c r="BP117" s="216"/>
      <c r="BQ117" s="216"/>
      <c r="BR117" s="216"/>
      <c r="BS117" s="216"/>
      <c r="BT117" s="216"/>
      <c r="BU117" s="216"/>
      <c r="BV117" s="216"/>
      <c r="BW117" s="216"/>
      <c r="BX117" s="216"/>
      <c r="BY117" s="216"/>
      <c r="BZ117" s="216"/>
      <c r="CA117" s="216"/>
      <c r="CB117" s="216"/>
      <c r="CC117" s="216"/>
      <c r="CD117" s="216"/>
      <c r="CE117" s="216"/>
      <c r="CF117" s="216"/>
      <c r="CG117" s="216"/>
      <c r="CH117" s="216"/>
      <c r="CI117" s="216"/>
      <c r="CJ117" s="216"/>
      <c r="CK117" s="216"/>
      <c r="CL117" s="216"/>
      <c r="CM117" s="216"/>
      <c r="CN117" s="216"/>
      <c r="CO117" s="216"/>
      <c r="CP117" s="216"/>
      <c r="CQ117" s="216"/>
    </row>
    <row r="118" spans="7:95" x14ac:dyDescent="0.25">
      <c r="G118" s="216"/>
      <c r="H118" s="216"/>
      <c r="I118" s="216"/>
      <c r="J118" s="216"/>
      <c r="K118" s="217"/>
      <c r="L118" s="216"/>
      <c r="M118" s="216"/>
      <c r="N118" s="216"/>
      <c r="O118" s="216"/>
      <c r="P118" s="216"/>
      <c r="Q118" s="216"/>
      <c r="R118" s="216"/>
      <c r="S118" s="216"/>
      <c r="T118" s="216"/>
      <c r="U118" s="216"/>
      <c r="V118" s="216"/>
      <c r="W118" s="216"/>
      <c r="X118" s="216"/>
      <c r="Y118" s="216"/>
      <c r="Z118" s="216"/>
      <c r="AA118" s="216"/>
      <c r="AB118" s="216"/>
      <c r="AC118" s="216"/>
      <c r="AD118" s="216"/>
      <c r="AE118" s="216"/>
      <c r="AF118" s="216"/>
      <c r="AG118" s="216"/>
      <c r="AH118" s="216"/>
      <c r="AI118" s="216"/>
      <c r="AJ118" s="216"/>
      <c r="AK118" s="216"/>
      <c r="AL118" s="216"/>
      <c r="AM118" s="216"/>
      <c r="AN118" s="216"/>
      <c r="AO118" s="216"/>
      <c r="AP118" s="216"/>
      <c r="AQ118" s="216"/>
      <c r="AR118" s="216"/>
      <c r="AS118" s="216"/>
      <c r="AT118" s="216"/>
      <c r="AU118" s="216"/>
      <c r="AV118" s="216"/>
      <c r="AW118" s="216"/>
      <c r="AX118" s="216"/>
      <c r="AY118" s="216"/>
      <c r="AZ118" s="216"/>
      <c r="BA118" s="216"/>
      <c r="BB118" s="216"/>
      <c r="BC118" s="216"/>
      <c r="BD118" s="216"/>
      <c r="BE118" s="216"/>
      <c r="BF118" s="216"/>
      <c r="BG118" s="216"/>
      <c r="BH118" s="216"/>
      <c r="BI118" s="216"/>
      <c r="BJ118" s="216"/>
      <c r="BK118" s="216"/>
      <c r="BL118" s="216"/>
      <c r="BM118" s="216"/>
      <c r="BN118" s="216"/>
      <c r="BO118" s="216"/>
      <c r="BP118" s="216"/>
      <c r="BQ118" s="216"/>
      <c r="BR118" s="216"/>
      <c r="BS118" s="216"/>
      <c r="BT118" s="216"/>
      <c r="BU118" s="216"/>
      <c r="BV118" s="216"/>
      <c r="BW118" s="216"/>
      <c r="BX118" s="216"/>
      <c r="BY118" s="216"/>
      <c r="BZ118" s="216"/>
      <c r="CA118" s="216"/>
      <c r="CB118" s="216"/>
      <c r="CC118" s="216"/>
      <c r="CD118" s="216"/>
      <c r="CE118" s="216"/>
      <c r="CF118" s="216"/>
      <c r="CG118" s="216"/>
      <c r="CH118" s="216"/>
      <c r="CI118" s="216"/>
      <c r="CJ118" s="216"/>
      <c r="CK118" s="216"/>
      <c r="CL118" s="216"/>
      <c r="CM118" s="216"/>
      <c r="CN118" s="216"/>
      <c r="CO118" s="216"/>
      <c r="CP118" s="216"/>
      <c r="CQ118" s="216"/>
    </row>
    <row r="119" spans="7:95" x14ac:dyDescent="0.25">
      <c r="G119" s="216"/>
      <c r="H119" s="216"/>
      <c r="I119" s="216"/>
      <c r="J119" s="216"/>
      <c r="K119" s="217"/>
      <c r="L119" s="216"/>
      <c r="M119" s="216"/>
      <c r="N119" s="216"/>
      <c r="O119" s="216"/>
      <c r="P119" s="216"/>
      <c r="Q119" s="216"/>
      <c r="R119" s="216"/>
      <c r="S119" s="216"/>
      <c r="T119" s="216"/>
      <c r="U119" s="216"/>
      <c r="V119" s="216"/>
      <c r="W119" s="216"/>
      <c r="X119" s="216"/>
      <c r="Y119" s="216"/>
      <c r="Z119" s="216"/>
      <c r="AA119" s="216"/>
      <c r="AB119" s="216"/>
      <c r="AC119" s="216"/>
      <c r="AD119" s="216"/>
      <c r="AE119" s="216"/>
      <c r="AF119" s="216"/>
      <c r="AG119" s="216"/>
      <c r="AH119" s="216"/>
      <c r="AI119" s="216"/>
      <c r="AJ119" s="216"/>
      <c r="AK119" s="216"/>
      <c r="AL119" s="216"/>
      <c r="AM119" s="216"/>
      <c r="AN119" s="216"/>
      <c r="AO119" s="216"/>
      <c r="AP119" s="216"/>
      <c r="AQ119" s="216"/>
      <c r="AR119" s="216"/>
      <c r="AS119" s="216"/>
      <c r="AT119" s="216"/>
      <c r="AU119" s="216"/>
      <c r="AV119" s="216"/>
      <c r="AW119" s="216"/>
      <c r="AX119" s="216"/>
      <c r="AY119" s="216"/>
      <c r="AZ119" s="216"/>
      <c r="BA119" s="216"/>
      <c r="BB119" s="216"/>
      <c r="BC119" s="216"/>
      <c r="BD119" s="216"/>
      <c r="BE119" s="216"/>
      <c r="BF119" s="216"/>
      <c r="BG119" s="216"/>
      <c r="BH119" s="216"/>
      <c r="BI119" s="216"/>
      <c r="BJ119" s="216"/>
      <c r="BK119" s="216"/>
      <c r="BL119" s="216"/>
      <c r="BM119" s="216"/>
      <c r="BN119" s="216"/>
      <c r="BO119" s="216"/>
      <c r="BP119" s="216"/>
      <c r="BQ119" s="216"/>
      <c r="BR119" s="216"/>
      <c r="BS119" s="216"/>
      <c r="BT119" s="216"/>
      <c r="BU119" s="216"/>
      <c r="BV119" s="216"/>
      <c r="BW119" s="216"/>
      <c r="BX119" s="216"/>
      <c r="BY119" s="216"/>
      <c r="BZ119" s="216"/>
      <c r="CA119" s="216"/>
      <c r="CB119" s="216"/>
      <c r="CC119" s="216"/>
      <c r="CD119" s="216"/>
      <c r="CE119" s="216"/>
      <c r="CF119" s="216"/>
      <c r="CG119" s="216"/>
      <c r="CH119" s="216"/>
      <c r="CI119" s="216"/>
      <c r="CJ119" s="216"/>
      <c r="CK119" s="216"/>
      <c r="CL119" s="216"/>
      <c r="CM119" s="216"/>
      <c r="CN119" s="216"/>
      <c r="CO119" s="216"/>
      <c r="CP119" s="216"/>
      <c r="CQ119" s="216"/>
    </row>
    <row r="120" spans="7:95" x14ac:dyDescent="0.25">
      <c r="G120" s="216"/>
      <c r="H120" s="216"/>
      <c r="I120" s="216"/>
      <c r="J120" s="216"/>
      <c r="K120" s="217"/>
      <c r="L120" s="216"/>
      <c r="M120" s="216"/>
      <c r="N120" s="216"/>
      <c r="O120" s="216"/>
      <c r="P120" s="216"/>
      <c r="Q120" s="216"/>
      <c r="R120" s="216"/>
      <c r="S120" s="216"/>
      <c r="T120" s="216"/>
      <c r="U120" s="216"/>
      <c r="V120" s="216"/>
      <c r="W120" s="216"/>
      <c r="X120" s="216"/>
      <c r="Y120" s="216"/>
      <c r="Z120" s="216"/>
      <c r="AA120" s="216"/>
      <c r="AB120" s="216"/>
      <c r="AC120" s="216"/>
      <c r="AD120" s="216"/>
      <c r="AE120" s="216"/>
      <c r="AF120" s="216"/>
      <c r="AG120" s="216"/>
      <c r="AH120" s="216"/>
      <c r="AI120" s="216"/>
      <c r="AJ120" s="216"/>
      <c r="AK120" s="216"/>
      <c r="AL120" s="216"/>
      <c r="AM120" s="216"/>
      <c r="AN120" s="216"/>
      <c r="AO120" s="216"/>
      <c r="AP120" s="216"/>
      <c r="AQ120" s="216"/>
      <c r="AR120" s="216"/>
      <c r="AS120" s="216"/>
      <c r="AT120" s="216"/>
      <c r="AU120" s="216"/>
      <c r="AV120" s="216"/>
      <c r="AW120" s="216"/>
      <c r="AX120" s="216"/>
      <c r="AY120" s="216"/>
      <c r="AZ120" s="216"/>
      <c r="BA120" s="216"/>
      <c r="BB120" s="216"/>
      <c r="BC120" s="216"/>
      <c r="BD120" s="216"/>
      <c r="BE120" s="216"/>
      <c r="BF120" s="216"/>
      <c r="BG120" s="216"/>
      <c r="BH120" s="216"/>
      <c r="BI120" s="216"/>
      <c r="BJ120" s="216"/>
      <c r="BK120" s="216"/>
      <c r="BL120" s="216"/>
      <c r="BM120" s="216"/>
      <c r="BN120" s="216"/>
      <c r="BO120" s="216"/>
      <c r="BP120" s="216"/>
      <c r="BQ120" s="216"/>
      <c r="BR120" s="216"/>
      <c r="BS120" s="216"/>
      <c r="BT120" s="216"/>
      <c r="BU120" s="216"/>
      <c r="BV120" s="216"/>
      <c r="BW120" s="216"/>
      <c r="BX120" s="216"/>
      <c r="BY120" s="216"/>
      <c r="BZ120" s="216"/>
      <c r="CA120" s="216"/>
      <c r="CB120" s="216"/>
      <c r="CC120" s="216"/>
      <c r="CD120" s="216"/>
      <c r="CE120" s="216"/>
      <c r="CF120" s="216"/>
      <c r="CG120" s="216"/>
      <c r="CH120" s="216"/>
      <c r="CI120" s="216"/>
      <c r="CJ120" s="216"/>
      <c r="CK120" s="216"/>
      <c r="CL120" s="216"/>
      <c r="CM120" s="216"/>
      <c r="CN120" s="216"/>
      <c r="CO120" s="216"/>
      <c r="CP120" s="216"/>
      <c r="CQ120" s="216"/>
    </row>
    <row r="121" spans="7:95" x14ac:dyDescent="0.25">
      <c r="G121" s="216"/>
      <c r="H121" s="216"/>
      <c r="I121" s="216"/>
      <c r="J121" s="216"/>
      <c r="K121" s="217"/>
      <c r="L121" s="216"/>
      <c r="M121" s="216"/>
      <c r="N121" s="216"/>
      <c r="O121" s="216"/>
      <c r="P121" s="216"/>
      <c r="Q121" s="216"/>
      <c r="R121" s="216"/>
      <c r="S121" s="216"/>
      <c r="T121" s="216"/>
      <c r="U121" s="216"/>
      <c r="V121" s="216"/>
      <c r="W121" s="216"/>
      <c r="X121" s="216"/>
      <c r="Y121" s="216"/>
      <c r="Z121" s="216"/>
      <c r="AA121" s="216"/>
      <c r="AB121" s="216"/>
      <c r="AC121" s="216"/>
      <c r="AD121" s="216"/>
      <c r="AE121" s="216"/>
      <c r="AF121" s="216"/>
      <c r="AG121" s="216"/>
      <c r="AH121" s="216"/>
      <c r="AI121" s="216"/>
      <c r="AJ121" s="216"/>
      <c r="AK121" s="216"/>
      <c r="AL121" s="216"/>
      <c r="AM121" s="216"/>
      <c r="AN121" s="216"/>
      <c r="AO121" s="216"/>
      <c r="AP121" s="216"/>
      <c r="AQ121" s="216"/>
      <c r="AR121" s="216"/>
      <c r="AS121" s="216"/>
      <c r="AT121" s="216"/>
      <c r="AU121" s="216"/>
      <c r="AV121" s="216"/>
      <c r="AW121" s="216"/>
      <c r="AX121" s="216"/>
      <c r="AY121" s="216"/>
      <c r="AZ121" s="216"/>
      <c r="BA121" s="216"/>
      <c r="BB121" s="216"/>
      <c r="BC121" s="216"/>
      <c r="BD121" s="216"/>
      <c r="BE121" s="216"/>
      <c r="BF121" s="216"/>
      <c r="BG121" s="216"/>
      <c r="BH121" s="216"/>
      <c r="BI121" s="216"/>
      <c r="BJ121" s="216"/>
      <c r="BK121" s="216"/>
      <c r="BL121" s="216"/>
      <c r="BM121" s="216"/>
      <c r="BN121" s="216"/>
      <c r="BO121" s="216"/>
      <c r="BP121" s="216"/>
      <c r="BQ121" s="216"/>
      <c r="BR121" s="216"/>
      <c r="BS121" s="216"/>
      <c r="BT121" s="216"/>
      <c r="BU121" s="216"/>
      <c r="BV121" s="216"/>
      <c r="BW121" s="216"/>
      <c r="BX121" s="216"/>
      <c r="BY121" s="216"/>
      <c r="BZ121" s="216"/>
      <c r="CA121" s="216"/>
      <c r="CB121" s="216"/>
      <c r="CC121" s="216"/>
      <c r="CD121" s="216"/>
      <c r="CE121" s="216"/>
      <c r="CF121" s="216"/>
      <c r="CG121" s="216"/>
      <c r="CH121" s="216"/>
      <c r="CI121" s="216"/>
      <c r="CJ121" s="216"/>
      <c r="CK121" s="216"/>
      <c r="CL121" s="216"/>
      <c r="CM121" s="216"/>
      <c r="CN121" s="216"/>
      <c r="CO121" s="216"/>
      <c r="CP121" s="216"/>
      <c r="CQ121" s="216"/>
    </row>
    <row r="122" spans="7:95" x14ac:dyDescent="0.25">
      <c r="G122" s="216"/>
      <c r="H122" s="216"/>
      <c r="I122" s="216"/>
      <c r="J122" s="216"/>
      <c r="K122" s="217"/>
      <c r="L122" s="216"/>
      <c r="M122" s="216"/>
      <c r="N122" s="216"/>
      <c r="O122" s="216"/>
      <c r="P122" s="216"/>
      <c r="Q122" s="216"/>
      <c r="R122" s="216"/>
      <c r="S122" s="216"/>
      <c r="T122" s="216"/>
      <c r="U122" s="216"/>
      <c r="V122" s="216"/>
      <c r="W122" s="216"/>
      <c r="X122" s="216"/>
      <c r="Y122" s="216"/>
      <c r="Z122" s="216"/>
      <c r="AA122" s="216"/>
      <c r="AB122" s="216"/>
      <c r="AC122" s="216"/>
      <c r="AD122" s="216"/>
      <c r="AE122" s="216"/>
      <c r="AF122" s="216"/>
      <c r="AG122" s="216"/>
      <c r="AH122" s="216"/>
      <c r="AI122" s="216"/>
      <c r="AJ122" s="216"/>
      <c r="AK122" s="216"/>
      <c r="AL122" s="216"/>
      <c r="AM122" s="216"/>
      <c r="AN122" s="216"/>
      <c r="AO122" s="216"/>
      <c r="AP122" s="216"/>
      <c r="AQ122" s="216"/>
      <c r="AR122" s="216"/>
      <c r="AS122" s="216"/>
      <c r="AT122" s="216"/>
      <c r="AU122" s="216"/>
      <c r="AV122" s="216"/>
      <c r="AW122" s="216"/>
      <c r="AX122" s="216"/>
      <c r="AY122" s="216"/>
      <c r="AZ122" s="216"/>
      <c r="BA122" s="216"/>
      <c r="BB122" s="216"/>
      <c r="BC122" s="216"/>
      <c r="BD122" s="216"/>
      <c r="BE122" s="216"/>
      <c r="BF122" s="216"/>
      <c r="BG122" s="216"/>
      <c r="BH122" s="216"/>
      <c r="BI122" s="216"/>
      <c r="BJ122" s="216"/>
      <c r="BK122" s="216"/>
      <c r="BL122" s="216"/>
      <c r="BM122" s="216"/>
      <c r="BN122" s="216"/>
      <c r="BO122" s="216"/>
      <c r="BP122" s="216"/>
      <c r="BQ122" s="216"/>
      <c r="BR122" s="216"/>
      <c r="BS122" s="216"/>
      <c r="BT122" s="216"/>
      <c r="BU122" s="216"/>
      <c r="BV122" s="216"/>
      <c r="BW122" s="216"/>
      <c r="BX122" s="216"/>
      <c r="BY122" s="216"/>
      <c r="BZ122" s="216"/>
      <c r="CA122" s="216"/>
      <c r="CB122" s="216"/>
      <c r="CC122" s="216"/>
      <c r="CD122" s="216"/>
      <c r="CE122" s="216"/>
      <c r="CF122" s="216"/>
      <c r="CG122" s="216"/>
      <c r="CH122" s="216"/>
      <c r="CI122" s="216"/>
      <c r="CJ122" s="216"/>
      <c r="CK122" s="216"/>
      <c r="CL122" s="216"/>
      <c r="CM122" s="216"/>
      <c r="CN122" s="216"/>
      <c r="CO122" s="216"/>
      <c r="CP122" s="216"/>
      <c r="CQ122" s="216"/>
    </row>
    <row r="123" spans="7:95" x14ac:dyDescent="0.25">
      <c r="G123" s="216"/>
      <c r="H123" s="216"/>
      <c r="I123" s="216"/>
      <c r="J123" s="216"/>
      <c r="K123" s="217"/>
      <c r="L123" s="216"/>
      <c r="M123" s="216"/>
      <c r="N123" s="216"/>
      <c r="O123" s="216"/>
      <c r="P123" s="216"/>
      <c r="Q123" s="216"/>
      <c r="R123" s="216"/>
      <c r="S123" s="216"/>
      <c r="T123" s="216"/>
      <c r="U123" s="216"/>
      <c r="V123" s="216"/>
      <c r="W123" s="216"/>
      <c r="X123" s="216"/>
      <c r="Y123" s="216"/>
      <c r="Z123" s="216"/>
      <c r="AA123" s="216"/>
      <c r="AB123" s="216"/>
      <c r="AC123" s="216"/>
      <c r="AD123" s="216"/>
      <c r="AE123" s="216"/>
      <c r="AF123" s="216"/>
      <c r="AG123" s="216"/>
      <c r="AH123" s="216"/>
      <c r="AI123" s="216"/>
      <c r="AJ123" s="216"/>
      <c r="AK123" s="216"/>
      <c r="AL123" s="216"/>
      <c r="AM123" s="216"/>
      <c r="AN123" s="216"/>
      <c r="AO123" s="216"/>
      <c r="AP123" s="216"/>
      <c r="AQ123" s="216"/>
      <c r="AR123" s="216"/>
      <c r="AS123" s="216"/>
      <c r="AT123" s="216"/>
      <c r="AU123" s="216"/>
      <c r="AV123" s="216"/>
      <c r="AW123" s="216"/>
      <c r="AX123" s="216"/>
      <c r="AY123" s="216"/>
      <c r="AZ123" s="216"/>
      <c r="BA123" s="216"/>
      <c r="BB123" s="216"/>
      <c r="BC123" s="216"/>
      <c r="BD123" s="216"/>
      <c r="BE123" s="216"/>
      <c r="BF123" s="216"/>
      <c r="BG123" s="216"/>
      <c r="BH123" s="216"/>
      <c r="BI123" s="216"/>
      <c r="BJ123" s="216"/>
      <c r="BK123" s="216"/>
      <c r="BL123" s="216"/>
      <c r="BM123" s="216"/>
      <c r="BN123" s="216"/>
      <c r="BO123" s="216"/>
      <c r="BP123" s="216"/>
      <c r="BQ123" s="216"/>
      <c r="BR123" s="216"/>
      <c r="BS123" s="216"/>
      <c r="BT123" s="216"/>
      <c r="BU123" s="216"/>
      <c r="BV123" s="216"/>
      <c r="BW123" s="216"/>
      <c r="BX123" s="216"/>
      <c r="BY123" s="216"/>
      <c r="BZ123" s="216"/>
      <c r="CA123" s="216"/>
      <c r="CB123" s="216"/>
      <c r="CC123" s="216"/>
      <c r="CD123" s="216"/>
      <c r="CE123" s="216"/>
      <c r="CF123" s="216"/>
      <c r="CG123" s="216"/>
      <c r="CH123" s="216"/>
      <c r="CI123" s="216"/>
      <c r="CJ123" s="216"/>
      <c r="CK123" s="216"/>
      <c r="CL123" s="216"/>
      <c r="CM123" s="216"/>
      <c r="CN123" s="216"/>
      <c r="CO123" s="216"/>
      <c r="CP123" s="216"/>
      <c r="CQ123" s="216"/>
    </row>
    <row r="124" spans="7:95" x14ac:dyDescent="0.25">
      <c r="G124" s="216"/>
      <c r="H124" s="216"/>
      <c r="I124" s="216"/>
      <c r="J124" s="216"/>
      <c r="K124" s="217"/>
      <c r="L124" s="216"/>
      <c r="M124" s="216"/>
      <c r="N124" s="216"/>
      <c r="O124" s="216"/>
      <c r="P124" s="216"/>
      <c r="Q124" s="216"/>
      <c r="R124" s="216"/>
      <c r="S124" s="216"/>
      <c r="T124" s="216"/>
      <c r="U124" s="216"/>
      <c r="V124" s="216"/>
      <c r="W124" s="216"/>
      <c r="X124" s="216"/>
      <c r="Y124" s="216"/>
      <c r="Z124" s="216"/>
      <c r="AA124" s="216"/>
      <c r="AB124" s="216"/>
      <c r="AC124" s="216"/>
      <c r="AD124" s="216"/>
      <c r="AE124" s="216"/>
      <c r="AF124" s="216"/>
      <c r="AG124" s="216"/>
      <c r="AH124" s="216"/>
      <c r="AI124" s="216"/>
      <c r="AJ124" s="216"/>
      <c r="AK124" s="216"/>
      <c r="AL124" s="216"/>
      <c r="AM124" s="216"/>
      <c r="AN124" s="216"/>
      <c r="AO124" s="216"/>
      <c r="AP124" s="216"/>
      <c r="AQ124" s="216"/>
      <c r="AR124" s="216"/>
      <c r="AS124" s="216"/>
      <c r="AT124" s="216"/>
      <c r="AU124" s="216"/>
      <c r="AV124" s="216"/>
      <c r="AW124" s="216"/>
      <c r="AX124" s="216"/>
      <c r="AY124" s="216"/>
      <c r="AZ124" s="216"/>
      <c r="BA124" s="216"/>
      <c r="BB124" s="216"/>
      <c r="BC124" s="216"/>
      <c r="BD124" s="216"/>
      <c r="BE124" s="216"/>
      <c r="BF124" s="216"/>
      <c r="BG124" s="216"/>
      <c r="BH124" s="216"/>
      <c r="BI124" s="216"/>
      <c r="BJ124" s="216"/>
      <c r="BK124" s="216"/>
      <c r="BL124" s="216"/>
      <c r="BM124" s="216"/>
      <c r="BN124" s="216"/>
      <c r="BO124" s="216"/>
      <c r="BP124" s="216"/>
      <c r="BQ124" s="216"/>
      <c r="BR124" s="216"/>
      <c r="BS124" s="216"/>
      <c r="BT124" s="216"/>
      <c r="BU124" s="216"/>
      <c r="BV124" s="216"/>
      <c r="BW124" s="216"/>
      <c r="BX124" s="216"/>
      <c r="BY124" s="216"/>
      <c r="BZ124" s="216"/>
      <c r="CA124" s="216"/>
      <c r="CB124" s="216"/>
      <c r="CC124" s="216"/>
      <c r="CD124" s="216"/>
      <c r="CE124" s="216"/>
      <c r="CF124" s="216"/>
      <c r="CG124" s="216"/>
      <c r="CH124" s="216"/>
      <c r="CI124" s="216"/>
      <c r="CJ124" s="216"/>
      <c r="CK124" s="216"/>
      <c r="CL124" s="216"/>
      <c r="CM124" s="216"/>
      <c r="CN124" s="216"/>
      <c r="CO124" s="216"/>
      <c r="CP124" s="216"/>
      <c r="CQ124" s="216"/>
    </row>
    <row r="125" spans="7:95" x14ac:dyDescent="0.25">
      <c r="G125" s="216"/>
      <c r="H125" s="216"/>
      <c r="I125" s="216"/>
      <c r="J125" s="216"/>
      <c r="K125" s="217"/>
      <c r="L125" s="216"/>
      <c r="M125" s="216"/>
      <c r="N125" s="216"/>
      <c r="O125" s="216"/>
      <c r="P125" s="216"/>
      <c r="Q125" s="216"/>
      <c r="R125" s="216"/>
      <c r="S125" s="216"/>
      <c r="T125" s="216"/>
      <c r="U125" s="216"/>
      <c r="V125" s="216"/>
      <c r="W125" s="216"/>
      <c r="X125" s="216"/>
      <c r="Y125" s="216"/>
      <c r="Z125" s="216"/>
      <c r="AA125" s="216"/>
      <c r="AB125" s="216"/>
      <c r="AC125" s="216"/>
      <c r="AD125" s="216"/>
      <c r="AE125" s="216"/>
      <c r="AF125" s="216"/>
      <c r="AG125" s="216"/>
      <c r="AH125" s="216"/>
      <c r="AI125" s="216"/>
      <c r="AJ125" s="216"/>
      <c r="AK125" s="216"/>
      <c r="AL125" s="216"/>
      <c r="AM125" s="216"/>
      <c r="AN125" s="216"/>
      <c r="AO125" s="216"/>
      <c r="AP125" s="216"/>
      <c r="AQ125" s="216"/>
      <c r="AR125" s="216"/>
      <c r="AS125" s="216"/>
      <c r="AT125" s="216"/>
      <c r="AU125" s="216"/>
      <c r="AV125" s="216"/>
      <c r="AW125" s="216"/>
      <c r="AX125" s="216"/>
      <c r="AY125" s="216"/>
      <c r="AZ125" s="216"/>
      <c r="BA125" s="216"/>
      <c r="BB125" s="216"/>
      <c r="BC125" s="216"/>
      <c r="BD125" s="216"/>
      <c r="BE125" s="216"/>
      <c r="BF125" s="216"/>
      <c r="BG125" s="216"/>
      <c r="BH125" s="216"/>
      <c r="BI125" s="216"/>
      <c r="BJ125" s="216"/>
      <c r="BK125" s="216"/>
      <c r="BL125" s="216"/>
      <c r="BM125" s="216"/>
      <c r="BN125" s="216"/>
      <c r="BO125" s="216"/>
      <c r="BP125" s="216"/>
      <c r="BQ125" s="216"/>
      <c r="BR125" s="216"/>
      <c r="BS125" s="216"/>
      <c r="BT125" s="216"/>
      <c r="BU125" s="216"/>
      <c r="BV125" s="216"/>
      <c r="BW125" s="216"/>
      <c r="BX125" s="216"/>
      <c r="BY125" s="216"/>
      <c r="BZ125" s="216"/>
      <c r="CA125" s="216"/>
      <c r="CB125" s="216"/>
      <c r="CC125" s="216"/>
      <c r="CD125" s="216"/>
      <c r="CE125" s="216"/>
      <c r="CF125" s="216"/>
      <c r="CG125" s="216"/>
      <c r="CH125" s="216"/>
      <c r="CI125" s="216"/>
      <c r="CJ125" s="216"/>
      <c r="CK125" s="216"/>
      <c r="CL125" s="216"/>
      <c r="CM125" s="216"/>
      <c r="CN125" s="216"/>
      <c r="CO125" s="216"/>
      <c r="CP125" s="216"/>
      <c r="CQ125" s="216"/>
    </row>
    <row r="126" spans="7:95" x14ac:dyDescent="0.25">
      <c r="G126" s="216"/>
      <c r="H126" s="216"/>
      <c r="I126" s="216"/>
      <c r="J126" s="216"/>
      <c r="K126" s="217"/>
      <c r="L126" s="216"/>
      <c r="M126" s="216"/>
      <c r="N126" s="216"/>
      <c r="O126" s="216"/>
      <c r="P126" s="216"/>
      <c r="Q126" s="216"/>
      <c r="R126" s="216"/>
      <c r="S126" s="216"/>
      <c r="T126" s="216"/>
      <c r="U126" s="216"/>
      <c r="V126" s="216"/>
      <c r="W126" s="216"/>
      <c r="X126" s="216"/>
      <c r="Y126" s="216"/>
      <c r="Z126" s="216"/>
      <c r="AA126" s="216"/>
      <c r="AB126" s="216"/>
      <c r="AC126" s="216"/>
      <c r="AD126" s="216"/>
      <c r="AE126" s="216"/>
      <c r="AF126" s="216"/>
      <c r="AG126" s="216"/>
      <c r="AH126" s="216"/>
      <c r="AI126" s="216"/>
      <c r="AJ126" s="216"/>
      <c r="AK126" s="216"/>
      <c r="AL126" s="216"/>
      <c r="AM126" s="216"/>
      <c r="AN126" s="216"/>
      <c r="AO126" s="216"/>
      <c r="AP126" s="216"/>
      <c r="AQ126" s="216"/>
      <c r="AR126" s="216"/>
      <c r="AS126" s="216"/>
      <c r="AT126" s="216"/>
      <c r="AU126" s="216"/>
      <c r="AV126" s="216"/>
      <c r="AW126" s="216"/>
      <c r="AX126" s="216"/>
      <c r="AY126" s="216"/>
      <c r="AZ126" s="216"/>
      <c r="BA126" s="216"/>
      <c r="BB126" s="216"/>
      <c r="BC126" s="216"/>
      <c r="BD126" s="216"/>
      <c r="BE126" s="216"/>
      <c r="BF126" s="216"/>
      <c r="BG126" s="216"/>
      <c r="BH126" s="216"/>
      <c r="BI126" s="216"/>
      <c r="BJ126" s="216"/>
      <c r="BK126" s="216"/>
      <c r="BL126" s="216"/>
      <c r="BM126" s="216"/>
      <c r="BN126" s="216"/>
      <c r="BO126" s="216"/>
      <c r="BP126" s="216"/>
      <c r="BQ126" s="216"/>
      <c r="BR126" s="216"/>
      <c r="BS126" s="216"/>
      <c r="BT126" s="216"/>
      <c r="BU126" s="216"/>
      <c r="BV126" s="216"/>
      <c r="BW126" s="216"/>
      <c r="BX126" s="216"/>
      <c r="BY126" s="216"/>
      <c r="BZ126" s="216"/>
      <c r="CA126" s="216"/>
      <c r="CB126" s="216"/>
      <c r="CC126" s="216"/>
      <c r="CD126" s="216"/>
      <c r="CE126" s="216"/>
      <c r="CF126" s="216"/>
      <c r="CG126" s="216"/>
      <c r="CH126" s="216"/>
      <c r="CI126" s="216"/>
      <c r="CJ126" s="216"/>
      <c r="CK126" s="216"/>
      <c r="CL126" s="216"/>
      <c r="CM126" s="216"/>
      <c r="CN126" s="216"/>
      <c r="CO126" s="216"/>
      <c r="CP126" s="216"/>
      <c r="CQ126" s="216"/>
    </row>
    <row r="127" spans="7:95" x14ac:dyDescent="0.25">
      <c r="G127" s="216"/>
      <c r="H127" s="216"/>
      <c r="I127" s="216"/>
      <c r="J127" s="216"/>
      <c r="K127" s="217"/>
      <c r="L127" s="216"/>
      <c r="M127" s="216"/>
      <c r="N127" s="216"/>
      <c r="O127" s="216"/>
      <c r="P127" s="216"/>
      <c r="Q127" s="216"/>
      <c r="R127" s="216"/>
      <c r="S127" s="216"/>
      <c r="T127" s="216"/>
      <c r="U127" s="216"/>
      <c r="V127" s="216"/>
      <c r="W127" s="216"/>
      <c r="X127" s="216"/>
      <c r="Y127" s="216"/>
      <c r="Z127" s="216"/>
      <c r="AA127" s="216"/>
      <c r="AB127" s="216"/>
      <c r="AC127" s="216"/>
      <c r="AD127" s="216"/>
      <c r="AE127" s="216"/>
      <c r="AF127" s="216"/>
      <c r="AG127" s="216"/>
      <c r="AH127" s="216"/>
      <c r="AI127" s="216"/>
      <c r="AJ127" s="216"/>
      <c r="AK127" s="216"/>
      <c r="AL127" s="216"/>
      <c r="AM127" s="216"/>
      <c r="AN127" s="216"/>
      <c r="AO127" s="216"/>
      <c r="AP127" s="216"/>
      <c r="AQ127" s="216"/>
      <c r="AR127" s="216"/>
      <c r="AS127" s="216"/>
      <c r="AT127" s="216"/>
      <c r="AU127" s="216"/>
      <c r="AV127" s="216"/>
      <c r="AW127" s="216"/>
      <c r="AX127" s="216"/>
      <c r="AY127" s="216"/>
      <c r="AZ127" s="216"/>
      <c r="BA127" s="216"/>
      <c r="BB127" s="216"/>
      <c r="BC127" s="216"/>
      <c r="BD127" s="216"/>
      <c r="BE127" s="216"/>
      <c r="BF127" s="216"/>
      <c r="BG127" s="216"/>
      <c r="BH127" s="216"/>
      <c r="BI127" s="216"/>
      <c r="BJ127" s="216"/>
      <c r="BK127" s="216"/>
      <c r="BL127" s="216"/>
      <c r="BM127" s="216"/>
      <c r="BN127" s="216"/>
      <c r="BO127" s="216"/>
      <c r="BP127" s="216"/>
      <c r="BQ127" s="216"/>
      <c r="BR127" s="216"/>
      <c r="BS127" s="216"/>
      <c r="BT127" s="216"/>
      <c r="BU127" s="216"/>
      <c r="BV127" s="216"/>
      <c r="BW127" s="216"/>
      <c r="BX127" s="216"/>
      <c r="BY127" s="216"/>
      <c r="BZ127" s="216"/>
      <c r="CA127" s="216"/>
      <c r="CB127" s="216"/>
      <c r="CC127" s="216"/>
      <c r="CD127" s="216"/>
      <c r="CE127" s="216"/>
      <c r="CF127" s="216"/>
      <c r="CG127" s="216"/>
      <c r="CH127" s="216"/>
      <c r="CI127" s="216"/>
      <c r="CJ127" s="216"/>
      <c r="CK127" s="216"/>
      <c r="CL127" s="216"/>
      <c r="CM127" s="216"/>
      <c r="CN127" s="216"/>
      <c r="CO127" s="216"/>
      <c r="CP127" s="216"/>
      <c r="CQ127" s="216"/>
    </row>
    <row r="128" spans="7:95" x14ac:dyDescent="0.25">
      <c r="G128" s="216"/>
      <c r="H128" s="216"/>
      <c r="I128" s="216"/>
      <c r="J128" s="216"/>
      <c r="K128" s="217"/>
      <c r="L128" s="216"/>
      <c r="M128" s="216"/>
      <c r="N128" s="216"/>
      <c r="O128" s="216"/>
      <c r="P128" s="216"/>
      <c r="Q128" s="216"/>
      <c r="R128" s="216"/>
      <c r="S128" s="216"/>
      <c r="T128" s="216"/>
      <c r="U128" s="216"/>
      <c r="V128" s="216"/>
      <c r="W128" s="216"/>
      <c r="X128" s="216"/>
      <c r="Y128" s="216"/>
      <c r="Z128" s="216"/>
      <c r="AA128" s="216"/>
      <c r="AB128" s="216"/>
      <c r="AC128" s="216"/>
      <c r="AD128" s="216"/>
      <c r="AE128" s="216"/>
      <c r="AF128" s="216"/>
      <c r="AG128" s="216"/>
      <c r="AH128" s="216"/>
      <c r="AI128" s="216"/>
      <c r="AJ128" s="216"/>
      <c r="AK128" s="216"/>
      <c r="AL128" s="216"/>
      <c r="AM128" s="216"/>
      <c r="AN128" s="216"/>
      <c r="AO128" s="216"/>
      <c r="AP128" s="216"/>
      <c r="AQ128" s="216"/>
      <c r="AR128" s="216"/>
      <c r="AS128" s="216"/>
      <c r="AT128" s="216"/>
      <c r="AU128" s="216"/>
      <c r="AV128" s="216"/>
      <c r="AW128" s="216"/>
      <c r="AX128" s="216"/>
      <c r="AY128" s="216"/>
      <c r="AZ128" s="216"/>
      <c r="BA128" s="216"/>
      <c r="BB128" s="216"/>
      <c r="BC128" s="216"/>
      <c r="BD128" s="216"/>
      <c r="BE128" s="216"/>
      <c r="BF128" s="216"/>
      <c r="BG128" s="216"/>
      <c r="BH128" s="216"/>
      <c r="BI128" s="216"/>
      <c r="BJ128" s="216"/>
      <c r="BK128" s="216"/>
      <c r="BL128" s="216"/>
      <c r="BM128" s="216"/>
      <c r="BN128" s="216"/>
      <c r="BO128" s="216"/>
      <c r="BP128" s="216"/>
      <c r="BQ128" s="216"/>
      <c r="BR128" s="216"/>
      <c r="BS128" s="216"/>
      <c r="BT128" s="216"/>
      <c r="BU128" s="216"/>
      <c r="BV128" s="216"/>
      <c r="BW128" s="216"/>
      <c r="BX128" s="216"/>
      <c r="BY128" s="216"/>
      <c r="BZ128" s="216"/>
      <c r="CA128" s="216"/>
      <c r="CB128" s="216"/>
      <c r="CC128" s="216"/>
      <c r="CD128" s="216"/>
      <c r="CE128" s="216"/>
      <c r="CF128" s="216"/>
      <c r="CG128" s="216"/>
      <c r="CH128" s="216"/>
      <c r="CI128" s="216"/>
      <c r="CJ128" s="216"/>
      <c r="CK128" s="216"/>
      <c r="CL128" s="216"/>
      <c r="CM128" s="216"/>
      <c r="CN128" s="216"/>
      <c r="CO128" s="216"/>
      <c r="CP128" s="216"/>
      <c r="CQ128" s="216"/>
    </row>
    <row r="129" spans="7:95" x14ac:dyDescent="0.25">
      <c r="G129" s="216"/>
      <c r="H129" s="216"/>
      <c r="I129" s="216"/>
      <c r="J129" s="216"/>
      <c r="K129" s="217"/>
      <c r="L129" s="216"/>
      <c r="M129" s="216"/>
      <c r="N129" s="216"/>
      <c r="O129" s="216"/>
      <c r="P129" s="216"/>
      <c r="Q129" s="216"/>
      <c r="R129" s="216"/>
      <c r="S129" s="216"/>
      <c r="T129" s="216"/>
      <c r="U129" s="216"/>
      <c r="V129" s="216"/>
      <c r="W129" s="216"/>
      <c r="X129" s="216"/>
      <c r="Y129" s="216"/>
      <c r="Z129" s="216"/>
      <c r="AA129" s="216"/>
      <c r="AB129" s="216"/>
      <c r="AC129" s="216"/>
      <c r="AD129" s="216"/>
      <c r="AE129" s="216"/>
      <c r="AF129" s="216"/>
      <c r="AG129" s="216"/>
      <c r="AH129" s="216"/>
      <c r="AI129" s="216"/>
      <c r="AJ129" s="216"/>
      <c r="AK129" s="216"/>
      <c r="AL129" s="216"/>
      <c r="AM129" s="216"/>
      <c r="AN129" s="216"/>
      <c r="AO129" s="216"/>
      <c r="AP129" s="216"/>
      <c r="AQ129" s="216"/>
      <c r="AR129" s="216"/>
      <c r="AS129" s="216"/>
      <c r="AT129" s="216"/>
      <c r="AU129" s="216"/>
      <c r="AV129" s="216"/>
      <c r="AW129" s="216"/>
      <c r="AX129" s="216"/>
      <c r="AY129" s="216"/>
      <c r="AZ129" s="216"/>
      <c r="BA129" s="216"/>
      <c r="BB129" s="216"/>
      <c r="BC129" s="216"/>
      <c r="BD129" s="216"/>
      <c r="BE129" s="216"/>
      <c r="BF129" s="216"/>
      <c r="BG129" s="216"/>
      <c r="BH129" s="216"/>
      <c r="BI129" s="216"/>
      <c r="BJ129" s="216"/>
      <c r="BK129" s="216"/>
      <c r="BL129" s="216"/>
      <c r="BM129" s="216"/>
      <c r="BN129" s="216"/>
      <c r="BO129" s="216"/>
      <c r="BP129" s="216"/>
      <c r="BQ129" s="216"/>
      <c r="BR129" s="216"/>
      <c r="BS129" s="216"/>
      <c r="BT129" s="216"/>
      <c r="BU129" s="216"/>
      <c r="BV129" s="216"/>
      <c r="BW129" s="216"/>
      <c r="BX129" s="216"/>
      <c r="BY129" s="216"/>
      <c r="BZ129" s="216"/>
      <c r="CA129" s="216"/>
      <c r="CB129" s="216"/>
      <c r="CC129" s="216"/>
      <c r="CD129" s="216"/>
      <c r="CE129" s="216"/>
      <c r="CF129" s="216"/>
      <c r="CG129" s="216"/>
      <c r="CH129" s="216"/>
      <c r="CI129" s="216"/>
      <c r="CJ129" s="216"/>
      <c r="CK129" s="216"/>
      <c r="CL129" s="216"/>
      <c r="CM129" s="216"/>
      <c r="CN129" s="216"/>
      <c r="CO129" s="216"/>
      <c r="CP129" s="216"/>
      <c r="CQ129" s="216"/>
    </row>
    <row r="130" spans="7:95" x14ac:dyDescent="0.25">
      <c r="G130" s="216"/>
      <c r="H130" s="216"/>
      <c r="I130" s="216"/>
      <c r="J130" s="216"/>
      <c r="K130" s="217"/>
      <c r="L130" s="216"/>
      <c r="M130" s="216"/>
      <c r="N130" s="216"/>
      <c r="O130" s="216"/>
      <c r="P130" s="216"/>
      <c r="Q130" s="216"/>
      <c r="R130" s="216"/>
      <c r="S130" s="216"/>
      <c r="T130" s="216"/>
      <c r="U130" s="216"/>
      <c r="V130" s="216"/>
      <c r="W130" s="216"/>
      <c r="X130" s="216"/>
      <c r="Y130" s="216"/>
      <c r="Z130" s="216"/>
      <c r="AA130" s="216"/>
      <c r="AB130" s="216"/>
      <c r="AC130" s="216"/>
      <c r="AD130" s="216"/>
      <c r="AE130" s="216"/>
      <c r="AF130" s="216"/>
      <c r="AG130" s="216"/>
      <c r="AH130" s="216"/>
      <c r="AI130" s="216"/>
      <c r="AJ130" s="216"/>
      <c r="AK130" s="216"/>
      <c r="AL130" s="216"/>
      <c r="AM130" s="216"/>
      <c r="AN130" s="216"/>
      <c r="AO130" s="216"/>
      <c r="AP130" s="216"/>
      <c r="AQ130" s="216"/>
      <c r="AR130" s="216"/>
      <c r="AS130" s="216"/>
      <c r="AT130" s="216"/>
      <c r="AU130" s="216"/>
      <c r="AV130" s="216"/>
      <c r="AW130" s="216"/>
      <c r="AX130" s="216"/>
      <c r="AY130" s="216"/>
      <c r="AZ130" s="216"/>
      <c r="BA130" s="216"/>
      <c r="BB130" s="216"/>
      <c r="BC130" s="216"/>
      <c r="BD130" s="216"/>
      <c r="BE130" s="216"/>
      <c r="BF130" s="216"/>
      <c r="BG130" s="216"/>
      <c r="BH130" s="216"/>
      <c r="BI130" s="216"/>
      <c r="BJ130" s="216"/>
      <c r="BK130" s="216"/>
      <c r="BL130" s="216"/>
      <c r="BM130" s="216"/>
      <c r="BN130" s="216"/>
      <c r="BO130" s="216"/>
      <c r="BP130" s="216"/>
      <c r="BQ130" s="216"/>
      <c r="BR130" s="216"/>
      <c r="BS130" s="216"/>
      <c r="BT130" s="216"/>
      <c r="BU130" s="216"/>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row>
    <row r="131" spans="7:95" x14ac:dyDescent="0.25">
      <c r="G131" s="216"/>
      <c r="H131" s="216"/>
      <c r="I131" s="216"/>
      <c r="J131" s="216"/>
      <c r="K131" s="217"/>
      <c r="L131" s="216"/>
      <c r="M131" s="216"/>
      <c r="N131" s="216"/>
      <c r="O131" s="216"/>
      <c r="P131" s="216"/>
      <c r="Q131" s="216"/>
      <c r="R131" s="216"/>
      <c r="S131" s="216"/>
      <c r="T131" s="216"/>
      <c r="U131" s="216"/>
      <c r="V131" s="216"/>
      <c r="W131" s="216"/>
      <c r="X131" s="216"/>
      <c r="Y131" s="216"/>
      <c r="Z131" s="216"/>
      <c r="AA131" s="216"/>
      <c r="AB131" s="216"/>
      <c r="AC131" s="216"/>
      <c r="AD131" s="216"/>
      <c r="AE131" s="216"/>
      <c r="AF131" s="216"/>
      <c r="AG131" s="216"/>
      <c r="AH131" s="216"/>
      <c r="AI131" s="216"/>
      <c r="AJ131" s="216"/>
      <c r="AK131" s="216"/>
      <c r="AL131" s="216"/>
      <c r="AM131" s="216"/>
      <c r="AN131" s="216"/>
      <c r="AO131" s="216"/>
      <c r="AP131" s="216"/>
      <c r="AQ131" s="216"/>
      <c r="AR131" s="216"/>
      <c r="AS131" s="216"/>
      <c r="AT131" s="216"/>
      <c r="AU131" s="216"/>
      <c r="AV131" s="216"/>
      <c r="AW131" s="216"/>
      <c r="AX131" s="216"/>
      <c r="AY131" s="216"/>
      <c r="AZ131" s="216"/>
      <c r="BA131" s="216"/>
      <c r="BB131" s="216"/>
      <c r="BC131" s="216"/>
      <c r="BD131" s="216"/>
      <c r="BE131" s="216"/>
      <c r="BF131" s="216"/>
      <c r="BG131" s="216"/>
      <c r="BH131" s="216"/>
      <c r="BI131" s="216"/>
      <c r="BJ131" s="216"/>
      <c r="BK131" s="216"/>
      <c r="BL131" s="216"/>
      <c r="BM131" s="216"/>
      <c r="BN131" s="216"/>
      <c r="BO131" s="216"/>
      <c r="BP131" s="216"/>
      <c r="BQ131" s="216"/>
      <c r="BR131" s="216"/>
      <c r="BS131" s="216"/>
      <c r="BT131" s="216"/>
      <c r="BU131" s="216"/>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row>
    <row r="132" spans="7:95" x14ac:dyDescent="0.25">
      <c r="G132" s="216"/>
      <c r="H132" s="216"/>
      <c r="I132" s="216"/>
      <c r="J132" s="216"/>
      <c r="K132" s="217"/>
      <c r="L132" s="216"/>
      <c r="M132" s="216"/>
      <c r="N132" s="216"/>
      <c r="O132" s="216"/>
      <c r="P132" s="216"/>
      <c r="Q132" s="216"/>
      <c r="R132" s="216"/>
      <c r="S132" s="216"/>
      <c r="T132" s="216"/>
      <c r="U132" s="216"/>
      <c r="V132" s="216"/>
      <c r="W132" s="216"/>
      <c r="X132" s="216"/>
      <c r="Y132" s="216"/>
      <c r="Z132" s="216"/>
      <c r="AA132" s="216"/>
      <c r="AB132" s="216"/>
      <c r="AC132" s="216"/>
      <c r="AD132" s="216"/>
      <c r="AE132" s="216"/>
      <c r="AF132" s="216"/>
      <c r="AG132" s="216"/>
      <c r="AH132" s="216"/>
      <c r="AI132" s="216"/>
      <c r="AJ132" s="216"/>
      <c r="AK132" s="216"/>
      <c r="AL132" s="216"/>
      <c r="AM132" s="216"/>
      <c r="AN132" s="216"/>
      <c r="AO132" s="216"/>
      <c r="AP132" s="216"/>
      <c r="AQ132" s="216"/>
      <c r="AR132" s="216"/>
      <c r="AS132" s="216"/>
      <c r="AT132" s="216"/>
      <c r="AU132" s="216"/>
      <c r="AV132" s="216"/>
      <c r="AW132" s="216"/>
      <c r="AX132" s="216"/>
      <c r="AY132" s="216"/>
      <c r="AZ132" s="216"/>
      <c r="BA132" s="216"/>
      <c r="BB132" s="216"/>
      <c r="BC132" s="216"/>
      <c r="BD132" s="216"/>
      <c r="BE132" s="216"/>
      <c r="BF132" s="216"/>
      <c r="BG132" s="216"/>
      <c r="BH132" s="216"/>
      <c r="BI132" s="216"/>
      <c r="BJ132" s="216"/>
      <c r="BK132" s="216"/>
      <c r="BL132" s="216"/>
      <c r="BM132" s="216"/>
      <c r="BN132" s="216"/>
      <c r="BO132" s="216"/>
      <c r="BP132" s="216"/>
      <c r="BQ132" s="216"/>
      <c r="BR132" s="216"/>
      <c r="BS132" s="216"/>
      <c r="BT132" s="216"/>
      <c r="BU132" s="216"/>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row>
    <row r="133" spans="7:95" x14ac:dyDescent="0.25">
      <c r="G133" s="216"/>
      <c r="H133" s="216"/>
      <c r="I133" s="216"/>
      <c r="J133" s="216"/>
      <c r="K133" s="217"/>
      <c r="L133" s="216"/>
      <c r="M133" s="216"/>
      <c r="N133" s="216"/>
      <c r="O133" s="216"/>
      <c r="P133" s="216"/>
      <c r="Q133" s="216"/>
      <c r="R133" s="216"/>
      <c r="S133" s="216"/>
      <c r="T133" s="216"/>
      <c r="U133" s="216"/>
      <c r="V133" s="216"/>
      <c r="W133" s="216"/>
      <c r="X133" s="216"/>
      <c r="Y133" s="216"/>
      <c r="Z133" s="216"/>
      <c r="AA133" s="216"/>
      <c r="AB133" s="216"/>
      <c r="AC133" s="216"/>
      <c r="AD133" s="216"/>
      <c r="AE133" s="216"/>
      <c r="AF133" s="216"/>
      <c r="AG133" s="216"/>
      <c r="AH133" s="216"/>
      <c r="AI133" s="216"/>
      <c r="AJ133" s="216"/>
      <c r="AK133" s="216"/>
      <c r="AL133" s="216"/>
      <c r="AM133" s="216"/>
      <c r="AN133" s="216"/>
      <c r="AO133" s="216"/>
      <c r="AP133" s="216"/>
      <c r="AQ133" s="216"/>
      <c r="AR133" s="216"/>
      <c r="AS133" s="216"/>
      <c r="AT133" s="216"/>
      <c r="AU133" s="216"/>
      <c r="AV133" s="216"/>
      <c r="AW133" s="216"/>
      <c r="AX133" s="216"/>
      <c r="AY133" s="216"/>
      <c r="AZ133" s="216"/>
      <c r="BA133" s="216"/>
      <c r="BB133" s="216"/>
      <c r="BC133" s="216"/>
      <c r="BD133" s="216"/>
      <c r="BE133" s="216"/>
      <c r="BF133" s="216"/>
      <c r="BG133" s="216"/>
      <c r="BH133" s="216"/>
      <c r="BI133" s="216"/>
      <c r="BJ133" s="216"/>
      <c r="BK133" s="216"/>
      <c r="BL133" s="216"/>
      <c r="BM133" s="216"/>
      <c r="BN133" s="216"/>
      <c r="BO133" s="216"/>
      <c r="BP133" s="216"/>
      <c r="BQ133" s="216"/>
      <c r="BR133" s="216"/>
      <c r="BS133" s="216"/>
      <c r="BT133" s="216"/>
      <c r="BU133" s="216"/>
      <c r="BV133" s="216"/>
      <c r="BW133" s="216"/>
      <c r="BX133" s="216"/>
      <c r="BY133" s="216"/>
      <c r="BZ133" s="216"/>
      <c r="CA133" s="216"/>
      <c r="CB133" s="216"/>
      <c r="CC133" s="216"/>
      <c r="CD133" s="216"/>
      <c r="CE133" s="216"/>
      <c r="CF133" s="216"/>
      <c r="CG133" s="216"/>
      <c r="CH133" s="216"/>
      <c r="CI133" s="216"/>
      <c r="CJ133" s="216"/>
      <c r="CK133" s="216"/>
      <c r="CL133" s="216"/>
      <c r="CM133" s="216"/>
      <c r="CN133" s="216"/>
      <c r="CO133" s="216"/>
      <c r="CP133" s="216"/>
      <c r="CQ133" s="216"/>
    </row>
    <row r="134" spans="7:95" x14ac:dyDescent="0.25">
      <c r="G134" s="216"/>
      <c r="H134" s="216"/>
      <c r="I134" s="216"/>
      <c r="J134" s="216"/>
      <c r="K134" s="217"/>
      <c r="L134" s="216"/>
      <c r="M134" s="216"/>
      <c r="N134" s="216"/>
      <c r="O134" s="216"/>
      <c r="P134" s="216"/>
      <c r="Q134" s="216"/>
      <c r="R134" s="216"/>
      <c r="S134" s="216"/>
      <c r="T134" s="216"/>
      <c r="U134" s="216"/>
      <c r="V134" s="216"/>
      <c r="W134" s="216"/>
      <c r="X134" s="216"/>
      <c r="Y134" s="216"/>
      <c r="Z134" s="216"/>
      <c r="AA134" s="216"/>
      <c r="AB134" s="216"/>
      <c r="AC134" s="216"/>
      <c r="AD134" s="216"/>
      <c r="AE134" s="216"/>
      <c r="AF134" s="216"/>
      <c r="AG134" s="216"/>
      <c r="AH134" s="216"/>
      <c r="AI134" s="216"/>
      <c r="AJ134" s="216"/>
      <c r="AK134" s="216"/>
      <c r="AL134" s="216"/>
      <c r="AM134" s="216"/>
      <c r="AN134" s="216"/>
      <c r="AO134" s="216"/>
      <c r="AP134" s="216"/>
      <c r="AQ134" s="216"/>
      <c r="AR134" s="216"/>
      <c r="AS134" s="216"/>
      <c r="AT134" s="216"/>
      <c r="AU134" s="216"/>
      <c r="AV134" s="216"/>
      <c r="AW134" s="216"/>
      <c r="AX134" s="216"/>
      <c r="AY134" s="216"/>
      <c r="AZ134" s="216"/>
      <c r="BA134" s="216"/>
      <c r="BB134" s="216"/>
      <c r="BC134" s="216"/>
      <c r="BD134" s="216"/>
      <c r="BE134" s="216"/>
      <c r="BF134" s="216"/>
      <c r="BG134" s="216"/>
      <c r="BH134" s="216"/>
      <c r="BI134" s="216"/>
      <c r="BJ134" s="216"/>
      <c r="BK134" s="216"/>
      <c r="BL134" s="216"/>
      <c r="BM134" s="216"/>
      <c r="BN134" s="216"/>
      <c r="BO134" s="216"/>
      <c r="BP134" s="216"/>
      <c r="BQ134" s="216"/>
      <c r="BR134" s="216"/>
      <c r="BS134" s="216"/>
      <c r="BT134" s="216"/>
      <c r="BU134" s="216"/>
      <c r="BV134" s="216"/>
      <c r="BW134" s="216"/>
      <c r="BX134" s="216"/>
      <c r="BY134" s="216"/>
      <c r="BZ134" s="216"/>
      <c r="CA134" s="216"/>
      <c r="CB134" s="216"/>
      <c r="CC134" s="216"/>
      <c r="CD134" s="216"/>
      <c r="CE134" s="216"/>
      <c r="CF134" s="216"/>
      <c r="CG134" s="216"/>
      <c r="CH134" s="216"/>
      <c r="CI134" s="216"/>
      <c r="CJ134" s="216"/>
      <c r="CK134" s="216"/>
      <c r="CL134" s="216"/>
      <c r="CM134" s="216"/>
      <c r="CN134" s="216"/>
      <c r="CO134" s="216"/>
      <c r="CP134" s="216"/>
      <c r="CQ134" s="216"/>
    </row>
    <row r="135" spans="7:95" x14ac:dyDescent="0.25">
      <c r="G135" s="216"/>
      <c r="H135" s="216"/>
      <c r="I135" s="216"/>
      <c r="J135" s="216"/>
      <c r="K135" s="217"/>
      <c r="L135" s="216"/>
      <c r="M135" s="216"/>
      <c r="N135" s="216"/>
      <c r="O135" s="216"/>
      <c r="P135" s="216"/>
      <c r="Q135" s="216"/>
      <c r="R135" s="216"/>
      <c r="S135" s="216"/>
      <c r="T135" s="216"/>
      <c r="U135" s="216"/>
      <c r="V135" s="216"/>
      <c r="W135" s="216"/>
      <c r="X135" s="216"/>
      <c r="Y135" s="216"/>
      <c r="Z135" s="216"/>
      <c r="AA135" s="216"/>
      <c r="AB135" s="216"/>
      <c r="AC135" s="216"/>
      <c r="AD135" s="216"/>
      <c r="AE135" s="216"/>
      <c r="AF135" s="216"/>
      <c r="AG135" s="216"/>
      <c r="AH135" s="216"/>
      <c r="AI135" s="216"/>
      <c r="AJ135" s="216"/>
      <c r="AK135" s="216"/>
      <c r="AL135" s="216"/>
      <c r="AM135" s="216"/>
      <c r="AN135" s="216"/>
      <c r="AO135" s="216"/>
      <c r="AP135" s="216"/>
      <c r="AQ135" s="216"/>
      <c r="AR135" s="216"/>
      <c r="AS135" s="216"/>
      <c r="AT135" s="216"/>
      <c r="AU135" s="216"/>
      <c r="AV135" s="216"/>
      <c r="AW135" s="216"/>
      <c r="AX135" s="216"/>
      <c r="AY135" s="216"/>
      <c r="AZ135" s="216"/>
      <c r="BA135" s="216"/>
      <c r="BB135" s="216"/>
      <c r="BC135" s="216"/>
      <c r="BD135" s="216"/>
      <c r="BE135" s="216"/>
      <c r="BF135" s="216"/>
      <c r="BG135" s="216"/>
      <c r="BH135" s="216"/>
      <c r="BI135" s="216"/>
      <c r="BJ135" s="216"/>
      <c r="BK135" s="216"/>
      <c r="BL135" s="216"/>
      <c r="BM135" s="216"/>
      <c r="BN135" s="216"/>
      <c r="BO135" s="216"/>
      <c r="BP135" s="216"/>
      <c r="BQ135" s="216"/>
      <c r="BR135" s="216"/>
      <c r="BS135" s="216"/>
      <c r="BT135" s="216"/>
      <c r="BU135" s="216"/>
      <c r="BV135" s="216"/>
      <c r="BW135" s="216"/>
      <c r="BX135" s="216"/>
      <c r="BY135" s="216"/>
      <c r="BZ135" s="216"/>
      <c r="CA135" s="216"/>
      <c r="CB135" s="216"/>
      <c r="CC135" s="216"/>
      <c r="CD135" s="216"/>
      <c r="CE135" s="216"/>
      <c r="CF135" s="216"/>
      <c r="CG135" s="216"/>
      <c r="CH135" s="216"/>
      <c r="CI135" s="216"/>
      <c r="CJ135" s="216"/>
      <c r="CK135" s="216"/>
      <c r="CL135" s="216"/>
      <c r="CM135" s="216"/>
      <c r="CN135" s="216"/>
      <c r="CO135" s="216"/>
      <c r="CP135" s="216"/>
      <c r="CQ135" s="216"/>
    </row>
    <row r="136" spans="7:95" x14ac:dyDescent="0.25">
      <c r="G136" s="216"/>
      <c r="H136" s="216"/>
      <c r="I136" s="216"/>
      <c r="J136" s="216"/>
      <c r="K136" s="217"/>
      <c r="L136" s="216"/>
      <c r="M136" s="216"/>
      <c r="N136" s="216"/>
      <c r="O136" s="216"/>
      <c r="P136" s="216"/>
      <c r="Q136" s="216"/>
      <c r="R136" s="216"/>
      <c r="S136" s="216"/>
      <c r="T136" s="216"/>
      <c r="U136" s="216"/>
      <c r="V136" s="216"/>
      <c r="W136" s="216"/>
      <c r="X136" s="216"/>
      <c r="Y136" s="216"/>
      <c r="Z136" s="216"/>
      <c r="AA136" s="216"/>
      <c r="AB136" s="216"/>
      <c r="AC136" s="216"/>
      <c r="AD136" s="216"/>
      <c r="AE136" s="216"/>
      <c r="AF136" s="216"/>
      <c r="AG136" s="216"/>
      <c r="AH136" s="216"/>
      <c r="AI136" s="216"/>
      <c r="AJ136" s="216"/>
      <c r="AK136" s="216"/>
      <c r="AL136" s="216"/>
      <c r="AM136" s="216"/>
      <c r="AN136" s="216"/>
      <c r="AO136" s="216"/>
      <c r="AP136" s="216"/>
      <c r="AQ136" s="216"/>
      <c r="AR136" s="216"/>
      <c r="AS136" s="216"/>
      <c r="AT136" s="216"/>
      <c r="AU136" s="216"/>
      <c r="AV136" s="216"/>
      <c r="AW136" s="216"/>
      <c r="AX136" s="216"/>
      <c r="AY136" s="216"/>
      <c r="AZ136" s="216"/>
      <c r="BA136" s="216"/>
      <c r="BB136" s="216"/>
      <c r="BC136" s="216"/>
      <c r="BD136" s="216"/>
      <c r="BE136" s="216"/>
      <c r="BF136" s="216"/>
      <c r="BG136" s="216"/>
      <c r="BH136" s="216"/>
      <c r="BI136" s="216"/>
      <c r="BJ136" s="216"/>
      <c r="BK136" s="216"/>
      <c r="BL136" s="216"/>
      <c r="BM136" s="216"/>
      <c r="BN136" s="216"/>
      <c r="BO136" s="216"/>
      <c r="BP136" s="216"/>
      <c r="BQ136" s="216"/>
      <c r="BR136" s="216"/>
      <c r="BS136" s="216"/>
      <c r="BT136" s="216"/>
      <c r="BU136" s="216"/>
      <c r="BV136" s="216"/>
      <c r="BW136" s="216"/>
      <c r="BX136" s="216"/>
      <c r="BY136" s="216"/>
      <c r="BZ136" s="216"/>
      <c r="CA136" s="216"/>
      <c r="CB136" s="216"/>
      <c r="CC136" s="216"/>
      <c r="CD136" s="216"/>
      <c r="CE136" s="216"/>
      <c r="CF136" s="216"/>
      <c r="CG136" s="216"/>
      <c r="CH136" s="216"/>
      <c r="CI136" s="216"/>
      <c r="CJ136" s="216"/>
      <c r="CK136" s="216"/>
      <c r="CL136" s="216"/>
      <c r="CM136" s="216"/>
      <c r="CN136" s="216"/>
      <c r="CO136" s="216"/>
      <c r="CP136" s="216"/>
      <c r="CQ136" s="216"/>
    </row>
    <row r="137" spans="7:95" x14ac:dyDescent="0.25">
      <c r="G137" s="216"/>
      <c r="H137" s="216"/>
      <c r="I137" s="216"/>
      <c r="J137" s="216"/>
      <c r="K137" s="217"/>
      <c r="L137" s="216"/>
      <c r="M137" s="216"/>
      <c r="N137" s="216"/>
      <c r="O137" s="216"/>
      <c r="P137" s="216"/>
      <c r="Q137" s="216"/>
      <c r="R137" s="216"/>
      <c r="S137" s="216"/>
      <c r="T137" s="216"/>
      <c r="U137" s="216"/>
      <c r="V137" s="216"/>
      <c r="W137" s="216"/>
      <c r="X137" s="216"/>
      <c r="Y137" s="216"/>
      <c r="Z137" s="216"/>
      <c r="AA137" s="216"/>
      <c r="AB137" s="216"/>
      <c r="AC137" s="216"/>
      <c r="AD137" s="216"/>
      <c r="AE137" s="216"/>
      <c r="AF137" s="216"/>
      <c r="AG137" s="216"/>
      <c r="AH137" s="216"/>
      <c r="AI137" s="216"/>
      <c r="AJ137" s="216"/>
      <c r="AK137" s="216"/>
      <c r="AL137" s="216"/>
      <c r="AM137" s="216"/>
      <c r="AN137" s="216"/>
      <c r="AO137" s="216"/>
      <c r="AP137" s="216"/>
      <c r="AQ137" s="216"/>
      <c r="AR137" s="216"/>
      <c r="AS137" s="216"/>
      <c r="AT137" s="216"/>
      <c r="AU137" s="216"/>
      <c r="AV137" s="216"/>
      <c r="AW137" s="216"/>
      <c r="AX137" s="216"/>
      <c r="AY137" s="216"/>
      <c r="AZ137" s="216"/>
      <c r="BA137" s="216"/>
      <c r="BB137" s="216"/>
      <c r="BC137" s="216"/>
      <c r="BD137" s="216"/>
      <c r="BE137" s="216"/>
      <c r="BF137" s="216"/>
      <c r="BG137" s="216"/>
      <c r="BH137" s="216"/>
      <c r="BI137" s="216"/>
      <c r="BJ137" s="216"/>
      <c r="BK137" s="216"/>
      <c r="BL137" s="216"/>
      <c r="BM137" s="216"/>
      <c r="BN137" s="216"/>
      <c r="BO137" s="216"/>
      <c r="BP137" s="216"/>
      <c r="BQ137" s="216"/>
      <c r="BR137" s="216"/>
      <c r="BS137" s="216"/>
      <c r="BT137" s="216"/>
      <c r="BU137" s="216"/>
      <c r="BV137" s="216"/>
      <c r="BW137" s="216"/>
      <c r="BX137" s="216"/>
      <c r="BY137" s="216"/>
      <c r="BZ137" s="216"/>
      <c r="CA137" s="216"/>
      <c r="CB137" s="216"/>
      <c r="CC137" s="216"/>
      <c r="CD137" s="216"/>
      <c r="CE137" s="216"/>
      <c r="CF137" s="216"/>
      <c r="CG137" s="216"/>
      <c r="CH137" s="216"/>
      <c r="CI137" s="216"/>
      <c r="CJ137" s="216"/>
      <c r="CK137" s="216"/>
      <c r="CL137" s="216"/>
      <c r="CM137" s="216"/>
      <c r="CN137" s="216"/>
      <c r="CO137" s="216"/>
      <c r="CP137" s="216"/>
      <c r="CQ137" s="216"/>
    </row>
    <row r="138" spans="7:95" x14ac:dyDescent="0.25">
      <c r="G138" s="216"/>
      <c r="H138" s="216"/>
      <c r="I138" s="216"/>
      <c r="J138" s="216"/>
      <c r="K138" s="217"/>
      <c r="L138" s="216"/>
      <c r="M138" s="216"/>
      <c r="N138" s="216"/>
      <c r="O138" s="216"/>
      <c r="P138" s="216"/>
      <c r="Q138" s="216"/>
      <c r="R138" s="216"/>
      <c r="S138" s="216"/>
      <c r="T138" s="216"/>
      <c r="U138" s="216"/>
      <c r="V138" s="216"/>
      <c r="W138" s="216"/>
      <c r="X138" s="216"/>
      <c r="Y138" s="216"/>
      <c r="Z138" s="216"/>
      <c r="AA138" s="216"/>
      <c r="AB138" s="216"/>
      <c r="AC138" s="216"/>
      <c r="AD138" s="216"/>
      <c r="AE138" s="216"/>
      <c r="AF138" s="216"/>
      <c r="AG138" s="216"/>
      <c r="AH138" s="216"/>
      <c r="AI138" s="216"/>
      <c r="AJ138" s="216"/>
      <c r="AK138" s="216"/>
      <c r="AL138" s="216"/>
      <c r="AM138" s="216"/>
      <c r="AN138" s="216"/>
      <c r="AO138" s="216"/>
      <c r="AP138" s="216"/>
      <c r="AQ138" s="216"/>
      <c r="AR138" s="216"/>
      <c r="AS138" s="216"/>
      <c r="AT138" s="216"/>
      <c r="AU138" s="216"/>
      <c r="AV138" s="216"/>
      <c r="AW138" s="216"/>
      <c r="AX138" s="216"/>
      <c r="AY138" s="216"/>
      <c r="AZ138" s="216"/>
      <c r="BA138" s="216"/>
      <c r="BB138" s="216"/>
      <c r="BC138" s="216"/>
      <c r="BD138" s="216"/>
      <c r="BE138" s="216"/>
      <c r="BF138" s="216"/>
      <c r="BG138" s="216"/>
      <c r="BH138" s="216"/>
      <c r="BI138" s="216"/>
      <c r="BJ138" s="216"/>
      <c r="BK138" s="216"/>
      <c r="BL138" s="216"/>
      <c r="BM138" s="216"/>
      <c r="BN138" s="216"/>
      <c r="BO138" s="216"/>
      <c r="BP138" s="216"/>
      <c r="BQ138" s="216"/>
      <c r="BR138" s="216"/>
      <c r="BS138" s="216"/>
      <c r="BT138" s="216"/>
      <c r="BU138" s="216"/>
      <c r="BV138" s="216"/>
      <c r="BW138" s="216"/>
      <c r="BX138" s="216"/>
      <c r="BY138" s="216"/>
      <c r="BZ138" s="216"/>
      <c r="CA138" s="216"/>
      <c r="CB138" s="216"/>
      <c r="CC138" s="216"/>
      <c r="CD138" s="216"/>
      <c r="CE138" s="216"/>
      <c r="CF138" s="216"/>
      <c r="CG138" s="216"/>
      <c r="CH138" s="216"/>
      <c r="CI138" s="216"/>
      <c r="CJ138" s="216"/>
      <c r="CK138" s="216"/>
      <c r="CL138" s="216"/>
      <c r="CM138" s="216"/>
      <c r="CN138" s="216"/>
      <c r="CO138" s="216"/>
      <c r="CP138" s="216"/>
      <c r="CQ138" s="216"/>
    </row>
    <row r="139" spans="7:95" x14ac:dyDescent="0.25">
      <c r="G139" s="216"/>
      <c r="H139" s="216"/>
      <c r="I139" s="216"/>
      <c r="J139" s="216"/>
      <c r="K139" s="217"/>
      <c r="L139" s="216"/>
      <c r="M139" s="216"/>
      <c r="N139" s="216"/>
      <c r="O139" s="216"/>
      <c r="P139" s="216"/>
      <c r="Q139" s="216"/>
      <c r="R139" s="216"/>
      <c r="S139" s="216"/>
      <c r="T139" s="216"/>
      <c r="U139" s="216"/>
      <c r="V139" s="216"/>
      <c r="W139" s="216"/>
      <c r="X139" s="216"/>
      <c r="Y139" s="216"/>
      <c r="Z139" s="216"/>
      <c r="AA139" s="216"/>
      <c r="AB139" s="216"/>
      <c r="AC139" s="216"/>
      <c r="AD139" s="216"/>
      <c r="AE139" s="216"/>
      <c r="AF139" s="216"/>
      <c r="AG139" s="216"/>
      <c r="AH139" s="216"/>
      <c r="AI139" s="216"/>
      <c r="AJ139" s="216"/>
      <c r="AK139" s="216"/>
      <c r="AL139" s="216"/>
      <c r="AM139" s="216"/>
      <c r="AN139" s="216"/>
      <c r="AO139" s="216"/>
      <c r="AP139" s="216"/>
      <c r="AQ139" s="216"/>
      <c r="AR139" s="216"/>
      <c r="AS139" s="216"/>
      <c r="AT139" s="216"/>
      <c r="AU139" s="216"/>
      <c r="AV139" s="216"/>
      <c r="AW139" s="216"/>
      <c r="AX139" s="216"/>
      <c r="AY139" s="216"/>
      <c r="AZ139" s="216"/>
      <c r="BA139" s="216"/>
      <c r="BB139" s="216"/>
      <c r="BC139" s="216"/>
      <c r="BD139" s="216"/>
      <c r="BE139" s="216"/>
      <c r="BF139" s="216"/>
      <c r="BG139" s="216"/>
      <c r="BH139" s="216"/>
      <c r="BI139" s="216"/>
      <c r="BJ139" s="216"/>
      <c r="BK139" s="216"/>
      <c r="BL139" s="216"/>
      <c r="BM139" s="216"/>
      <c r="BN139" s="216"/>
      <c r="BO139" s="216"/>
      <c r="BP139" s="216"/>
      <c r="BQ139" s="216"/>
      <c r="BR139" s="216"/>
      <c r="BS139" s="216"/>
      <c r="BT139" s="216"/>
      <c r="BU139" s="216"/>
      <c r="BV139" s="216"/>
      <c r="BW139" s="216"/>
      <c r="BX139" s="216"/>
      <c r="BY139" s="216"/>
      <c r="BZ139" s="216"/>
      <c r="CA139" s="216"/>
      <c r="CB139" s="216"/>
      <c r="CC139" s="216"/>
      <c r="CD139" s="216"/>
      <c r="CE139" s="216"/>
      <c r="CF139" s="216"/>
      <c r="CG139" s="216"/>
      <c r="CH139" s="216"/>
      <c r="CI139" s="216"/>
      <c r="CJ139" s="216"/>
      <c r="CK139" s="216"/>
      <c r="CL139" s="216"/>
      <c r="CM139" s="216"/>
      <c r="CN139" s="216"/>
      <c r="CO139" s="216"/>
      <c r="CP139" s="216"/>
      <c r="CQ139" s="216"/>
    </row>
    <row r="140" spans="7:95" x14ac:dyDescent="0.25">
      <c r="G140" s="216"/>
      <c r="H140" s="216"/>
      <c r="I140" s="216"/>
      <c r="J140" s="216"/>
      <c r="K140" s="217"/>
      <c r="L140" s="216"/>
      <c r="M140" s="216"/>
      <c r="N140" s="216"/>
      <c r="O140" s="216"/>
      <c r="P140" s="216"/>
      <c r="Q140" s="216"/>
      <c r="R140" s="216"/>
      <c r="S140" s="216"/>
      <c r="T140" s="216"/>
      <c r="U140" s="216"/>
      <c r="V140" s="216"/>
      <c r="W140" s="216"/>
      <c r="X140" s="216"/>
      <c r="Y140" s="216"/>
      <c r="Z140" s="216"/>
      <c r="AA140" s="216"/>
      <c r="AB140" s="216"/>
      <c r="AC140" s="216"/>
      <c r="AD140" s="216"/>
      <c r="AE140" s="216"/>
      <c r="AF140" s="216"/>
      <c r="AG140" s="216"/>
      <c r="AH140" s="216"/>
      <c r="AI140" s="216"/>
      <c r="AJ140" s="216"/>
      <c r="AK140" s="216"/>
      <c r="AL140" s="216"/>
      <c r="AM140" s="216"/>
      <c r="AN140" s="216"/>
      <c r="AO140" s="216"/>
      <c r="AP140" s="216"/>
      <c r="AQ140" s="216"/>
      <c r="AR140" s="216"/>
      <c r="AS140" s="216"/>
      <c r="AT140" s="216"/>
      <c r="AU140" s="216"/>
      <c r="AV140" s="216"/>
      <c r="AW140" s="216"/>
      <c r="AX140" s="216"/>
      <c r="AY140" s="216"/>
      <c r="AZ140" s="216"/>
      <c r="BA140" s="216"/>
      <c r="BB140" s="216"/>
      <c r="BC140" s="216"/>
      <c r="BD140" s="216"/>
      <c r="BE140" s="216"/>
      <c r="BF140" s="216"/>
      <c r="BG140" s="216"/>
      <c r="BH140" s="216"/>
      <c r="BI140" s="216"/>
      <c r="BJ140" s="216"/>
      <c r="BK140" s="216"/>
      <c r="BL140" s="216"/>
      <c r="BM140" s="216"/>
      <c r="BN140" s="216"/>
      <c r="BO140" s="216"/>
      <c r="BP140" s="216"/>
      <c r="BQ140" s="216"/>
      <c r="BR140" s="216"/>
      <c r="BS140" s="216"/>
      <c r="BT140" s="216"/>
      <c r="BU140" s="216"/>
      <c r="BV140" s="216"/>
      <c r="BW140" s="216"/>
      <c r="BX140" s="216"/>
      <c r="BY140" s="216"/>
      <c r="BZ140" s="216"/>
      <c r="CA140" s="216"/>
      <c r="CB140" s="216"/>
      <c r="CC140" s="216"/>
      <c r="CD140" s="216"/>
      <c r="CE140" s="216"/>
      <c r="CF140" s="216"/>
      <c r="CG140" s="216"/>
      <c r="CH140" s="216"/>
      <c r="CI140" s="216"/>
      <c r="CJ140" s="216"/>
      <c r="CK140" s="216"/>
      <c r="CL140" s="216"/>
      <c r="CM140" s="216"/>
      <c r="CN140" s="216"/>
      <c r="CO140" s="216"/>
      <c r="CP140" s="216"/>
      <c r="CQ140" s="216"/>
    </row>
    <row r="141" spans="7:95" x14ac:dyDescent="0.25">
      <c r="G141" s="216"/>
      <c r="H141" s="216"/>
      <c r="I141" s="216"/>
      <c r="J141" s="216"/>
      <c r="K141" s="217"/>
      <c r="L141" s="216"/>
      <c r="M141" s="216"/>
      <c r="N141" s="216"/>
      <c r="O141" s="216"/>
      <c r="P141" s="216"/>
      <c r="Q141" s="216"/>
      <c r="R141" s="216"/>
      <c r="S141" s="216"/>
      <c r="T141" s="216"/>
      <c r="U141" s="216"/>
      <c r="V141" s="216"/>
      <c r="W141" s="216"/>
      <c r="X141" s="216"/>
      <c r="Y141" s="216"/>
      <c r="Z141" s="216"/>
      <c r="AA141" s="216"/>
      <c r="AB141" s="216"/>
      <c r="AC141" s="216"/>
      <c r="AD141" s="216"/>
      <c r="AE141" s="216"/>
      <c r="AF141" s="216"/>
      <c r="AG141" s="216"/>
      <c r="AH141" s="216"/>
      <c r="AI141" s="216"/>
      <c r="AJ141" s="216"/>
      <c r="AK141" s="216"/>
      <c r="AL141" s="216"/>
      <c r="AM141" s="216"/>
      <c r="AN141" s="216"/>
      <c r="AO141" s="216"/>
      <c r="AP141" s="216"/>
      <c r="AQ141" s="216"/>
      <c r="AR141" s="216"/>
      <c r="AS141" s="216"/>
      <c r="AT141" s="216"/>
      <c r="AU141" s="216"/>
      <c r="AV141" s="216"/>
      <c r="AW141" s="216"/>
      <c r="AX141" s="216"/>
      <c r="AY141" s="216"/>
      <c r="AZ141" s="216"/>
      <c r="BA141" s="216"/>
      <c r="BB141" s="216"/>
      <c r="BC141" s="216"/>
      <c r="BD141" s="216"/>
      <c r="BE141" s="216"/>
      <c r="BF141" s="216"/>
      <c r="BG141" s="216"/>
      <c r="BH141" s="216"/>
      <c r="BI141" s="216"/>
      <c r="BJ141" s="216"/>
      <c r="BK141" s="216"/>
      <c r="BL141" s="216"/>
      <c r="BM141" s="216"/>
      <c r="BN141" s="216"/>
      <c r="BO141" s="216"/>
      <c r="BP141" s="216"/>
      <c r="BQ141" s="216"/>
      <c r="BR141" s="216"/>
      <c r="BS141" s="216"/>
      <c r="BT141" s="216"/>
      <c r="BU141" s="216"/>
      <c r="BV141" s="216"/>
      <c r="BW141" s="216"/>
      <c r="BX141" s="216"/>
      <c r="BY141" s="216"/>
      <c r="BZ141" s="216"/>
      <c r="CA141" s="216"/>
      <c r="CB141" s="216"/>
      <c r="CC141" s="216"/>
      <c r="CD141" s="216"/>
      <c r="CE141" s="216"/>
      <c r="CF141" s="216"/>
      <c r="CG141" s="216"/>
      <c r="CH141" s="216"/>
      <c r="CI141" s="216"/>
      <c r="CJ141" s="216"/>
      <c r="CK141" s="216"/>
      <c r="CL141" s="216"/>
      <c r="CM141" s="216"/>
      <c r="CN141" s="216"/>
      <c r="CO141" s="216"/>
      <c r="CP141" s="216"/>
      <c r="CQ141" s="216"/>
    </row>
    <row r="142" spans="7:95" x14ac:dyDescent="0.25">
      <c r="G142" s="216"/>
      <c r="H142" s="216"/>
      <c r="I142" s="216"/>
      <c r="J142" s="216"/>
      <c r="K142" s="217"/>
      <c r="L142" s="216"/>
      <c r="M142" s="216"/>
      <c r="N142" s="216"/>
      <c r="O142" s="216"/>
      <c r="P142" s="216"/>
      <c r="Q142" s="216"/>
      <c r="R142" s="216"/>
      <c r="S142" s="216"/>
      <c r="T142" s="216"/>
      <c r="U142" s="216"/>
      <c r="V142" s="216"/>
      <c r="W142" s="216"/>
      <c r="X142" s="216"/>
      <c r="Y142" s="216"/>
      <c r="Z142" s="216"/>
      <c r="AA142" s="216"/>
      <c r="AB142" s="216"/>
      <c r="AC142" s="216"/>
      <c r="AD142" s="216"/>
      <c r="AE142" s="216"/>
      <c r="AF142" s="216"/>
      <c r="AG142" s="216"/>
      <c r="AH142" s="216"/>
      <c r="AI142" s="216"/>
      <c r="AJ142" s="216"/>
      <c r="AK142" s="216"/>
      <c r="AL142" s="216"/>
      <c r="AM142" s="216"/>
      <c r="AN142" s="216"/>
      <c r="AO142" s="216"/>
      <c r="AP142" s="216"/>
      <c r="AQ142" s="216"/>
      <c r="AR142" s="216"/>
      <c r="AS142" s="216"/>
      <c r="AT142" s="216"/>
      <c r="AU142" s="216"/>
      <c r="AV142" s="216"/>
      <c r="AW142" s="216"/>
      <c r="AX142" s="216"/>
      <c r="AY142" s="216"/>
      <c r="AZ142" s="216"/>
      <c r="BA142" s="216"/>
      <c r="BB142" s="216"/>
      <c r="BC142" s="216"/>
      <c r="BD142" s="216"/>
      <c r="BE142" s="216"/>
      <c r="BF142" s="216"/>
      <c r="BG142" s="216"/>
      <c r="BH142" s="216"/>
      <c r="BI142" s="216"/>
      <c r="BJ142" s="216"/>
      <c r="BK142" s="216"/>
      <c r="BL142" s="216"/>
      <c r="BM142" s="216"/>
      <c r="BN142" s="216"/>
      <c r="BO142" s="216"/>
      <c r="BP142" s="216"/>
      <c r="BQ142" s="216"/>
      <c r="BR142" s="216"/>
      <c r="BS142" s="216"/>
      <c r="BT142" s="216"/>
      <c r="BU142" s="216"/>
      <c r="BV142" s="216"/>
      <c r="BW142" s="216"/>
      <c r="BX142" s="216"/>
      <c r="BY142" s="216"/>
      <c r="BZ142" s="216"/>
      <c r="CA142" s="216"/>
      <c r="CB142" s="216"/>
      <c r="CC142" s="216"/>
      <c r="CD142" s="216"/>
      <c r="CE142" s="216"/>
      <c r="CF142" s="216"/>
      <c r="CG142" s="216"/>
      <c r="CH142" s="216"/>
      <c r="CI142" s="216"/>
      <c r="CJ142" s="216"/>
      <c r="CK142" s="216"/>
      <c r="CL142" s="216"/>
      <c r="CM142" s="216"/>
      <c r="CN142" s="216"/>
      <c r="CO142" s="216"/>
      <c r="CP142" s="216"/>
      <c r="CQ142" s="216"/>
    </row>
    <row r="143" spans="7:95" x14ac:dyDescent="0.25">
      <c r="G143" s="216"/>
      <c r="H143" s="216"/>
      <c r="I143" s="216"/>
      <c r="J143" s="216"/>
      <c r="K143" s="217"/>
      <c r="L143" s="216"/>
      <c r="M143" s="216"/>
      <c r="N143" s="216"/>
      <c r="O143" s="216"/>
      <c r="P143" s="216"/>
      <c r="Q143" s="216"/>
      <c r="R143" s="216"/>
      <c r="S143" s="216"/>
      <c r="T143" s="216"/>
      <c r="U143" s="216"/>
      <c r="V143" s="216"/>
      <c r="W143" s="216"/>
      <c r="X143" s="216"/>
      <c r="Y143" s="216"/>
      <c r="Z143" s="216"/>
      <c r="AA143" s="216"/>
      <c r="AB143" s="216"/>
      <c r="AC143" s="216"/>
      <c r="AD143" s="216"/>
      <c r="AE143" s="216"/>
      <c r="AF143" s="216"/>
      <c r="AG143" s="216"/>
      <c r="AH143" s="216"/>
      <c r="AI143" s="216"/>
      <c r="AJ143" s="216"/>
      <c r="AK143" s="216"/>
      <c r="AL143" s="216"/>
      <c r="AM143" s="216"/>
      <c r="AN143" s="216"/>
      <c r="AO143" s="216"/>
      <c r="AP143" s="216"/>
      <c r="AQ143" s="216"/>
      <c r="AR143" s="216"/>
      <c r="AS143" s="216"/>
      <c r="AT143" s="216"/>
      <c r="AU143" s="216"/>
      <c r="AV143" s="216"/>
      <c r="AW143" s="216"/>
      <c r="AX143" s="216"/>
      <c r="AY143" s="216"/>
      <c r="AZ143" s="216"/>
      <c r="BA143" s="216"/>
      <c r="BB143" s="216"/>
      <c r="BC143" s="216"/>
      <c r="BD143" s="216"/>
      <c r="BE143" s="216"/>
      <c r="BF143" s="216"/>
      <c r="BG143" s="216"/>
      <c r="BH143" s="216"/>
      <c r="BI143" s="216"/>
      <c r="BJ143" s="216"/>
      <c r="BK143" s="216"/>
      <c r="BL143" s="216"/>
      <c r="BM143" s="216"/>
      <c r="BN143" s="216"/>
      <c r="BO143" s="216"/>
      <c r="BP143" s="216"/>
      <c r="BQ143" s="216"/>
      <c r="BR143" s="216"/>
      <c r="BS143" s="216"/>
      <c r="BT143" s="216"/>
      <c r="BU143" s="216"/>
      <c r="BV143" s="216"/>
      <c r="BW143" s="216"/>
      <c r="BX143" s="216"/>
      <c r="BY143" s="216"/>
      <c r="BZ143" s="216"/>
      <c r="CA143" s="216"/>
      <c r="CB143" s="216"/>
      <c r="CC143" s="216"/>
      <c r="CD143" s="216"/>
      <c r="CE143" s="216"/>
      <c r="CF143" s="216"/>
      <c r="CG143" s="216"/>
      <c r="CH143" s="216"/>
      <c r="CI143" s="216"/>
      <c r="CJ143" s="216"/>
      <c r="CK143" s="216"/>
      <c r="CL143" s="216"/>
      <c r="CM143" s="216"/>
      <c r="CN143" s="216"/>
      <c r="CO143" s="216"/>
      <c r="CP143" s="216"/>
      <c r="CQ143" s="216"/>
    </row>
    <row r="144" spans="7:95" x14ac:dyDescent="0.25">
      <c r="G144" s="216"/>
      <c r="H144" s="216"/>
      <c r="I144" s="216"/>
      <c r="J144" s="216"/>
      <c r="K144" s="217"/>
      <c r="L144" s="216"/>
      <c r="M144" s="216"/>
      <c r="N144" s="216"/>
      <c r="O144" s="216"/>
      <c r="P144" s="216"/>
      <c r="Q144" s="216"/>
      <c r="R144" s="216"/>
      <c r="S144" s="216"/>
      <c r="T144" s="216"/>
      <c r="U144" s="216"/>
      <c r="V144" s="216"/>
      <c r="W144" s="216"/>
      <c r="X144" s="216"/>
      <c r="Y144" s="216"/>
      <c r="Z144" s="216"/>
      <c r="AA144" s="216"/>
      <c r="AB144" s="216"/>
      <c r="AC144" s="216"/>
      <c r="AD144" s="216"/>
      <c r="AE144" s="216"/>
      <c r="AF144" s="216"/>
      <c r="AG144" s="216"/>
      <c r="AH144" s="216"/>
      <c r="AI144" s="216"/>
      <c r="AJ144" s="216"/>
      <c r="AK144" s="216"/>
      <c r="AL144" s="216"/>
      <c r="AM144" s="216"/>
      <c r="AN144" s="216"/>
      <c r="AO144" s="216"/>
      <c r="AP144" s="216"/>
      <c r="AQ144" s="216"/>
      <c r="AR144" s="216"/>
      <c r="AS144" s="216"/>
      <c r="AT144" s="216"/>
      <c r="AU144" s="216"/>
      <c r="AV144" s="216"/>
      <c r="AW144" s="216"/>
      <c r="AX144" s="216"/>
      <c r="AY144" s="216"/>
      <c r="AZ144" s="216"/>
      <c r="BA144" s="216"/>
      <c r="BB144" s="216"/>
      <c r="BC144" s="216"/>
      <c r="BD144" s="216"/>
      <c r="BE144" s="216"/>
      <c r="BF144" s="216"/>
      <c r="BG144" s="216"/>
      <c r="BH144" s="216"/>
      <c r="BI144" s="216"/>
      <c r="BJ144" s="216"/>
      <c r="BK144" s="216"/>
      <c r="BL144" s="216"/>
      <c r="BM144" s="216"/>
      <c r="BN144" s="216"/>
      <c r="BO144" s="216"/>
      <c r="BP144" s="216"/>
      <c r="BQ144" s="216"/>
      <c r="BR144" s="216"/>
      <c r="BS144" s="216"/>
      <c r="BT144" s="216"/>
      <c r="BU144" s="216"/>
      <c r="BV144" s="216"/>
      <c r="BW144" s="216"/>
      <c r="BX144" s="216"/>
      <c r="BY144" s="216"/>
      <c r="BZ144" s="216"/>
      <c r="CA144" s="216"/>
      <c r="CB144" s="216"/>
      <c r="CC144" s="216"/>
      <c r="CD144" s="216"/>
      <c r="CE144" s="216"/>
      <c r="CF144" s="216"/>
      <c r="CG144" s="216"/>
      <c r="CH144" s="216"/>
      <c r="CI144" s="216"/>
      <c r="CJ144" s="216"/>
      <c r="CK144" s="216"/>
      <c r="CL144" s="216"/>
      <c r="CM144" s="216"/>
      <c r="CN144" s="216"/>
      <c r="CO144" s="216"/>
      <c r="CP144" s="216"/>
      <c r="CQ144" s="216"/>
    </row>
    <row r="145" spans="7:95" x14ac:dyDescent="0.25">
      <c r="G145" s="216"/>
      <c r="H145" s="216"/>
      <c r="I145" s="216"/>
      <c r="J145" s="216"/>
      <c r="K145" s="217"/>
      <c r="L145" s="216"/>
      <c r="M145" s="216"/>
      <c r="N145" s="216"/>
      <c r="O145" s="216"/>
      <c r="P145" s="216"/>
      <c r="Q145" s="216"/>
      <c r="R145" s="216"/>
      <c r="S145" s="216"/>
      <c r="T145" s="216"/>
      <c r="U145" s="216"/>
      <c r="V145" s="216"/>
      <c r="W145" s="216"/>
      <c r="X145" s="216"/>
      <c r="Y145" s="216"/>
      <c r="Z145" s="216"/>
      <c r="AA145" s="216"/>
      <c r="AB145" s="216"/>
      <c r="AC145" s="216"/>
      <c r="AD145" s="216"/>
      <c r="AE145" s="216"/>
      <c r="AF145" s="216"/>
      <c r="AG145" s="216"/>
      <c r="AH145" s="216"/>
      <c r="AI145" s="216"/>
      <c r="AJ145" s="216"/>
      <c r="AK145" s="216"/>
      <c r="AL145" s="216"/>
      <c r="AM145" s="216"/>
      <c r="AN145" s="216"/>
      <c r="AO145" s="216"/>
      <c r="AP145" s="216"/>
      <c r="AQ145" s="216"/>
      <c r="AR145" s="216"/>
      <c r="AS145" s="216"/>
      <c r="AT145" s="216"/>
      <c r="AU145" s="216"/>
      <c r="AV145" s="216"/>
      <c r="AW145" s="216"/>
      <c r="AX145" s="216"/>
      <c r="AY145" s="216"/>
      <c r="AZ145" s="216"/>
      <c r="BA145" s="216"/>
      <c r="BB145" s="216"/>
      <c r="BC145" s="216"/>
      <c r="BD145" s="216"/>
      <c r="BE145" s="216"/>
      <c r="BF145" s="216"/>
      <c r="BG145" s="216"/>
      <c r="BH145" s="216"/>
      <c r="BI145" s="216"/>
      <c r="BJ145" s="216"/>
      <c r="BK145" s="216"/>
      <c r="BL145" s="216"/>
      <c r="BM145" s="216"/>
      <c r="BN145" s="216"/>
      <c r="BO145" s="216"/>
      <c r="BP145" s="216"/>
      <c r="BQ145" s="216"/>
      <c r="BR145" s="216"/>
      <c r="BS145" s="216"/>
      <c r="BT145" s="216"/>
      <c r="BU145" s="216"/>
      <c r="BV145" s="216"/>
      <c r="BW145" s="216"/>
      <c r="BX145" s="216"/>
      <c r="BY145" s="216"/>
      <c r="BZ145" s="216"/>
      <c r="CA145" s="216"/>
      <c r="CB145" s="216"/>
      <c r="CC145" s="216"/>
      <c r="CD145" s="216"/>
      <c r="CE145" s="216"/>
      <c r="CF145" s="216"/>
      <c r="CG145" s="216"/>
      <c r="CH145" s="216"/>
      <c r="CI145" s="216"/>
      <c r="CJ145" s="216"/>
      <c r="CK145" s="216"/>
      <c r="CL145" s="216"/>
      <c r="CM145" s="216"/>
      <c r="CN145" s="216"/>
      <c r="CO145" s="216"/>
      <c r="CP145" s="216"/>
      <c r="CQ145" s="216"/>
    </row>
    <row r="146" spans="7:95" x14ac:dyDescent="0.25">
      <c r="G146" s="216"/>
      <c r="H146" s="216"/>
      <c r="I146" s="216"/>
      <c r="J146" s="216"/>
      <c r="K146" s="217"/>
      <c r="L146" s="216"/>
      <c r="M146" s="216"/>
      <c r="N146" s="216"/>
      <c r="O146" s="216"/>
      <c r="P146" s="216"/>
      <c r="Q146" s="216"/>
      <c r="R146" s="216"/>
      <c r="S146" s="216"/>
      <c r="T146" s="216"/>
      <c r="U146" s="216"/>
      <c r="V146" s="216"/>
      <c r="W146" s="216"/>
      <c r="X146" s="216"/>
      <c r="Y146" s="216"/>
      <c r="Z146" s="216"/>
      <c r="AA146" s="216"/>
      <c r="AB146" s="216"/>
      <c r="AC146" s="216"/>
      <c r="AD146" s="216"/>
      <c r="AE146" s="216"/>
      <c r="AF146" s="216"/>
      <c r="AG146" s="216"/>
      <c r="AH146" s="216"/>
      <c r="AI146" s="216"/>
      <c r="AJ146" s="216"/>
      <c r="AK146" s="216"/>
      <c r="AL146" s="216"/>
      <c r="AM146" s="216"/>
      <c r="AN146" s="216"/>
      <c r="AO146" s="216"/>
      <c r="AP146" s="216"/>
      <c r="AQ146" s="216"/>
      <c r="AR146" s="216"/>
      <c r="AS146" s="216"/>
      <c r="AT146" s="216"/>
      <c r="AU146" s="216"/>
      <c r="AV146" s="216"/>
      <c r="AW146" s="216"/>
      <c r="AX146" s="216"/>
      <c r="AY146" s="216"/>
      <c r="AZ146" s="216"/>
      <c r="BA146" s="216"/>
      <c r="BB146" s="216"/>
      <c r="BC146" s="216"/>
      <c r="BD146" s="216"/>
      <c r="BE146" s="216"/>
      <c r="BF146" s="216"/>
      <c r="BG146" s="216"/>
      <c r="BH146" s="216"/>
      <c r="BI146" s="216"/>
      <c r="BJ146" s="216"/>
      <c r="BK146" s="216"/>
      <c r="BL146" s="216"/>
      <c r="BM146" s="216"/>
      <c r="BN146" s="216"/>
      <c r="BO146" s="216"/>
      <c r="BP146" s="216"/>
      <c r="BQ146" s="216"/>
      <c r="BR146" s="216"/>
      <c r="BS146" s="216"/>
      <c r="BT146" s="216"/>
      <c r="BU146" s="216"/>
      <c r="BV146" s="216"/>
      <c r="BW146" s="216"/>
      <c r="BX146" s="216"/>
      <c r="BY146" s="216"/>
      <c r="BZ146" s="216"/>
      <c r="CA146" s="216"/>
      <c r="CB146" s="216"/>
      <c r="CC146" s="216"/>
      <c r="CD146" s="216"/>
      <c r="CE146" s="216"/>
      <c r="CF146" s="216"/>
      <c r="CG146" s="216"/>
      <c r="CH146" s="216"/>
      <c r="CI146" s="216"/>
      <c r="CJ146" s="216"/>
      <c r="CK146" s="216"/>
      <c r="CL146" s="216"/>
      <c r="CM146" s="216"/>
      <c r="CN146" s="216"/>
      <c r="CO146" s="216"/>
      <c r="CP146" s="216"/>
      <c r="CQ146" s="216"/>
    </row>
    <row r="147" spans="7:95" x14ac:dyDescent="0.25">
      <c r="G147" s="216"/>
      <c r="H147" s="216"/>
      <c r="I147" s="216"/>
      <c r="J147" s="216"/>
      <c r="K147" s="217"/>
      <c r="L147" s="216"/>
      <c r="M147" s="216"/>
      <c r="N147" s="216"/>
      <c r="O147" s="216"/>
      <c r="P147" s="216"/>
      <c r="Q147" s="216"/>
      <c r="R147" s="216"/>
      <c r="S147" s="216"/>
      <c r="T147" s="216"/>
      <c r="U147" s="216"/>
      <c r="V147" s="216"/>
      <c r="W147" s="216"/>
      <c r="X147" s="216"/>
      <c r="Y147" s="216"/>
      <c r="Z147" s="216"/>
      <c r="AA147" s="216"/>
      <c r="AB147" s="216"/>
      <c r="AC147" s="216"/>
      <c r="AD147" s="216"/>
      <c r="AE147" s="216"/>
      <c r="AF147" s="216"/>
      <c r="AG147" s="216"/>
      <c r="AH147" s="216"/>
      <c r="AI147" s="216"/>
      <c r="AJ147" s="216"/>
      <c r="AK147" s="216"/>
      <c r="AL147" s="216"/>
      <c r="AM147" s="216"/>
      <c r="AN147" s="216"/>
      <c r="AO147" s="216"/>
      <c r="AP147" s="216"/>
      <c r="AQ147" s="216"/>
      <c r="AR147" s="216"/>
      <c r="AS147" s="216"/>
      <c r="AT147" s="216"/>
      <c r="AU147" s="216"/>
      <c r="AV147" s="216"/>
      <c r="AW147" s="216"/>
      <c r="AX147" s="216"/>
      <c r="AY147" s="216"/>
      <c r="AZ147" s="216"/>
      <c r="BA147" s="216"/>
      <c r="BB147" s="216"/>
      <c r="BC147" s="216"/>
      <c r="BD147" s="216"/>
      <c r="BE147" s="216"/>
      <c r="BF147" s="216"/>
      <c r="BG147" s="216"/>
      <c r="BH147" s="216"/>
      <c r="BI147" s="216"/>
      <c r="BJ147" s="216"/>
      <c r="BK147" s="216"/>
      <c r="BL147" s="216"/>
      <c r="BM147" s="216"/>
      <c r="BN147" s="216"/>
      <c r="BO147" s="216"/>
      <c r="BP147" s="216"/>
      <c r="BQ147" s="216"/>
      <c r="BR147" s="216"/>
      <c r="BS147" s="216"/>
      <c r="BT147" s="216"/>
      <c r="BU147" s="216"/>
      <c r="BV147" s="216"/>
      <c r="BW147" s="216"/>
      <c r="BX147" s="216"/>
      <c r="BY147" s="216"/>
      <c r="BZ147" s="216"/>
      <c r="CA147" s="216"/>
      <c r="CB147" s="216"/>
      <c r="CC147" s="216"/>
      <c r="CD147" s="216"/>
      <c r="CE147" s="216"/>
      <c r="CF147" s="216"/>
      <c r="CG147" s="216"/>
      <c r="CH147" s="216"/>
      <c r="CI147" s="216"/>
      <c r="CJ147" s="216"/>
      <c r="CK147" s="216"/>
      <c r="CL147" s="216"/>
      <c r="CM147" s="216"/>
      <c r="CN147" s="216"/>
      <c r="CO147" s="216"/>
      <c r="CP147" s="216"/>
      <c r="CQ147" s="216"/>
    </row>
    <row r="148" spans="7:95" x14ac:dyDescent="0.25">
      <c r="G148" s="216"/>
      <c r="H148" s="216"/>
      <c r="I148" s="216"/>
      <c r="J148" s="216"/>
      <c r="K148" s="217"/>
      <c r="L148" s="216"/>
      <c r="M148" s="216"/>
      <c r="N148" s="216"/>
      <c r="O148" s="216"/>
      <c r="P148" s="216"/>
      <c r="Q148" s="216"/>
      <c r="R148" s="216"/>
      <c r="S148" s="216"/>
      <c r="T148" s="216"/>
      <c r="U148" s="216"/>
      <c r="V148" s="216"/>
      <c r="W148" s="216"/>
      <c r="X148" s="216"/>
      <c r="Y148" s="216"/>
      <c r="Z148" s="216"/>
      <c r="AA148" s="216"/>
      <c r="AB148" s="216"/>
      <c r="AC148" s="216"/>
      <c r="AD148" s="216"/>
      <c r="AE148" s="216"/>
      <c r="AF148" s="216"/>
      <c r="AG148" s="216"/>
      <c r="AH148" s="216"/>
      <c r="AI148" s="216"/>
      <c r="AJ148" s="216"/>
      <c r="AK148" s="216"/>
      <c r="AL148" s="216"/>
      <c r="AM148" s="216"/>
      <c r="AN148" s="216"/>
      <c r="AO148" s="216"/>
      <c r="AP148" s="216"/>
      <c r="AQ148" s="216"/>
      <c r="AR148" s="216"/>
      <c r="AS148" s="216"/>
      <c r="AT148" s="216"/>
      <c r="AU148" s="216"/>
      <c r="AV148" s="216"/>
      <c r="AW148" s="216"/>
      <c r="AX148" s="216"/>
      <c r="AY148" s="216"/>
      <c r="AZ148" s="216"/>
      <c r="BA148" s="216"/>
      <c r="BB148" s="216"/>
      <c r="BC148" s="216"/>
      <c r="BD148" s="216"/>
      <c r="BE148" s="216"/>
      <c r="BF148" s="216"/>
      <c r="BG148" s="216"/>
      <c r="BH148" s="216"/>
      <c r="BI148" s="216"/>
      <c r="BJ148" s="216"/>
      <c r="BK148" s="216"/>
      <c r="BL148" s="216"/>
      <c r="BM148" s="216"/>
      <c r="BN148" s="216"/>
      <c r="BO148" s="216"/>
      <c r="BP148" s="216"/>
      <c r="BQ148" s="216"/>
      <c r="BR148" s="216"/>
      <c r="BS148" s="216"/>
      <c r="BT148" s="216"/>
      <c r="BU148" s="216"/>
      <c r="BV148" s="216"/>
      <c r="BW148" s="216"/>
      <c r="BX148" s="216"/>
      <c r="BY148" s="216"/>
      <c r="BZ148" s="216"/>
      <c r="CA148" s="216"/>
      <c r="CB148" s="216"/>
      <c r="CC148" s="216"/>
      <c r="CD148" s="216"/>
      <c r="CE148" s="216"/>
      <c r="CF148" s="216"/>
      <c r="CG148" s="216"/>
      <c r="CH148" s="216"/>
      <c r="CI148" s="216"/>
      <c r="CJ148" s="216"/>
      <c r="CK148" s="216"/>
      <c r="CL148" s="216"/>
      <c r="CM148" s="216"/>
      <c r="CN148" s="216"/>
      <c r="CO148" s="216"/>
      <c r="CP148" s="216"/>
      <c r="CQ148" s="216"/>
    </row>
    <row r="149" spans="7:95" x14ac:dyDescent="0.25">
      <c r="G149" s="216"/>
      <c r="H149" s="216"/>
      <c r="I149" s="216"/>
      <c r="J149" s="216"/>
      <c r="K149" s="217"/>
      <c r="L149" s="216"/>
      <c r="M149" s="216"/>
      <c r="N149" s="216"/>
      <c r="O149" s="216"/>
      <c r="P149" s="216"/>
      <c r="Q149" s="216"/>
      <c r="R149" s="216"/>
      <c r="S149" s="216"/>
      <c r="T149" s="216"/>
      <c r="U149" s="216"/>
      <c r="V149" s="216"/>
      <c r="W149" s="216"/>
      <c r="X149" s="216"/>
      <c r="Y149" s="216"/>
      <c r="Z149" s="216"/>
      <c r="AA149" s="216"/>
      <c r="AB149" s="216"/>
      <c r="AC149" s="216"/>
      <c r="AD149" s="216"/>
      <c r="AE149" s="216"/>
      <c r="AF149" s="216"/>
      <c r="AG149" s="216"/>
      <c r="AH149" s="216"/>
      <c r="AI149" s="216"/>
      <c r="AJ149" s="216"/>
      <c r="AK149" s="216"/>
      <c r="AL149" s="216"/>
      <c r="AM149" s="216"/>
      <c r="AN149" s="216"/>
      <c r="AO149" s="216"/>
      <c r="AP149" s="216"/>
      <c r="AQ149" s="216"/>
      <c r="AR149" s="216"/>
      <c r="AS149" s="216"/>
      <c r="AT149" s="216"/>
      <c r="AU149" s="216"/>
      <c r="AV149" s="216"/>
      <c r="AW149" s="216"/>
      <c r="AX149" s="216"/>
      <c r="AY149" s="216"/>
      <c r="AZ149" s="216"/>
      <c r="BA149" s="216"/>
      <c r="BB149" s="216"/>
      <c r="BC149" s="216"/>
      <c r="BD149" s="216"/>
      <c r="BE149" s="216"/>
      <c r="BF149" s="216"/>
      <c r="BG149" s="216"/>
      <c r="BH149" s="216"/>
      <c r="BI149" s="216"/>
      <c r="BJ149" s="216"/>
      <c r="BK149" s="216"/>
      <c r="BL149" s="216"/>
      <c r="BM149" s="216"/>
      <c r="BN149" s="216"/>
      <c r="BO149" s="216"/>
      <c r="BP149" s="216"/>
      <c r="BQ149" s="216"/>
      <c r="BR149" s="216"/>
      <c r="BS149" s="216"/>
      <c r="BT149" s="216"/>
      <c r="BU149" s="216"/>
      <c r="BV149" s="216"/>
      <c r="BW149" s="216"/>
      <c r="BX149" s="216"/>
      <c r="BY149" s="216"/>
      <c r="BZ149" s="216"/>
      <c r="CA149" s="216"/>
      <c r="CB149" s="216"/>
      <c r="CC149" s="216"/>
      <c r="CD149" s="216"/>
      <c r="CE149" s="216"/>
      <c r="CF149" s="216"/>
      <c r="CG149" s="216"/>
      <c r="CH149" s="216"/>
      <c r="CI149" s="216"/>
      <c r="CJ149" s="216"/>
      <c r="CK149" s="216"/>
      <c r="CL149" s="216"/>
      <c r="CM149" s="216"/>
      <c r="CN149" s="216"/>
      <c r="CO149" s="216"/>
      <c r="CP149" s="216"/>
      <c r="CQ149" s="216"/>
    </row>
    <row r="150" spans="7:95" x14ac:dyDescent="0.25">
      <c r="G150" s="216"/>
      <c r="H150" s="216"/>
      <c r="I150" s="216"/>
      <c r="J150" s="216"/>
      <c r="K150" s="217"/>
      <c r="L150" s="216"/>
      <c r="M150" s="216"/>
      <c r="N150" s="216"/>
      <c r="O150" s="216"/>
      <c r="P150" s="216"/>
      <c r="Q150" s="216"/>
      <c r="R150" s="216"/>
      <c r="S150" s="216"/>
      <c r="T150" s="216"/>
      <c r="U150" s="216"/>
      <c r="V150" s="216"/>
      <c r="W150" s="216"/>
      <c r="X150" s="216"/>
      <c r="Y150" s="216"/>
      <c r="Z150" s="216"/>
      <c r="AA150" s="216"/>
      <c r="AB150" s="216"/>
      <c r="AC150" s="216"/>
      <c r="AD150" s="216"/>
      <c r="AE150" s="216"/>
      <c r="AF150" s="216"/>
      <c r="AG150" s="216"/>
      <c r="AH150" s="216"/>
      <c r="AI150" s="216"/>
      <c r="AJ150" s="216"/>
      <c r="AK150" s="216"/>
      <c r="AL150" s="216"/>
      <c r="AM150" s="216"/>
      <c r="AN150" s="216"/>
      <c r="AO150" s="216"/>
      <c r="AP150" s="216"/>
      <c r="AQ150" s="216"/>
      <c r="AR150" s="216"/>
      <c r="AS150" s="216"/>
      <c r="AT150" s="216"/>
      <c r="AU150" s="216"/>
      <c r="AV150" s="216"/>
      <c r="AW150" s="216"/>
      <c r="AX150" s="216"/>
      <c r="AY150" s="216"/>
      <c r="AZ150" s="216"/>
      <c r="BA150" s="216"/>
      <c r="BB150" s="216"/>
      <c r="BC150" s="216"/>
      <c r="BD150" s="216"/>
      <c r="BE150" s="216"/>
      <c r="BF150" s="216"/>
      <c r="BG150" s="216"/>
      <c r="BH150" s="216"/>
      <c r="BI150" s="216"/>
      <c r="BJ150" s="216"/>
      <c r="BK150" s="216"/>
      <c r="BL150" s="216"/>
      <c r="BM150" s="216"/>
      <c r="BN150" s="216"/>
      <c r="BO150" s="216"/>
      <c r="BP150" s="216"/>
      <c r="BQ150" s="216"/>
      <c r="BR150" s="216"/>
      <c r="BS150" s="216"/>
      <c r="BT150" s="216"/>
      <c r="BU150" s="216"/>
      <c r="BV150" s="216"/>
      <c r="BW150" s="216"/>
      <c r="BX150" s="216"/>
      <c r="BY150" s="216"/>
      <c r="BZ150" s="216"/>
      <c r="CA150" s="216"/>
      <c r="CB150" s="216"/>
      <c r="CC150" s="216"/>
      <c r="CD150" s="216"/>
      <c r="CE150" s="216"/>
      <c r="CF150" s="216"/>
      <c r="CG150" s="216"/>
      <c r="CH150" s="216"/>
      <c r="CI150" s="216"/>
      <c r="CJ150" s="216"/>
      <c r="CK150" s="216"/>
      <c r="CL150" s="216"/>
      <c r="CM150" s="216"/>
      <c r="CN150" s="216"/>
      <c r="CO150" s="216"/>
      <c r="CP150" s="216"/>
      <c r="CQ150" s="216"/>
    </row>
    <row r="151" spans="7:95" x14ac:dyDescent="0.25">
      <c r="G151" s="216"/>
      <c r="H151" s="216"/>
      <c r="I151" s="216"/>
      <c r="J151" s="216"/>
      <c r="K151" s="217"/>
      <c r="L151" s="216"/>
      <c r="M151" s="216"/>
      <c r="N151" s="216"/>
      <c r="O151" s="216"/>
      <c r="P151" s="216"/>
      <c r="Q151" s="216"/>
      <c r="R151" s="216"/>
      <c r="S151" s="216"/>
      <c r="T151" s="216"/>
      <c r="U151" s="216"/>
      <c r="V151" s="216"/>
      <c r="W151" s="216"/>
      <c r="X151" s="216"/>
      <c r="Y151" s="216"/>
      <c r="Z151" s="216"/>
      <c r="AA151" s="216"/>
      <c r="AB151" s="216"/>
      <c r="AC151" s="216"/>
      <c r="AD151" s="216"/>
      <c r="AE151" s="216"/>
      <c r="AF151" s="216"/>
      <c r="AG151" s="216"/>
      <c r="AH151" s="216"/>
      <c r="AI151" s="216"/>
      <c r="AJ151" s="216"/>
      <c r="AK151" s="216"/>
      <c r="AL151" s="216"/>
      <c r="AM151" s="216"/>
      <c r="AN151" s="216"/>
      <c r="AO151" s="216"/>
      <c r="AP151" s="216"/>
      <c r="AQ151" s="216"/>
      <c r="AR151" s="216"/>
      <c r="AS151" s="216"/>
      <c r="AT151" s="216"/>
      <c r="AU151" s="216"/>
      <c r="AV151" s="216"/>
      <c r="AW151" s="216"/>
      <c r="AX151" s="216"/>
      <c r="AY151" s="216"/>
      <c r="AZ151" s="216"/>
      <c r="BA151" s="216"/>
      <c r="BB151" s="216"/>
      <c r="BC151" s="216"/>
      <c r="BD151" s="216"/>
      <c r="BE151" s="216"/>
      <c r="BF151" s="216"/>
      <c r="BG151" s="216"/>
      <c r="BH151" s="216"/>
      <c r="BI151" s="216"/>
      <c r="BJ151" s="216"/>
      <c r="BK151" s="216"/>
      <c r="BL151" s="216"/>
      <c r="BM151" s="216"/>
      <c r="BN151" s="216"/>
      <c r="BO151" s="216"/>
      <c r="BP151" s="216"/>
      <c r="BQ151" s="216"/>
      <c r="BR151" s="216"/>
      <c r="BS151" s="216"/>
      <c r="BT151" s="216"/>
      <c r="BU151" s="216"/>
      <c r="BV151" s="216"/>
      <c r="BW151" s="216"/>
      <c r="BX151" s="216"/>
      <c r="BY151" s="216"/>
      <c r="BZ151" s="216"/>
      <c r="CA151" s="216"/>
      <c r="CB151" s="216"/>
      <c r="CC151" s="216"/>
      <c r="CD151" s="216"/>
      <c r="CE151" s="216"/>
      <c r="CF151" s="216"/>
      <c r="CG151" s="216"/>
      <c r="CH151" s="216"/>
      <c r="CI151" s="216"/>
      <c r="CJ151" s="216"/>
      <c r="CK151" s="216"/>
      <c r="CL151" s="216"/>
      <c r="CM151" s="216"/>
      <c r="CN151" s="216"/>
      <c r="CO151" s="216"/>
      <c r="CP151" s="216"/>
      <c r="CQ151" s="216"/>
    </row>
    <row r="152" spans="7:95" x14ac:dyDescent="0.25">
      <c r="G152" s="216"/>
      <c r="H152" s="216"/>
      <c r="I152" s="216"/>
      <c r="J152" s="216"/>
      <c r="K152" s="217"/>
      <c r="L152" s="216"/>
      <c r="M152" s="216"/>
      <c r="N152" s="216"/>
      <c r="O152" s="216"/>
      <c r="P152" s="216"/>
      <c r="Q152" s="216"/>
      <c r="R152" s="216"/>
      <c r="S152" s="216"/>
      <c r="T152" s="216"/>
      <c r="U152" s="216"/>
      <c r="V152" s="216"/>
      <c r="W152" s="216"/>
      <c r="X152" s="216"/>
      <c r="Y152" s="216"/>
      <c r="Z152" s="216"/>
      <c r="AA152" s="216"/>
      <c r="AB152" s="216"/>
      <c r="AC152" s="216"/>
      <c r="AD152" s="216"/>
      <c r="AE152" s="216"/>
      <c r="AF152" s="216"/>
      <c r="AG152" s="216"/>
      <c r="AH152" s="216"/>
      <c r="AI152" s="216"/>
      <c r="AJ152" s="216"/>
      <c r="AK152" s="216"/>
      <c r="AL152" s="216"/>
      <c r="AM152" s="216"/>
      <c r="AN152" s="216"/>
      <c r="AO152" s="216"/>
      <c r="AP152" s="216"/>
      <c r="AQ152" s="216"/>
      <c r="AR152" s="216"/>
      <c r="AS152" s="216"/>
      <c r="AT152" s="216"/>
      <c r="AU152" s="216"/>
      <c r="AV152" s="216"/>
      <c r="AW152" s="216"/>
      <c r="AX152" s="216"/>
      <c r="AY152" s="216"/>
      <c r="AZ152" s="216"/>
      <c r="BA152" s="216"/>
      <c r="BB152" s="216"/>
      <c r="BC152" s="216"/>
      <c r="BD152" s="216"/>
      <c r="BE152" s="216"/>
      <c r="BF152" s="216"/>
      <c r="BG152" s="216"/>
      <c r="BH152" s="216"/>
      <c r="BI152" s="216"/>
      <c r="BJ152" s="216"/>
      <c r="BK152" s="216"/>
      <c r="BL152" s="216"/>
      <c r="BM152" s="216"/>
      <c r="BN152" s="216"/>
      <c r="BO152" s="216"/>
      <c r="BP152" s="216"/>
      <c r="BQ152" s="216"/>
      <c r="BR152" s="216"/>
      <c r="BS152" s="216"/>
      <c r="BT152" s="216"/>
      <c r="BU152" s="216"/>
      <c r="BV152" s="216"/>
      <c r="BW152" s="216"/>
      <c r="BX152" s="216"/>
      <c r="BY152" s="216"/>
      <c r="BZ152" s="216"/>
      <c r="CA152" s="216"/>
      <c r="CB152" s="216"/>
      <c r="CC152" s="216"/>
      <c r="CD152" s="216"/>
      <c r="CE152" s="216"/>
      <c r="CF152" s="216"/>
      <c r="CG152" s="216"/>
      <c r="CH152" s="216"/>
      <c r="CI152" s="216"/>
      <c r="CJ152" s="216"/>
      <c r="CK152" s="216"/>
      <c r="CL152" s="216"/>
      <c r="CM152" s="216"/>
      <c r="CN152" s="216"/>
      <c r="CO152" s="216"/>
      <c r="CP152" s="216"/>
      <c r="CQ152" s="216"/>
    </row>
    <row r="153" spans="7:95" x14ac:dyDescent="0.25">
      <c r="G153" s="216"/>
      <c r="H153" s="216"/>
      <c r="I153" s="216"/>
      <c r="J153" s="216"/>
      <c r="K153" s="217"/>
      <c r="L153" s="216"/>
      <c r="M153" s="216"/>
      <c r="N153" s="216"/>
      <c r="O153" s="216"/>
      <c r="P153" s="216"/>
      <c r="Q153" s="216"/>
      <c r="R153" s="216"/>
      <c r="S153" s="216"/>
      <c r="T153" s="216"/>
      <c r="U153" s="216"/>
      <c r="V153" s="216"/>
      <c r="W153" s="216"/>
      <c r="X153" s="216"/>
      <c r="Y153" s="216"/>
      <c r="Z153" s="216"/>
      <c r="AA153" s="216"/>
      <c r="AB153" s="216"/>
      <c r="AC153" s="216"/>
      <c r="AD153" s="216"/>
      <c r="AE153" s="216"/>
      <c r="AF153" s="216"/>
      <c r="AG153" s="216"/>
      <c r="AH153" s="216"/>
      <c r="AI153" s="216"/>
      <c r="AJ153" s="216"/>
      <c r="AK153" s="216"/>
      <c r="AL153" s="216"/>
      <c r="AM153" s="216"/>
      <c r="AN153" s="216"/>
      <c r="AO153" s="216"/>
      <c r="AP153" s="216"/>
      <c r="AQ153" s="216"/>
      <c r="AR153" s="216"/>
      <c r="AS153" s="216"/>
      <c r="AT153" s="216"/>
      <c r="AU153" s="216"/>
      <c r="AV153" s="216"/>
      <c r="AW153" s="216"/>
      <c r="AX153" s="216"/>
      <c r="AY153" s="216"/>
      <c r="AZ153" s="216"/>
      <c r="BA153" s="216"/>
      <c r="BB153" s="216"/>
      <c r="BC153" s="216"/>
      <c r="BD153" s="216"/>
      <c r="BE153" s="216"/>
      <c r="BF153" s="216"/>
      <c r="BG153" s="216"/>
      <c r="BH153" s="216"/>
      <c r="BI153" s="216"/>
      <c r="BJ153" s="216"/>
      <c r="BK153" s="216"/>
      <c r="BL153" s="216"/>
      <c r="BM153" s="216"/>
      <c r="BN153" s="216"/>
      <c r="BO153" s="216"/>
      <c r="BP153" s="216"/>
      <c r="BQ153" s="216"/>
      <c r="BR153" s="216"/>
      <c r="BS153" s="216"/>
      <c r="BT153" s="216"/>
      <c r="BU153" s="216"/>
      <c r="BV153" s="216"/>
      <c r="BW153" s="216"/>
      <c r="BX153" s="216"/>
      <c r="BY153" s="216"/>
      <c r="BZ153" s="216"/>
      <c r="CA153" s="216"/>
      <c r="CB153" s="216"/>
      <c r="CC153" s="216"/>
      <c r="CD153" s="216"/>
      <c r="CE153" s="216"/>
      <c r="CF153" s="216"/>
      <c r="CG153" s="216"/>
      <c r="CH153" s="216"/>
      <c r="CI153" s="216"/>
      <c r="CJ153" s="216"/>
      <c r="CK153" s="216"/>
      <c r="CL153" s="216"/>
      <c r="CM153" s="216"/>
      <c r="CN153" s="216"/>
      <c r="CO153" s="216"/>
      <c r="CP153" s="216"/>
      <c r="CQ153" s="216"/>
    </row>
    <row r="154" spans="7:95" x14ac:dyDescent="0.25">
      <c r="G154" s="216"/>
      <c r="H154" s="216"/>
      <c r="I154" s="216"/>
      <c r="J154" s="216"/>
      <c r="K154" s="217"/>
      <c r="L154" s="216"/>
      <c r="M154" s="216"/>
      <c r="N154" s="216"/>
      <c r="O154" s="216"/>
      <c r="P154" s="216"/>
      <c r="Q154" s="216"/>
      <c r="R154" s="216"/>
      <c r="S154" s="216"/>
      <c r="T154" s="216"/>
      <c r="U154" s="216"/>
      <c r="V154" s="216"/>
      <c r="W154" s="216"/>
      <c r="X154" s="216"/>
      <c r="Y154" s="216"/>
      <c r="Z154" s="216"/>
      <c r="AA154" s="216"/>
      <c r="AB154" s="216"/>
      <c r="AC154" s="216"/>
      <c r="AD154" s="216"/>
      <c r="AE154" s="216"/>
      <c r="AF154" s="216"/>
      <c r="AG154" s="216"/>
      <c r="AH154" s="216"/>
      <c r="AI154" s="216"/>
      <c r="AJ154" s="216"/>
      <c r="AK154" s="216"/>
      <c r="AL154" s="216"/>
      <c r="AM154" s="216"/>
      <c r="AN154" s="216"/>
      <c r="AO154" s="216"/>
      <c r="AP154" s="216"/>
      <c r="AQ154" s="216"/>
      <c r="AR154" s="216"/>
      <c r="AS154" s="216"/>
      <c r="AT154" s="216"/>
      <c r="AU154" s="216"/>
      <c r="AV154" s="216"/>
      <c r="AW154" s="216"/>
      <c r="AX154" s="216"/>
      <c r="AY154" s="216"/>
      <c r="AZ154" s="216"/>
      <c r="BA154" s="216"/>
      <c r="BB154" s="216"/>
      <c r="BC154" s="216"/>
      <c r="BD154" s="216"/>
      <c r="BE154" s="216"/>
      <c r="BF154" s="216"/>
      <c r="BG154" s="216"/>
      <c r="BH154" s="216"/>
      <c r="BI154" s="216"/>
      <c r="BJ154" s="216"/>
      <c r="BK154" s="216"/>
      <c r="BL154" s="216"/>
      <c r="BM154" s="216"/>
      <c r="BN154" s="216"/>
      <c r="BO154" s="216"/>
      <c r="BP154" s="216"/>
      <c r="BQ154" s="216"/>
      <c r="BR154" s="216"/>
      <c r="BS154" s="216"/>
      <c r="BT154" s="216"/>
      <c r="BU154" s="216"/>
      <c r="BV154" s="216"/>
      <c r="BW154" s="216"/>
      <c r="BX154" s="216"/>
      <c r="BY154" s="216"/>
      <c r="BZ154" s="216"/>
      <c r="CA154" s="216"/>
      <c r="CB154" s="216"/>
      <c r="CC154" s="216"/>
      <c r="CD154" s="216"/>
      <c r="CE154" s="216"/>
      <c r="CF154" s="216"/>
      <c r="CG154" s="216"/>
      <c r="CH154" s="216"/>
      <c r="CI154" s="216"/>
      <c r="CJ154" s="216"/>
      <c r="CK154" s="216"/>
      <c r="CL154" s="216"/>
      <c r="CM154" s="216"/>
      <c r="CN154" s="216"/>
      <c r="CO154" s="216"/>
      <c r="CP154" s="216"/>
      <c r="CQ154" s="216"/>
    </row>
    <row r="155" spans="7:95" x14ac:dyDescent="0.25">
      <c r="G155" s="216"/>
      <c r="H155" s="216"/>
      <c r="I155" s="216"/>
      <c r="J155" s="216"/>
      <c r="K155" s="217"/>
      <c r="L155" s="216"/>
      <c r="M155" s="216"/>
      <c r="N155" s="216"/>
      <c r="O155" s="216"/>
      <c r="P155" s="216"/>
      <c r="Q155" s="216"/>
      <c r="R155" s="216"/>
      <c r="S155" s="216"/>
      <c r="T155" s="216"/>
      <c r="U155" s="216"/>
      <c r="V155" s="216"/>
      <c r="W155" s="216"/>
      <c r="X155" s="216"/>
      <c r="Y155" s="216"/>
      <c r="Z155" s="216"/>
      <c r="AA155" s="216"/>
      <c r="AB155" s="216"/>
      <c r="AC155" s="216"/>
      <c r="AD155" s="216"/>
      <c r="AE155" s="216"/>
      <c r="AF155" s="216"/>
      <c r="AG155" s="216"/>
      <c r="AH155" s="216"/>
      <c r="AI155" s="216"/>
      <c r="AJ155" s="216"/>
      <c r="AK155" s="216"/>
      <c r="AL155" s="216"/>
      <c r="AM155" s="216"/>
      <c r="AN155" s="216"/>
      <c r="AO155" s="216"/>
      <c r="AP155" s="216"/>
      <c r="AQ155" s="216"/>
      <c r="AR155" s="216"/>
      <c r="AS155" s="216"/>
      <c r="AT155" s="216"/>
      <c r="AU155" s="216"/>
      <c r="AV155" s="216"/>
      <c r="AW155" s="216"/>
      <c r="AX155" s="216"/>
      <c r="AY155" s="216"/>
      <c r="AZ155" s="216"/>
      <c r="BA155" s="216"/>
      <c r="BB155" s="216"/>
      <c r="BC155" s="216"/>
      <c r="BD155" s="216"/>
      <c r="BE155" s="216"/>
      <c r="BF155" s="216"/>
      <c r="BG155" s="216"/>
      <c r="BH155" s="216"/>
      <c r="BI155" s="216"/>
      <c r="BJ155" s="216"/>
      <c r="BK155" s="216"/>
      <c r="BL155" s="216"/>
      <c r="BM155" s="216"/>
      <c r="BN155" s="216"/>
      <c r="BO155" s="216"/>
      <c r="BP155" s="216"/>
      <c r="BQ155" s="216"/>
      <c r="BR155" s="216"/>
      <c r="BS155" s="216"/>
      <c r="BT155" s="216"/>
      <c r="BU155" s="216"/>
      <c r="BV155" s="216"/>
      <c r="BW155" s="216"/>
      <c r="BX155" s="216"/>
      <c r="BY155" s="216"/>
      <c r="BZ155" s="216"/>
      <c r="CA155" s="216"/>
      <c r="CB155" s="216"/>
      <c r="CC155" s="216"/>
      <c r="CD155" s="216"/>
      <c r="CE155" s="216"/>
      <c r="CF155" s="216"/>
      <c r="CG155" s="216"/>
      <c r="CH155" s="216"/>
      <c r="CI155" s="216"/>
      <c r="CJ155" s="216"/>
      <c r="CK155" s="216"/>
      <c r="CL155" s="216"/>
      <c r="CM155" s="216"/>
      <c r="CN155" s="216"/>
      <c r="CO155" s="216"/>
      <c r="CP155" s="216"/>
      <c r="CQ155" s="216"/>
    </row>
    <row r="156" spans="7:95" x14ac:dyDescent="0.25">
      <c r="G156" s="216"/>
      <c r="H156" s="216"/>
      <c r="I156" s="216"/>
      <c r="J156" s="216"/>
      <c r="K156" s="217"/>
      <c r="L156" s="216"/>
      <c r="M156" s="216"/>
      <c r="N156" s="216"/>
      <c r="O156" s="216"/>
      <c r="P156" s="216"/>
      <c r="Q156" s="216"/>
      <c r="R156" s="216"/>
      <c r="S156" s="216"/>
      <c r="T156" s="216"/>
      <c r="U156" s="216"/>
      <c r="V156" s="216"/>
      <c r="W156" s="216"/>
      <c r="X156" s="216"/>
      <c r="Y156" s="216"/>
      <c r="Z156" s="216"/>
      <c r="AA156" s="216"/>
      <c r="AB156" s="216"/>
      <c r="AC156" s="216"/>
      <c r="AD156" s="216"/>
      <c r="AE156" s="216"/>
      <c r="AF156" s="216"/>
      <c r="AG156" s="216"/>
      <c r="AH156" s="216"/>
      <c r="AI156" s="216"/>
      <c r="AJ156" s="216"/>
      <c r="AK156" s="216"/>
      <c r="AL156" s="216"/>
      <c r="AM156" s="216"/>
      <c r="AN156" s="216"/>
      <c r="AO156" s="216"/>
      <c r="AP156" s="216"/>
      <c r="AQ156" s="216"/>
      <c r="AR156" s="216"/>
      <c r="AS156" s="216"/>
      <c r="AT156" s="216"/>
      <c r="AU156" s="216"/>
      <c r="AV156" s="216"/>
      <c r="AW156" s="216"/>
      <c r="AX156" s="216"/>
      <c r="AY156" s="216"/>
      <c r="AZ156" s="216"/>
      <c r="BA156" s="216"/>
      <c r="BB156" s="216"/>
      <c r="BC156" s="216"/>
      <c r="BD156" s="216"/>
      <c r="BE156" s="216"/>
      <c r="BF156" s="216"/>
      <c r="BG156" s="216"/>
      <c r="BH156" s="216"/>
      <c r="BI156" s="216"/>
      <c r="BJ156" s="216"/>
      <c r="BK156" s="216"/>
      <c r="BL156" s="216"/>
      <c r="BM156" s="216"/>
      <c r="BN156" s="216"/>
      <c r="BO156" s="216"/>
      <c r="BP156" s="216"/>
      <c r="BQ156" s="216"/>
      <c r="BR156" s="216"/>
      <c r="BS156" s="216"/>
      <c r="BT156" s="216"/>
      <c r="BU156" s="216"/>
      <c r="BV156" s="216"/>
      <c r="BW156" s="216"/>
      <c r="BX156" s="216"/>
      <c r="BY156" s="216"/>
      <c r="BZ156" s="216"/>
      <c r="CA156" s="216"/>
      <c r="CB156" s="216"/>
      <c r="CC156" s="216"/>
      <c r="CD156" s="216"/>
      <c r="CE156" s="216"/>
      <c r="CF156" s="216"/>
      <c r="CG156" s="216"/>
      <c r="CH156" s="216"/>
      <c r="CI156" s="216"/>
      <c r="CJ156" s="216"/>
      <c r="CK156" s="216"/>
      <c r="CL156" s="216"/>
      <c r="CM156" s="216"/>
      <c r="CN156" s="216"/>
      <c r="CO156" s="216"/>
      <c r="CP156" s="216"/>
      <c r="CQ156" s="216"/>
    </row>
    <row r="157" spans="7:95" x14ac:dyDescent="0.25">
      <c r="G157" s="216"/>
      <c r="H157" s="216"/>
      <c r="I157" s="216"/>
      <c r="J157" s="216"/>
      <c r="K157" s="217"/>
      <c r="L157" s="216"/>
      <c r="M157" s="216"/>
      <c r="N157" s="216"/>
      <c r="O157" s="216"/>
      <c r="P157" s="216"/>
      <c r="Q157" s="216"/>
      <c r="R157" s="216"/>
      <c r="S157" s="216"/>
      <c r="T157" s="216"/>
      <c r="U157" s="216"/>
      <c r="V157" s="216"/>
      <c r="W157" s="216"/>
      <c r="X157" s="216"/>
      <c r="Y157" s="216"/>
      <c r="Z157" s="216"/>
      <c r="AA157" s="216"/>
      <c r="AB157" s="216"/>
      <c r="AC157" s="216"/>
      <c r="AD157" s="216"/>
      <c r="AE157" s="216"/>
      <c r="AF157" s="216"/>
      <c r="AG157" s="216"/>
      <c r="AH157" s="216"/>
      <c r="AI157" s="216"/>
      <c r="AJ157" s="216"/>
      <c r="AK157" s="216"/>
      <c r="AL157" s="216"/>
      <c r="AM157" s="216"/>
      <c r="AN157" s="216"/>
      <c r="AO157" s="216"/>
      <c r="AP157" s="216"/>
      <c r="AQ157" s="216"/>
      <c r="AR157" s="216"/>
      <c r="AS157" s="216"/>
      <c r="AT157" s="216"/>
      <c r="AU157" s="216"/>
      <c r="AV157" s="216"/>
      <c r="AW157" s="216"/>
      <c r="AX157" s="216"/>
      <c r="AY157" s="216"/>
      <c r="AZ157" s="216"/>
      <c r="BA157" s="216"/>
      <c r="BB157" s="216"/>
      <c r="BC157" s="216"/>
      <c r="BD157" s="216"/>
      <c r="BE157" s="216"/>
      <c r="BF157" s="216"/>
      <c r="BG157" s="216"/>
      <c r="BH157" s="216"/>
      <c r="BI157" s="216"/>
      <c r="BJ157" s="216"/>
      <c r="BK157" s="216"/>
      <c r="BL157" s="216"/>
      <c r="BM157" s="216"/>
      <c r="BN157" s="216"/>
      <c r="BO157" s="216"/>
      <c r="BP157" s="216"/>
      <c r="BQ157" s="216"/>
      <c r="BR157" s="216"/>
      <c r="BS157" s="216"/>
      <c r="BT157" s="216"/>
      <c r="BU157" s="216"/>
      <c r="BV157" s="216"/>
      <c r="BW157" s="216"/>
      <c r="BX157" s="216"/>
      <c r="BY157" s="216"/>
      <c r="BZ157" s="216"/>
      <c r="CA157" s="216"/>
      <c r="CB157" s="216"/>
      <c r="CC157" s="216"/>
      <c r="CD157" s="216"/>
      <c r="CE157" s="216"/>
      <c r="CF157" s="216"/>
      <c r="CG157" s="216"/>
      <c r="CH157" s="216"/>
      <c r="CI157" s="216"/>
      <c r="CJ157" s="216"/>
      <c r="CK157" s="216"/>
      <c r="CL157" s="216"/>
      <c r="CM157" s="216"/>
      <c r="CN157" s="216"/>
      <c r="CO157" s="216"/>
      <c r="CP157" s="216"/>
      <c r="CQ157" s="216"/>
    </row>
    <row r="158" spans="7:95" x14ac:dyDescent="0.25">
      <c r="G158" s="216"/>
      <c r="H158" s="216"/>
      <c r="I158" s="216"/>
      <c r="J158" s="216"/>
      <c r="K158" s="217"/>
      <c r="L158" s="216"/>
      <c r="M158" s="216"/>
      <c r="N158" s="216"/>
      <c r="O158" s="216"/>
      <c r="P158" s="216"/>
      <c r="Q158" s="216"/>
      <c r="R158" s="216"/>
      <c r="S158" s="216"/>
      <c r="T158" s="216"/>
      <c r="U158" s="216"/>
      <c r="V158" s="216"/>
      <c r="W158" s="216"/>
      <c r="X158" s="216"/>
      <c r="Y158" s="216"/>
      <c r="Z158" s="216"/>
      <c r="AA158" s="216"/>
      <c r="AB158" s="216"/>
      <c r="AC158" s="216"/>
      <c r="AD158" s="216"/>
      <c r="AE158" s="216"/>
      <c r="AF158" s="216"/>
      <c r="AG158" s="216"/>
      <c r="AH158" s="216"/>
      <c r="AI158" s="216"/>
      <c r="AJ158" s="216"/>
      <c r="AK158" s="216"/>
      <c r="AL158" s="216"/>
      <c r="AM158" s="216"/>
      <c r="AN158" s="216"/>
      <c r="AO158" s="216"/>
      <c r="AP158" s="216"/>
      <c r="AQ158" s="216"/>
      <c r="AR158" s="216"/>
      <c r="AS158" s="216"/>
      <c r="AT158" s="216"/>
      <c r="AU158" s="216"/>
      <c r="AV158" s="216"/>
      <c r="AW158" s="216"/>
      <c r="AX158" s="216"/>
      <c r="AY158" s="216"/>
      <c r="AZ158" s="216"/>
      <c r="BA158" s="216"/>
      <c r="BB158" s="216"/>
      <c r="BC158" s="216"/>
      <c r="BD158" s="216"/>
      <c r="BE158" s="216"/>
      <c r="BF158" s="216"/>
      <c r="BG158" s="216"/>
      <c r="BH158" s="216"/>
      <c r="BI158" s="216"/>
      <c r="BJ158" s="216"/>
      <c r="BK158" s="216"/>
      <c r="BL158" s="216"/>
      <c r="BM158" s="216"/>
      <c r="BN158" s="216"/>
      <c r="BO158" s="216"/>
      <c r="BP158" s="216"/>
      <c r="BQ158" s="216"/>
      <c r="BR158" s="216"/>
      <c r="BS158" s="216"/>
      <c r="BT158" s="216"/>
      <c r="BU158" s="216"/>
      <c r="BV158" s="216"/>
      <c r="BW158" s="216"/>
      <c r="BX158" s="216"/>
      <c r="BY158" s="216"/>
      <c r="BZ158" s="216"/>
      <c r="CA158" s="216"/>
      <c r="CB158" s="216"/>
      <c r="CC158" s="216"/>
      <c r="CD158" s="216"/>
      <c r="CE158" s="216"/>
      <c r="CF158" s="216"/>
      <c r="CG158" s="216"/>
      <c r="CH158" s="216"/>
      <c r="CI158" s="216"/>
      <c r="CJ158" s="216"/>
      <c r="CK158" s="216"/>
      <c r="CL158" s="216"/>
      <c r="CM158" s="216"/>
      <c r="CN158" s="216"/>
      <c r="CO158" s="216"/>
      <c r="CP158" s="216"/>
      <c r="CQ158" s="216"/>
    </row>
    <row r="159" spans="7:95" x14ac:dyDescent="0.25">
      <c r="G159" s="216"/>
      <c r="H159" s="216"/>
      <c r="I159" s="216"/>
      <c r="J159" s="216"/>
      <c r="K159" s="217"/>
      <c r="L159" s="216"/>
      <c r="M159" s="216"/>
      <c r="N159" s="216"/>
      <c r="O159" s="216"/>
      <c r="P159" s="216"/>
      <c r="Q159" s="216"/>
      <c r="R159" s="216"/>
      <c r="S159" s="216"/>
      <c r="T159" s="216"/>
      <c r="U159" s="216"/>
      <c r="V159" s="216"/>
      <c r="W159" s="216"/>
      <c r="X159" s="216"/>
      <c r="Y159" s="216"/>
      <c r="Z159" s="216"/>
      <c r="AA159" s="216"/>
      <c r="AB159" s="216"/>
      <c r="AC159" s="216"/>
      <c r="AD159" s="216"/>
      <c r="AE159" s="216"/>
      <c r="AF159" s="216"/>
      <c r="AG159" s="216"/>
      <c r="AH159" s="216"/>
      <c r="AI159" s="216"/>
      <c r="AJ159" s="216"/>
      <c r="AK159" s="216"/>
      <c r="AL159" s="216"/>
      <c r="AM159" s="216"/>
      <c r="AN159" s="216"/>
      <c r="AO159" s="216"/>
      <c r="AP159" s="216"/>
      <c r="AQ159" s="216"/>
      <c r="AR159" s="216"/>
      <c r="AS159" s="216"/>
      <c r="AT159" s="216"/>
      <c r="AU159" s="216"/>
      <c r="AV159" s="216"/>
      <c r="AW159" s="216"/>
      <c r="AX159" s="216"/>
      <c r="AY159" s="216"/>
      <c r="AZ159" s="216"/>
      <c r="BA159" s="216"/>
      <c r="BB159" s="216"/>
      <c r="BC159" s="216"/>
      <c r="BD159" s="216"/>
      <c r="BE159" s="216"/>
      <c r="BF159" s="216"/>
      <c r="BG159" s="216"/>
      <c r="BH159" s="216"/>
      <c r="BI159" s="216"/>
      <c r="BJ159" s="216"/>
      <c r="BK159" s="216"/>
      <c r="BL159" s="216"/>
      <c r="BM159" s="216"/>
      <c r="BN159" s="216"/>
      <c r="BO159" s="216"/>
      <c r="BP159" s="216"/>
      <c r="BQ159" s="216"/>
      <c r="BR159" s="216"/>
      <c r="BS159" s="216"/>
      <c r="BT159" s="216"/>
      <c r="BU159" s="216"/>
      <c r="BV159" s="216"/>
      <c r="BW159" s="216"/>
      <c r="BX159" s="216"/>
      <c r="BY159" s="216"/>
      <c r="BZ159" s="216"/>
      <c r="CA159" s="216"/>
      <c r="CB159" s="216"/>
      <c r="CC159" s="216"/>
      <c r="CD159" s="216"/>
      <c r="CE159" s="216"/>
      <c r="CF159" s="216"/>
      <c r="CG159" s="216"/>
      <c r="CH159" s="216"/>
      <c r="CI159" s="216"/>
      <c r="CJ159" s="216"/>
      <c r="CK159" s="216"/>
      <c r="CL159" s="216"/>
      <c r="CM159" s="216"/>
      <c r="CN159" s="216"/>
      <c r="CO159" s="216"/>
      <c r="CP159" s="216"/>
      <c r="CQ159" s="216"/>
    </row>
    <row r="160" spans="7:95" x14ac:dyDescent="0.25">
      <c r="G160" s="216"/>
      <c r="H160" s="216"/>
      <c r="I160" s="216"/>
      <c r="J160" s="216"/>
      <c r="K160" s="217"/>
      <c r="L160" s="216"/>
      <c r="M160" s="216"/>
      <c r="N160" s="216"/>
      <c r="O160" s="216"/>
      <c r="P160" s="216"/>
      <c r="Q160" s="216"/>
      <c r="R160" s="216"/>
      <c r="S160" s="216"/>
      <c r="T160" s="216"/>
      <c r="U160" s="216"/>
      <c r="V160" s="216"/>
      <c r="W160" s="216"/>
      <c r="X160" s="216"/>
      <c r="Y160" s="216"/>
      <c r="Z160" s="216"/>
      <c r="AA160" s="216"/>
      <c r="AB160" s="216"/>
      <c r="AC160" s="216"/>
      <c r="AD160" s="216"/>
      <c r="AE160" s="216"/>
      <c r="AF160" s="216"/>
      <c r="AG160" s="216"/>
      <c r="AH160" s="216"/>
      <c r="AI160" s="216"/>
      <c r="AJ160" s="216"/>
      <c r="AK160" s="216"/>
      <c r="AL160" s="216"/>
      <c r="AM160" s="216"/>
      <c r="AN160" s="216"/>
      <c r="AO160" s="216"/>
      <c r="AP160" s="216"/>
      <c r="AQ160" s="216"/>
      <c r="AR160" s="216"/>
      <c r="AS160" s="216"/>
      <c r="AT160" s="216"/>
      <c r="AU160" s="216"/>
      <c r="AV160" s="216"/>
      <c r="AW160" s="216"/>
      <c r="AX160" s="216"/>
      <c r="AY160" s="216"/>
      <c r="AZ160" s="216"/>
      <c r="BA160" s="216"/>
      <c r="BB160" s="216"/>
      <c r="BC160" s="216"/>
      <c r="BD160" s="216"/>
      <c r="BE160" s="216"/>
      <c r="BF160" s="216"/>
      <c r="BG160" s="216"/>
      <c r="BH160" s="216"/>
      <c r="BI160" s="216"/>
      <c r="BJ160" s="216"/>
      <c r="BK160" s="216"/>
      <c r="BL160" s="216"/>
      <c r="BM160" s="216"/>
      <c r="BN160" s="216"/>
      <c r="BO160" s="216"/>
      <c r="BP160" s="216"/>
      <c r="BQ160" s="216"/>
      <c r="BR160" s="216"/>
      <c r="BS160" s="216"/>
      <c r="BT160" s="216"/>
      <c r="BU160" s="216"/>
      <c r="BV160" s="216"/>
      <c r="BW160" s="216"/>
      <c r="BX160" s="216"/>
      <c r="BY160" s="216"/>
      <c r="BZ160" s="216"/>
      <c r="CA160" s="216"/>
      <c r="CB160" s="216"/>
      <c r="CC160" s="216"/>
      <c r="CD160" s="216"/>
      <c r="CE160" s="216"/>
      <c r="CF160" s="216"/>
      <c r="CG160" s="216"/>
      <c r="CH160" s="216"/>
      <c r="CI160" s="216"/>
      <c r="CJ160" s="216"/>
      <c r="CK160" s="216"/>
      <c r="CL160" s="216"/>
      <c r="CM160" s="216"/>
      <c r="CN160" s="216"/>
      <c r="CO160" s="216"/>
      <c r="CP160" s="216"/>
      <c r="CQ160" s="216"/>
    </row>
    <row r="161" spans="7:95" x14ac:dyDescent="0.25">
      <c r="G161" s="216"/>
      <c r="H161" s="216"/>
      <c r="I161" s="216"/>
      <c r="J161" s="216"/>
      <c r="K161" s="217"/>
      <c r="L161" s="216"/>
      <c r="M161" s="216"/>
      <c r="N161" s="216"/>
      <c r="O161" s="216"/>
      <c r="P161" s="216"/>
      <c r="Q161" s="216"/>
      <c r="R161" s="216"/>
      <c r="S161" s="216"/>
      <c r="T161" s="216"/>
      <c r="U161" s="216"/>
      <c r="V161" s="216"/>
      <c r="W161" s="216"/>
      <c r="X161" s="216"/>
      <c r="Y161" s="216"/>
      <c r="Z161" s="216"/>
      <c r="AA161" s="216"/>
      <c r="AB161" s="216"/>
      <c r="AC161" s="216"/>
      <c r="AD161" s="216"/>
      <c r="AE161" s="216"/>
      <c r="AF161" s="216"/>
      <c r="AG161" s="216"/>
      <c r="AH161" s="216"/>
      <c r="AI161" s="216"/>
      <c r="AJ161" s="216"/>
      <c r="AK161" s="216"/>
      <c r="AL161" s="216"/>
      <c r="AM161" s="216"/>
      <c r="AN161" s="216"/>
      <c r="AO161" s="216"/>
      <c r="AP161" s="216"/>
      <c r="AQ161" s="216"/>
      <c r="AR161" s="216"/>
      <c r="AS161" s="216"/>
      <c r="AT161" s="216"/>
      <c r="AU161" s="216"/>
      <c r="AV161" s="216"/>
      <c r="AW161" s="216"/>
      <c r="AX161" s="216"/>
      <c r="AY161" s="216"/>
      <c r="AZ161" s="216"/>
      <c r="BA161" s="216"/>
      <c r="BB161" s="216"/>
      <c r="BC161" s="216"/>
      <c r="BD161" s="216"/>
      <c r="BE161" s="216"/>
      <c r="BF161" s="216"/>
      <c r="BG161" s="216"/>
      <c r="BH161" s="216"/>
      <c r="BI161" s="216"/>
      <c r="BJ161" s="216"/>
      <c r="BK161" s="216"/>
      <c r="BL161" s="216"/>
      <c r="BM161" s="216"/>
      <c r="BN161" s="216"/>
      <c r="BO161" s="216"/>
      <c r="BP161" s="216"/>
      <c r="BQ161" s="216"/>
      <c r="BR161" s="216"/>
      <c r="BS161" s="216"/>
      <c r="BT161" s="216"/>
      <c r="BU161" s="216"/>
      <c r="BV161" s="216"/>
      <c r="BW161" s="216"/>
      <c r="BX161" s="216"/>
      <c r="BY161" s="216"/>
      <c r="BZ161" s="216"/>
      <c r="CA161" s="216"/>
      <c r="CB161" s="216"/>
      <c r="CC161" s="216"/>
      <c r="CD161" s="216"/>
      <c r="CE161" s="216"/>
      <c r="CF161" s="216"/>
      <c r="CG161" s="216"/>
      <c r="CH161" s="216"/>
      <c r="CI161" s="216"/>
      <c r="CJ161" s="216"/>
      <c r="CK161" s="216"/>
      <c r="CL161" s="216"/>
      <c r="CM161" s="216"/>
      <c r="CN161" s="216"/>
      <c r="CO161" s="216"/>
      <c r="CP161" s="216"/>
      <c r="CQ161" s="216"/>
    </row>
    <row r="162" spans="7:95" x14ac:dyDescent="0.25">
      <c r="G162" s="216"/>
      <c r="H162" s="216"/>
      <c r="I162" s="216"/>
      <c r="J162" s="216"/>
      <c r="K162" s="217"/>
      <c r="L162" s="216"/>
      <c r="M162" s="216"/>
      <c r="N162" s="216"/>
      <c r="O162" s="216"/>
      <c r="P162" s="216"/>
      <c r="Q162" s="216"/>
      <c r="R162" s="216"/>
      <c r="S162" s="216"/>
      <c r="T162" s="216"/>
      <c r="U162" s="216"/>
      <c r="V162" s="216"/>
      <c r="W162" s="216"/>
      <c r="X162" s="216"/>
      <c r="Y162" s="216"/>
      <c r="Z162" s="216"/>
      <c r="AA162" s="216"/>
      <c r="AB162" s="216"/>
      <c r="AC162" s="216"/>
      <c r="AD162" s="216"/>
      <c r="AE162" s="216"/>
      <c r="AF162" s="216"/>
      <c r="AG162" s="216"/>
      <c r="AH162" s="216"/>
      <c r="AI162" s="216"/>
      <c r="AJ162" s="216"/>
      <c r="AK162" s="216"/>
      <c r="AL162" s="216"/>
      <c r="AM162" s="216"/>
      <c r="AN162" s="216"/>
      <c r="AO162" s="216"/>
      <c r="AP162" s="216"/>
      <c r="AQ162" s="216"/>
      <c r="AR162" s="216"/>
      <c r="AS162" s="216"/>
      <c r="AT162" s="216"/>
      <c r="AU162" s="216"/>
      <c r="AV162" s="216"/>
      <c r="AW162" s="216"/>
      <c r="AX162" s="216"/>
      <c r="AY162" s="216"/>
      <c r="AZ162" s="216"/>
      <c r="BA162" s="216"/>
      <c r="BB162" s="216"/>
      <c r="BC162" s="216"/>
      <c r="BD162" s="216"/>
      <c r="BE162" s="216"/>
      <c r="BF162" s="216"/>
      <c r="BG162" s="216"/>
      <c r="BH162" s="216"/>
      <c r="BI162" s="216"/>
      <c r="BJ162" s="216"/>
      <c r="BK162" s="216"/>
      <c r="BL162" s="216"/>
      <c r="BM162" s="216"/>
      <c r="BN162" s="216"/>
      <c r="BO162" s="216"/>
      <c r="BP162" s="216"/>
      <c r="BQ162" s="216"/>
      <c r="BR162" s="216"/>
      <c r="BS162" s="216"/>
      <c r="BT162" s="216"/>
      <c r="BU162" s="216"/>
      <c r="BV162" s="216"/>
      <c r="BW162" s="216"/>
      <c r="BX162" s="216"/>
      <c r="BY162" s="216"/>
      <c r="BZ162" s="216"/>
      <c r="CA162" s="216"/>
      <c r="CB162" s="216"/>
      <c r="CC162" s="216"/>
      <c r="CD162" s="216"/>
      <c r="CE162" s="216"/>
      <c r="CF162" s="216"/>
      <c r="CG162" s="216"/>
      <c r="CH162" s="216"/>
      <c r="CI162" s="216"/>
      <c r="CJ162" s="216"/>
      <c r="CK162" s="216"/>
      <c r="CL162" s="216"/>
      <c r="CM162" s="216"/>
      <c r="CN162" s="216"/>
      <c r="CO162" s="216"/>
      <c r="CP162" s="216"/>
      <c r="CQ162" s="216"/>
    </row>
    <row r="163" spans="7:95" x14ac:dyDescent="0.25">
      <c r="G163" s="216"/>
      <c r="H163" s="216"/>
      <c r="I163" s="216"/>
      <c r="J163" s="216"/>
      <c r="K163" s="217"/>
      <c r="L163" s="216"/>
      <c r="M163" s="216"/>
      <c r="N163" s="216"/>
      <c r="O163" s="216"/>
      <c r="P163" s="216"/>
      <c r="Q163" s="216"/>
      <c r="R163" s="216"/>
      <c r="S163" s="216"/>
      <c r="T163" s="216"/>
      <c r="U163" s="216"/>
      <c r="V163" s="216"/>
      <c r="W163" s="216"/>
      <c r="X163" s="216"/>
      <c r="Y163" s="216"/>
      <c r="Z163" s="216"/>
      <c r="AA163" s="216"/>
      <c r="AB163" s="216"/>
      <c r="AC163" s="216"/>
      <c r="AD163" s="216"/>
      <c r="AE163" s="216"/>
      <c r="AF163" s="216"/>
      <c r="AG163" s="216"/>
      <c r="AH163" s="216"/>
      <c r="AI163" s="216"/>
      <c r="AJ163" s="216"/>
      <c r="AK163" s="216"/>
      <c r="AL163" s="216"/>
      <c r="AM163" s="216"/>
      <c r="AN163" s="216"/>
      <c r="AO163" s="216"/>
      <c r="AP163" s="216"/>
      <c r="AQ163" s="216"/>
      <c r="AR163" s="216"/>
      <c r="AS163" s="216"/>
      <c r="AT163" s="216"/>
      <c r="AU163" s="216"/>
      <c r="AV163" s="216"/>
      <c r="AW163" s="216"/>
      <c r="AX163" s="216"/>
      <c r="AY163" s="216"/>
      <c r="AZ163" s="216"/>
      <c r="BA163" s="216"/>
      <c r="BB163" s="216"/>
      <c r="BC163" s="216"/>
      <c r="BD163" s="216"/>
      <c r="BE163" s="216"/>
      <c r="BF163" s="216"/>
      <c r="BG163" s="216"/>
      <c r="BH163" s="216"/>
      <c r="BI163" s="216"/>
      <c r="BJ163" s="216"/>
      <c r="BK163" s="216"/>
      <c r="BL163" s="216"/>
      <c r="BM163" s="216"/>
      <c r="BN163" s="216"/>
      <c r="BO163" s="216"/>
      <c r="BP163" s="216"/>
      <c r="BQ163" s="216"/>
      <c r="BR163" s="216"/>
      <c r="BS163" s="216"/>
      <c r="BT163" s="216"/>
      <c r="BU163" s="216"/>
      <c r="BV163" s="216"/>
      <c r="BW163" s="216"/>
      <c r="BX163" s="216"/>
      <c r="BY163" s="216"/>
      <c r="BZ163" s="216"/>
      <c r="CA163" s="216"/>
      <c r="CB163" s="216"/>
      <c r="CC163" s="216"/>
      <c r="CD163" s="216"/>
      <c r="CE163" s="216"/>
      <c r="CF163" s="216"/>
      <c r="CG163" s="216"/>
      <c r="CH163" s="216"/>
      <c r="CI163" s="216"/>
      <c r="CJ163" s="216"/>
      <c r="CK163" s="216"/>
      <c r="CL163" s="216"/>
      <c r="CM163" s="216"/>
      <c r="CN163" s="216"/>
      <c r="CO163" s="216"/>
      <c r="CP163" s="216"/>
      <c r="CQ163" s="216"/>
    </row>
    <row r="164" spans="7:95" x14ac:dyDescent="0.25">
      <c r="G164" s="216"/>
      <c r="H164" s="216"/>
      <c r="I164" s="216"/>
      <c r="J164" s="216"/>
      <c r="K164" s="217"/>
      <c r="L164" s="216"/>
      <c r="M164" s="216"/>
      <c r="N164" s="216"/>
      <c r="O164" s="216"/>
      <c r="P164" s="216"/>
      <c r="Q164" s="216"/>
      <c r="R164" s="216"/>
      <c r="S164" s="216"/>
      <c r="T164" s="216"/>
      <c r="U164" s="216"/>
      <c r="V164" s="216"/>
      <c r="W164" s="216"/>
      <c r="X164" s="216"/>
      <c r="Y164" s="216"/>
      <c r="Z164" s="216"/>
      <c r="AA164" s="216"/>
      <c r="AB164" s="216"/>
      <c r="AC164" s="216"/>
      <c r="AD164" s="216"/>
      <c r="AE164" s="216"/>
      <c r="AF164" s="216"/>
      <c r="AG164" s="216"/>
      <c r="AH164" s="216"/>
      <c r="AI164" s="216"/>
      <c r="AJ164" s="216"/>
      <c r="AK164" s="216"/>
      <c r="AL164" s="216"/>
      <c r="AM164" s="216"/>
      <c r="AN164" s="216"/>
      <c r="AO164" s="216"/>
      <c r="AP164" s="216"/>
      <c r="AQ164" s="216"/>
      <c r="AR164" s="216"/>
      <c r="AS164" s="216"/>
      <c r="AT164" s="216"/>
      <c r="AU164" s="216"/>
      <c r="AV164" s="216"/>
      <c r="AW164" s="216"/>
      <c r="AX164" s="216"/>
      <c r="AY164" s="216"/>
      <c r="AZ164" s="216"/>
      <c r="BA164" s="216"/>
      <c r="BB164" s="216"/>
      <c r="BC164" s="216"/>
      <c r="BD164" s="216"/>
      <c r="BE164" s="216"/>
      <c r="BF164" s="216"/>
      <c r="BG164" s="216"/>
      <c r="BH164" s="216"/>
      <c r="BI164" s="216"/>
      <c r="BJ164" s="216"/>
      <c r="BK164" s="216"/>
      <c r="BL164" s="216"/>
      <c r="BM164" s="216"/>
      <c r="BN164" s="216"/>
      <c r="BO164" s="216"/>
      <c r="BP164" s="216"/>
      <c r="BQ164" s="216"/>
      <c r="BR164" s="216"/>
      <c r="BS164" s="216"/>
      <c r="BT164" s="216"/>
      <c r="BU164" s="216"/>
      <c r="BV164" s="216"/>
      <c r="BW164" s="216"/>
      <c r="BX164" s="216"/>
      <c r="BY164" s="216"/>
      <c r="BZ164" s="216"/>
      <c r="CA164" s="216"/>
      <c r="CB164" s="216"/>
      <c r="CC164" s="216"/>
      <c r="CD164" s="216"/>
      <c r="CE164" s="216"/>
      <c r="CF164" s="216"/>
      <c r="CG164" s="216"/>
      <c r="CH164" s="216"/>
      <c r="CI164" s="216"/>
      <c r="CJ164" s="216"/>
      <c r="CK164" s="216"/>
      <c r="CL164" s="216"/>
      <c r="CM164" s="216"/>
      <c r="CN164" s="216"/>
      <c r="CO164" s="216"/>
      <c r="CP164" s="216"/>
      <c r="CQ164" s="216"/>
    </row>
    <row r="165" spans="7:95" x14ac:dyDescent="0.25">
      <c r="G165" s="216"/>
      <c r="H165" s="216"/>
      <c r="I165" s="216"/>
      <c r="J165" s="216"/>
      <c r="K165" s="217"/>
      <c r="L165" s="216"/>
      <c r="M165" s="216"/>
      <c r="N165" s="216"/>
      <c r="O165" s="216"/>
      <c r="P165" s="216"/>
      <c r="Q165" s="216"/>
      <c r="R165" s="216"/>
      <c r="S165" s="216"/>
      <c r="T165" s="216"/>
      <c r="U165" s="216"/>
      <c r="V165" s="216"/>
      <c r="W165" s="216"/>
      <c r="X165" s="216"/>
      <c r="Y165" s="216"/>
      <c r="Z165" s="216"/>
      <c r="AA165" s="216"/>
      <c r="AB165" s="216"/>
      <c r="AC165" s="216"/>
      <c r="AD165" s="216"/>
      <c r="AE165" s="216"/>
      <c r="AF165" s="216"/>
      <c r="AG165" s="216"/>
      <c r="AH165" s="216"/>
      <c r="AI165" s="216"/>
      <c r="AJ165" s="216"/>
      <c r="AK165" s="216"/>
      <c r="AL165" s="216"/>
      <c r="AM165" s="216"/>
      <c r="AN165" s="216"/>
      <c r="AO165" s="216"/>
      <c r="AP165" s="216"/>
      <c r="AQ165" s="216"/>
      <c r="AR165" s="216"/>
      <c r="AS165" s="216"/>
      <c r="AT165" s="216"/>
      <c r="AU165" s="216"/>
      <c r="AV165" s="216"/>
      <c r="AW165" s="216"/>
      <c r="AX165" s="216"/>
      <c r="AY165" s="216"/>
      <c r="AZ165" s="216"/>
      <c r="BA165" s="216"/>
      <c r="BB165" s="216"/>
      <c r="BC165" s="216"/>
      <c r="BD165" s="216"/>
      <c r="BE165" s="216"/>
      <c r="BF165" s="216"/>
      <c r="BG165" s="216"/>
      <c r="BH165" s="216"/>
      <c r="BI165" s="216"/>
      <c r="BJ165" s="216"/>
      <c r="BK165" s="216"/>
      <c r="BL165" s="216"/>
      <c r="BM165" s="216"/>
      <c r="BN165" s="216"/>
      <c r="BO165" s="216"/>
      <c r="BP165" s="216"/>
      <c r="BQ165" s="216"/>
      <c r="BR165" s="216"/>
      <c r="BS165" s="216"/>
      <c r="BT165" s="216"/>
      <c r="BU165" s="216"/>
      <c r="BV165" s="216"/>
      <c r="BW165" s="216"/>
      <c r="BX165" s="216"/>
      <c r="BY165" s="216"/>
      <c r="BZ165" s="216"/>
      <c r="CA165" s="216"/>
      <c r="CB165" s="216"/>
      <c r="CC165" s="216"/>
      <c r="CD165" s="216"/>
      <c r="CE165" s="216"/>
      <c r="CF165" s="216"/>
      <c r="CG165" s="216"/>
      <c r="CH165" s="216"/>
      <c r="CI165" s="216"/>
      <c r="CJ165" s="216"/>
      <c r="CK165" s="216"/>
      <c r="CL165" s="216"/>
      <c r="CM165" s="216"/>
      <c r="CN165" s="216"/>
      <c r="CO165" s="216"/>
      <c r="CP165" s="216"/>
      <c r="CQ165" s="216"/>
    </row>
    <row r="166" spans="7:95" x14ac:dyDescent="0.25">
      <c r="G166" s="216"/>
      <c r="H166" s="216"/>
      <c r="I166" s="216"/>
      <c r="J166" s="216"/>
      <c r="K166" s="217"/>
      <c r="L166" s="216"/>
      <c r="M166" s="216"/>
      <c r="N166" s="216"/>
      <c r="O166" s="216"/>
      <c r="P166" s="216"/>
      <c r="Q166" s="216"/>
      <c r="R166" s="216"/>
      <c r="S166" s="216"/>
      <c r="T166" s="216"/>
      <c r="U166" s="216"/>
      <c r="V166" s="216"/>
      <c r="W166" s="216"/>
      <c r="X166" s="216"/>
      <c r="Y166" s="216"/>
      <c r="Z166" s="216"/>
      <c r="AA166" s="216"/>
      <c r="AB166" s="216"/>
      <c r="AC166" s="216"/>
      <c r="AD166" s="216"/>
      <c r="AE166" s="216"/>
      <c r="AF166" s="216"/>
      <c r="AG166" s="216"/>
      <c r="AH166" s="216"/>
      <c r="AI166" s="216"/>
      <c r="AJ166" s="216"/>
      <c r="AK166" s="216"/>
      <c r="AL166" s="216"/>
      <c r="AM166" s="216"/>
      <c r="AN166" s="216"/>
      <c r="AO166" s="216"/>
      <c r="AP166" s="216"/>
      <c r="AQ166" s="216"/>
      <c r="AR166" s="216"/>
      <c r="AS166" s="216"/>
      <c r="AT166" s="216"/>
      <c r="AU166" s="216"/>
      <c r="AV166" s="216"/>
      <c r="AW166" s="216"/>
      <c r="AX166" s="216"/>
      <c r="AY166" s="216"/>
      <c r="AZ166" s="216"/>
      <c r="BA166" s="216"/>
      <c r="BB166" s="216"/>
      <c r="BC166" s="216"/>
      <c r="BD166" s="216"/>
      <c r="BE166" s="216"/>
      <c r="BF166" s="216"/>
      <c r="BG166" s="216"/>
      <c r="BH166" s="216"/>
      <c r="BI166" s="216"/>
      <c r="BJ166" s="216"/>
      <c r="BK166" s="216"/>
      <c r="BL166" s="216"/>
      <c r="BM166" s="216"/>
      <c r="BN166" s="216"/>
      <c r="BO166" s="216"/>
      <c r="BP166" s="216"/>
      <c r="BQ166" s="216"/>
      <c r="BR166" s="216"/>
      <c r="BS166" s="216"/>
      <c r="BT166" s="216"/>
      <c r="BU166" s="216"/>
      <c r="BV166" s="216"/>
      <c r="BW166" s="216"/>
      <c r="BX166" s="216"/>
      <c r="BY166" s="216"/>
      <c r="BZ166" s="216"/>
      <c r="CA166" s="216"/>
      <c r="CB166" s="216"/>
      <c r="CC166" s="216"/>
      <c r="CD166" s="216"/>
      <c r="CE166" s="216"/>
      <c r="CF166" s="216"/>
      <c r="CG166" s="216"/>
      <c r="CH166" s="216"/>
      <c r="CI166" s="216"/>
      <c r="CJ166" s="216"/>
      <c r="CK166" s="216"/>
      <c r="CL166" s="216"/>
      <c r="CM166" s="216"/>
      <c r="CN166" s="216"/>
      <c r="CO166" s="216"/>
      <c r="CP166" s="216"/>
      <c r="CQ166" s="216"/>
    </row>
    <row r="167" spans="7:95" x14ac:dyDescent="0.25">
      <c r="G167" s="216"/>
      <c r="H167" s="216"/>
      <c r="I167" s="216"/>
      <c r="J167" s="216"/>
      <c r="K167" s="217"/>
      <c r="L167" s="216"/>
      <c r="M167" s="216"/>
      <c r="N167" s="216"/>
      <c r="O167" s="216"/>
      <c r="P167" s="216"/>
      <c r="Q167" s="216"/>
      <c r="R167" s="216"/>
      <c r="S167" s="216"/>
      <c r="T167" s="216"/>
      <c r="U167" s="216"/>
      <c r="V167" s="216"/>
      <c r="W167" s="216"/>
      <c r="X167" s="216"/>
      <c r="Y167" s="216"/>
      <c r="Z167" s="216"/>
      <c r="AA167" s="216"/>
      <c r="AB167" s="216"/>
      <c r="AC167" s="216"/>
      <c r="AD167" s="216"/>
      <c r="AE167" s="216"/>
      <c r="AF167" s="216"/>
      <c r="AG167" s="216"/>
      <c r="AH167" s="216"/>
      <c r="AI167" s="216"/>
      <c r="AJ167" s="216"/>
      <c r="AK167" s="216"/>
      <c r="AL167" s="216"/>
      <c r="AM167" s="216"/>
      <c r="AN167" s="216"/>
      <c r="AO167" s="216"/>
      <c r="AP167" s="216"/>
      <c r="AQ167" s="216"/>
      <c r="AR167" s="216"/>
      <c r="AS167" s="216"/>
      <c r="AT167" s="216"/>
      <c r="AU167" s="216"/>
      <c r="AV167" s="216"/>
      <c r="AW167" s="216"/>
      <c r="AX167" s="216"/>
      <c r="AY167" s="216"/>
      <c r="AZ167" s="216"/>
      <c r="BA167" s="216"/>
      <c r="BB167" s="216"/>
      <c r="BC167" s="216"/>
      <c r="BD167" s="216"/>
      <c r="BE167" s="216"/>
      <c r="BF167" s="216"/>
      <c r="BG167" s="216"/>
      <c r="BH167" s="216"/>
      <c r="BI167" s="216"/>
      <c r="BJ167" s="216"/>
      <c r="BK167" s="216"/>
      <c r="BL167" s="216"/>
      <c r="BM167" s="216"/>
      <c r="BN167" s="216"/>
      <c r="BO167" s="216"/>
      <c r="BP167" s="216"/>
      <c r="BQ167" s="216"/>
      <c r="BR167" s="216"/>
      <c r="BS167" s="216"/>
      <c r="BT167" s="216"/>
      <c r="BU167" s="216"/>
      <c r="BV167" s="216"/>
      <c r="BW167" s="216"/>
      <c r="BX167" s="216"/>
      <c r="BY167" s="216"/>
      <c r="BZ167" s="216"/>
      <c r="CA167" s="216"/>
      <c r="CB167" s="216"/>
      <c r="CC167" s="216"/>
      <c r="CD167" s="216"/>
      <c r="CE167" s="216"/>
      <c r="CF167" s="216"/>
      <c r="CG167" s="216"/>
      <c r="CH167" s="216"/>
      <c r="CI167" s="216"/>
      <c r="CJ167" s="216"/>
      <c r="CK167" s="216"/>
      <c r="CL167" s="216"/>
      <c r="CM167" s="216"/>
      <c r="CN167" s="216"/>
      <c r="CO167" s="216"/>
      <c r="CP167" s="216"/>
      <c r="CQ167" s="216"/>
    </row>
    <row r="168" spans="7:95" x14ac:dyDescent="0.25">
      <c r="G168" s="216"/>
      <c r="H168" s="216"/>
      <c r="I168" s="216"/>
      <c r="J168" s="216"/>
      <c r="K168" s="217"/>
      <c r="L168" s="216"/>
      <c r="M168" s="216"/>
      <c r="N168" s="216"/>
      <c r="O168" s="216"/>
      <c r="P168" s="216"/>
      <c r="Q168" s="216"/>
      <c r="R168" s="216"/>
      <c r="S168" s="216"/>
      <c r="T168" s="216"/>
      <c r="U168" s="216"/>
      <c r="V168" s="216"/>
      <c r="W168" s="216"/>
      <c r="X168" s="216"/>
      <c r="Y168" s="216"/>
      <c r="Z168" s="216"/>
      <c r="AA168" s="216"/>
      <c r="AB168" s="216"/>
      <c r="AC168" s="216"/>
      <c r="AD168" s="216"/>
      <c r="AE168" s="216"/>
      <c r="AF168" s="216"/>
      <c r="AG168" s="216"/>
      <c r="AH168" s="216"/>
      <c r="AI168" s="216"/>
      <c r="AJ168" s="216"/>
      <c r="AK168" s="216"/>
      <c r="AL168" s="216"/>
      <c r="AM168" s="216"/>
      <c r="AN168" s="216"/>
      <c r="AO168" s="216"/>
      <c r="AP168" s="216"/>
      <c r="AQ168" s="216"/>
      <c r="AR168" s="216"/>
      <c r="AS168" s="216"/>
      <c r="AT168" s="216"/>
      <c r="AU168" s="216"/>
      <c r="AV168" s="216"/>
      <c r="AW168" s="216"/>
      <c r="AX168" s="216"/>
      <c r="AY168" s="216"/>
      <c r="AZ168" s="216"/>
      <c r="BA168" s="216"/>
      <c r="BB168" s="216"/>
      <c r="BC168" s="216"/>
      <c r="BD168" s="216"/>
      <c r="BE168" s="216"/>
      <c r="BF168" s="216"/>
      <c r="BG168" s="216"/>
      <c r="BH168" s="216"/>
      <c r="BI168" s="216"/>
      <c r="BJ168" s="216"/>
      <c r="BK168" s="216"/>
      <c r="BL168" s="216"/>
      <c r="BM168" s="216"/>
      <c r="BN168" s="216"/>
      <c r="BO168" s="216"/>
      <c r="BP168" s="216"/>
      <c r="BQ168" s="216"/>
      <c r="BR168" s="216"/>
      <c r="BS168" s="216"/>
      <c r="BT168" s="216"/>
      <c r="BU168" s="216"/>
      <c r="BV168" s="216"/>
      <c r="BW168" s="216"/>
      <c r="BX168" s="216"/>
      <c r="BY168" s="216"/>
      <c r="BZ168" s="216"/>
      <c r="CA168" s="216"/>
      <c r="CB168" s="216"/>
      <c r="CC168" s="216"/>
      <c r="CD168" s="216"/>
      <c r="CE168" s="216"/>
      <c r="CF168" s="216"/>
      <c r="CG168" s="216"/>
      <c r="CH168" s="216"/>
      <c r="CI168" s="216"/>
      <c r="CJ168" s="216"/>
      <c r="CK168" s="216"/>
      <c r="CL168" s="216"/>
      <c r="CM168" s="216"/>
      <c r="CN168" s="216"/>
      <c r="CO168" s="216"/>
      <c r="CP168" s="216"/>
      <c r="CQ168" s="216"/>
    </row>
    <row r="169" spans="7:95" x14ac:dyDescent="0.25">
      <c r="G169" s="216"/>
      <c r="H169" s="216"/>
      <c r="I169" s="216"/>
      <c r="J169" s="216"/>
      <c r="K169" s="217"/>
      <c r="L169" s="216"/>
      <c r="M169" s="216"/>
      <c r="N169" s="216"/>
      <c r="O169" s="216"/>
      <c r="P169" s="216"/>
      <c r="Q169" s="216"/>
      <c r="R169" s="216"/>
      <c r="S169" s="216"/>
      <c r="T169" s="216"/>
      <c r="U169" s="216"/>
      <c r="V169" s="216"/>
      <c r="W169" s="216"/>
      <c r="X169" s="216"/>
      <c r="Y169" s="216"/>
      <c r="Z169" s="216"/>
      <c r="AA169" s="216"/>
      <c r="AB169" s="216"/>
      <c r="AC169" s="216"/>
      <c r="AD169" s="216"/>
      <c r="AE169" s="216"/>
      <c r="AF169" s="216"/>
      <c r="AG169" s="216"/>
      <c r="AH169" s="216"/>
      <c r="AI169" s="216"/>
      <c r="AJ169" s="216"/>
      <c r="AK169" s="216"/>
      <c r="AL169" s="216"/>
      <c r="AM169" s="216"/>
      <c r="AN169" s="216"/>
      <c r="AO169" s="216"/>
      <c r="AP169" s="216"/>
      <c r="AQ169" s="216"/>
      <c r="AR169" s="216"/>
      <c r="AS169" s="216"/>
      <c r="AT169" s="216"/>
      <c r="AU169" s="216"/>
      <c r="AV169" s="216"/>
      <c r="AW169" s="216"/>
      <c r="AX169" s="216"/>
      <c r="AY169" s="216"/>
      <c r="AZ169" s="216"/>
      <c r="BA169" s="216"/>
      <c r="BB169" s="216"/>
      <c r="BC169" s="216"/>
      <c r="BD169" s="216"/>
      <c r="BE169" s="216"/>
      <c r="BF169" s="216"/>
      <c r="BG169" s="216"/>
      <c r="BH169" s="216"/>
      <c r="BI169" s="216"/>
      <c r="BJ169" s="216"/>
      <c r="BK169" s="216"/>
      <c r="BL169" s="216"/>
      <c r="BM169" s="216"/>
      <c r="BN169" s="216"/>
      <c r="BO169" s="216"/>
      <c r="BP169" s="216"/>
      <c r="BQ169" s="216"/>
      <c r="BR169" s="216"/>
      <c r="BS169" s="216"/>
      <c r="BT169" s="216"/>
      <c r="BU169" s="216"/>
      <c r="BV169" s="216"/>
      <c r="BW169" s="216"/>
      <c r="BX169" s="216"/>
      <c r="BY169" s="216"/>
      <c r="BZ169" s="216"/>
      <c r="CA169" s="216"/>
      <c r="CB169" s="216"/>
      <c r="CC169" s="216"/>
      <c r="CD169" s="216"/>
      <c r="CE169" s="216"/>
      <c r="CF169" s="216"/>
      <c r="CG169" s="216"/>
      <c r="CH169" s="216"/>
      <c r="CI169" s="216"/>
      <c r="CJ169" s="216"/>
      <c r="CK169" s="216"/>
      <c r="CL169" s="216"/>
      <c r="CM169" s="216"/>
      <c r="CN169" s="216"/>
      <c r="CO169" s="216"/>
      <c r="CP169" s="216"/>
      <c r="CQ169" s="216"/>
    </row>
    <row r="170" spans="7:95" x14ac:dyDescent="0.25">
      <c r="G170" s="216"/>
      <c r="H170" s="216"/>
      <c r="I170" s="216"/>
      <c r="J170" s="216"/>
      <c r="K170" s="217"/>
      <c r="L170" s="216"/>
      <c r="M170" s="216"/>
      <c r="N170" s="216"/>
      <c r="O170" s="216"/>
      <c r="P170" s="216"/>
      <c r="Q170" s="216"/>
      <c r="R170" s="216"/>
      <c r="S170" s="216"/>
      <c r="T170" s="216"/>
      <c r="U170" s="216"/>
      <c r="V170" s="216"/>
      <c r="W170" s="216"/>
      <c r="X170" s="216"/>
      <c r="Y170" s="216"/>
      <c r="Z170" s="216"/>
      <c r="AA170" s="216"/>
      <c r="AB170" s="216"/>
      <c r="AC170" s="216"/>
      <c r="AD170" s="216"/>
      <c r="AE170" s="216"/>
      <c r="AF170" s="216"/>
      <c r="AG170" s="216"/>
      <c r="AH170" s="216"/>
      <c r="AI170" s="216"/>
      <c r="AJ170" s="216"/>
      <c r="AK170" s="216"/>
      <c r="AL170" s="216"/>
      <c r="AM170" s="216"/>
      <c r="AN170" s="216"/>
      <c r="AO170" s="216"/>
      <c r="AP170" s="216"/>
      <c r="AQ170" s="216"/>
      <c r="AR170" s="216"/>
      <c r="AS170" s="216"/>
      <c r="AT170" s="216"/>
      <c r="AU170" s="216"/>
      <c r="AV170" s="216"/>
      <c r="AW170" s="216"/>
      <c r="AX170" s="216"/>
      <c r="AY170" s="216"/>
      <c r="AZ170" s="216"/>
      <c r="BA170" s="216"/>
      <c r="BB170" s="216"/>
      <c r="BC170" s="216"/>
      <c r="BD170" s="216"/>
      <c r="BE170" s="216"/>
      <c r="BF170" s="216"/>
      <c r="BG170" s="216"/>
      <c r="BH170" s="216"/>
      <c r="BI170" s="216"/>
      <c r="BJ170" s="216"/>
      <c r="BK170" s="216"/>
      <c r="BL170" s="216"/>
      <c r="BM170" s="216"/>
      <c r="BN170" s="216"/>
      <c r="BO170" s="216"/>
      <c r="BP170" s="216"/>
      <c r="BQ170" s="216"/>
      <c r="BR170" s="216"/>
      <c r="BS170" s="216"/>
      <c r="BT170" s="216"/>
      <c r="BU170" s="216"/>
      <c r="BV170" s="216"/>
      <c r="BW170" s="216"/>
      <c r="BX170" s="216"/>
      <c r="BY170" s="216"/>
      <c r="BZ170" s="216"/>
      <c r="CA170" s="216"/>
      <c r="CB170" s="216"/>
      <c r="CC170" s="216"/>
      <c r="CD170" s="216"/>
      <c r="CE170" s="216"/>
      <c r="CF170" s="216"/>
      <c r="CG170" s="216"/>
      <c r="CH170" s="216"/>
      <c r="CI170" s="216"/>
      <c r="CJ170" s="216"/>
      <c r="CK170" s="216"/>
      <c r="CL170" s="216"/>
      <c r="CM170" s="216"/>
      <c r="CN170" s="216"/>
      <c r="CO170" s="216"/>
      <c r="CP170" s="216"/>
      <c r="CQ170" s="216"/>
    </row>
    <row r="171" spans="7:95" x14ac:dyDescent="0.25">
      <c r="G171" s="216"/>
      <c r="H171" s="216"/>
      <c r="I171" s="216"/>
      <c r="J171" s="216"/>
      <c r="K171" s="217"/>
      <c r="L171" s="216"/>
      <c r="M171" s="216"/>
      <c r="N171" s="216"/>
      <c r="O171" s="216"/>
      <c r="P171" s="216"/>
      <c r="Q171" s="216"/>
      <c r="R171" s="216"/>
      <c r="S171" s="216"/>
      <c r="T171" s="216"/>
      <c r="U171" s="216"/>
      <c r="V171" s="216"/>
      <c r="W171" s="216"/>
      <c r="X171" s="216"/>
      <c r="Y171" s="216"/>
      <c r="Z171" s="216"/>
      <c r="AA171" s="216"/>
      <c r="AB171" s="216"/>
      <c r="AC171" s="216"/>
      <c r="AD171" s="216"/>
      <c r="AE171" s="216"/>
      <c r="AF171" s="216"/>
      <c r="AG171" s="216"/>
      <c r="AH171" s="216"/>
      <c r="AI171" s="216"/>
      <c r="AJ171" s="216"/>
      <c r="AK171" s="216"/>
      <c r="AL171" s="216"/>
      <c r="AM171" s="216"/>
      <c r="AN171" s="216"/>
      <c r="AO171" s="216"/>
      <c r="AP171" s="216"/>
      <c r="AQ171" s="216"/>
      <c r="AR171" s="216"/>
      <c r="AS171" s="216"/>
      <c r="AT171" s="216"/>
      <c r="AU171" s="216"/>
      <c r="AV171" s="216"/>
      <c r="AW171" s="216"/>
      <c r="AX171" s="216"/>
      <c r="AY171" s="216"/>
      <c r="AZ171" s="216"/>
      <c r="BA171" s="216"/>
      <c r="BB171" s="216"/>
      <c r="BC171" s="216"/>
      <c r="BD171" s="216"/>
      <c r="BE171" s="216"/>
      <c r="BF171" s="216"/>
      <c r="BG171" s="216"/>
      <c r="BH171" s="216"/>
      <c r="BI171" s="216"/>
      <c r="BJ171" s="216"/>
      <c r="BK171" s="216"/>
      <c r="BL171" s="216"/>
      <c r="BM171" s="216"/>
      <c r="BN171" s="216"/>
      <c r="BO171" s="216"/>
      <c r="BP171" s="216"/>
      <c r="BQ171" s="216"/>
      <c r="BR171" s="216"/>
      <c r="BS171" s="216"/>
      <c r="BT171" s="216"/>
      <c r="BU171" s="216"/>
      <c r="BV171" s="216"/>
      <c r="BW171" s="216"/>
      <c r="BX171" s="216"/>
      <c r="BY171" s="216"/>
      <c r="BZ171" s="216"/>
      <c r="CA171" s="216"/>
      <c r="CB171" s="216"/>
      <c r="CC171" s="216"/>
      <c r="CD171" s="216"/>
      <c r="CE171" s="216"/>
      <c r="CF171" s="216"/>
      <c r="CG171" s="216"/>
      <c r="CH171" s="216"/>
      <c r="CI171" s="216"/>
      <c r="CJ171" s="216"/>
      <c r="CK171" s="216"/>
      <c r="CL171" s="216"/>
      <c r="CM171" s="216"/>
      <c r="CN171" s="216"/>
      <c r="CO171" s="216"/>
      <c r="CP171" s="216"/>
      <c r="CQ171" s="216"/>
    </row>
    <row r="172" spans="7:95" x14ac:dyDescent="0.25">
      <c r="G172" s="216"/>
      <c r="H172" s="216"/>
      <c r="I172" s="216"/>
      <c r="J172" s="216"/>
      <c r="K172" s="217"/>
      <c r="L172" s="216"/>
      <c r="M172" s="216"/>
      <c r="N172" s="216"/>
      <c r="O172" s="216"/>
      <c r="P172" s="216"/>
      <c r="Q172" s="216"/>
      <c r="R172" s="216"/>
      <c r="S172" s="216"/>
      <c r="T172" s="216"/>
      <c r="U172" s="216"/>
      <c r="V172" s="216"/>
      <c r="W172" s="216"/>
      <c r="X172" s="216"/>
      <c r="Y172" s="216"/>
      <c r="Z172" s="216"/>
      <c r="AA172" s="216"/>
      <c r="AB172" s="216"/>
      <c r="AC172" s="216"/>
      <c r="AD172" s="216"/>
      <c r="AE172" s="216"/>
      <c r="AF172" s="216"/>
      <c r="AG172" s="216"/>
      <c r="AH172" s="216"/>
      <c r="AI172" s="216"/>
      <c r="AJ172" s="216"/>
      <c r="AK172" s="216"/>
      <c r="AL172" s="216"/>
      <c r="AM172" s="216"/>
      <c r="AN172" s="216"/>
      <c r="AO172" s="216"/>
      <c r="AP172" s="216"/>
      <c r="AQ172" s="216"/>
      <c r="AR172" s="216"/>
      <c r="AS172" s="216"/>
      <c r="AT172" s="216"/>
      <c r="AU172" s="216"/>
      <c r="AV172" s="216"/>
      <c r="AW172" s="216"/>
      <c r="AX172" s="216"/>
      <c r="AY172" s="216"/>
      <c r="AZ172" s="216"/>
      <c r="BA172" s="216"/>
      <c r="BB172" s="216"/>
      <c r="BC172" s="216"/>
      <c r="BD172" s="216"/>
      <c r="BE172" s="216"/>
      <c r="BF172" s="216"/>
      <c r="BG172" s="216"/>
      <c r="BH172" s="216"/>
      <c r="BI172" s="216"/>
      <c r="BJ172" s="216"/>
      <c r="BK172" s="216"/>
      <c r="BL172" s="216"/>
      <c r="BM172" s="216"/>
      <c r="BN172" s="216"/>
      <c r="BO172" s="216"/>
      <c r="BP172" s="216"/>
      <c r="BQ172" s="216"/>
      <c r="BR172" s="216"/>
      <c r="BS172" s="216"/>
      <c r="BT172" s="216"/>
      <c r="BU172" s="216"/>
      <c r="BV172" s="216"/>
      <c r="BW172" s="216"/>
      <c r="BX172" s="216"/>
      <c r="BY172" s="216"/>
      <c r="BZ172" s="216"/>
      <c r="CA172" s="216"/>
      <c r="CB172" s="216"/>
      <c r="CC172" s="216"/>
      <c r="CD172" s="216"/>
      <c r="CE172" s="216"/>
      <c r="CF172" s="216"/>
      <c r="CG172" s="216"/>
      <c r="CH172" s="216"/>
      <c r="CI172" s="216"/>
      <c r="CJ172" s="216"/>
      <c r="CK172" s="216"/>
      <c r="CL172" s="216"/>
      <c r="CM172" s="216"/>
      <c r="CN172" s="216"/>
      <c r="CO172" s="216"/>
      <c r="CP172" s="216"/>
      <c r="CQ172" s="216"/>
    </row>
    <row r="173" spans="7:95" x14ac:dyDescent="0.25">
      <c r="G173" s="216"/>
      <c r="H173" s="216"/>
      <c r="I173" s="216"/>
      <c r="J173" s="216"/>
      <c r="K173" s="217"/>
      <c r="L173" s="216"/>
      <c r="M173" s="216"/>
      <c r="N173" s="216"/>
      <c r="O173" s="216"/>
      <c r="P173" s="216"/>
      <c r="Q173" s="216"/>
      <c r="R173" s="216"/>
      <c r="S173" s="216"/>
      <c r="T173" s="216"/>
      <c r="U173" s="216"/>
      <c r="V173" s="216"/>
      <c r="W173" s="216"/>
      <c r="X173" s="216"/>
      <c r="Y173" s="216"/>
      <c r="Z173" s="216"/>
      <c r="AA173" s="216"/>
      <c r="AB173" s="216"/>
      <c r="AC173" s="216"/>
      <c r="AD173" s="216"/>
      <c r="AE173" s="216"/>
      <c r="AF173" s="216"/>
      <c r="AG173" s="216"/>
      <c r="AH173" s="216"/>
      <c r="AI173" s="216"/>
      <c r="AJ173" s="216"/>
      <c r="AK173" s="216"/>
      <c r="AL173" s="216"/>
      <c r="AM173" s="216"/>
      <c r="AN173" s="216"/>
      <c r="AO173" s="216"/>
      <c r="AP173" s="216"/>
      <c r="AQ173" s="216"/>
      <c r="AR173" s="216"/>
      <c r="AS173" s="216"/>
      <c r="AT173" s="216"/>
      <c r="AU173" s="216"/>
      <c r="AV173" s="216"/>
      <c r="AW173" s="216"/>
      <c r="AX173" s="216"/>
      <c r="AY173" s="216"/>
      <c r="AZ173" s="216"/>
      <c r="BA173" s="216"/>
      <c r="BB173" s="216"/>
      <c r="BC173" s="216"/>
      <c r="BD173" s="216"/>
      <c r="BE173" s="216"/>
      <c r="BF173" s="216"/>
      <c r="BG173" s="216"/>
      <c r="BH173" s="216"/>
      <c r="BI173" s="216"/>
      <c r="BJ173" s="216"/>
      <c r="BK173" s="216"/>
      <c r="BL173" s="216"/>
      <c r="BM173" s="216"/>
      <c r="BN173" s="216"/>
      <c r="BO173" s="216"/>
      <c r="BP173" s="216"/>
      <c r="BQ173" s="216"/>
      <c r="BR173" s="216"/>
      <c r="BS173" s="216"/>
      <c r="BT173" s="216"/>
      <c r="BU173" s="216"/>
      <c r="BV173" s="216"/>
      <c r="BW173" s="216"/>
      <c r="BX173" s="216"/>
      <c r="BY173" s="216"/>
      <c r="BZ173" s="216"/>
      <c r="CA173" s="216"/>
      <c r="CB173" s="216"/>
      <c r="CC173" s="216"/>
      <c r="CD173" s="216"/>
      <c r="CE173" s="216"/>
      <c r="CF173" s="216"/>
      <c r="CG173" s="216"/>
      <c r="CH173" s="216"/>
      <c r="CI173" s="216"/>
      <c r="CJ173" s="216"/>
      <c r="CK173" s="216"/>
      <c r="CL173" s="216"/>
      <c r="CM173" s="216"/>
      <c r="CN173" s="216"/>
      <c r="CO173" s="216"/>
      <c r="CP173" s="216"/>
      <c r="CQ173" s="216"/>
    </row>
    <row r="174" spans="7:95" x14ac:dyDescent="0.25">
      <c r="G174" s="216"/>
      <c r="H174" s="216"/>
      <c r="I174" s="216"/>
      <c r="J174" s="216"/>
      <c r="K174" s="217"/>
      <c r="L174" s="216"/>
      <c r="M174" s="216"/>
      <c r="N174" s="216"/>
      <c r="O174" s="216"/>
      <c r="P174" s="216"/>
      <c r="Q174" s="216"/>
      <c r="R174" s="216"/>
      <c r="S174" s="216"/>
      <c r="T174" s="216"/>
      <c r="U174" s="216"/>
      <c r="V174" s="216"/>
      <c r="W174" s="216"/>
      <c r="X174" s="216"/>
      <c r="Y174" s="216"/>
      <c r="Z174" s="216"/>
      <c r="AA174" s="216"/>
      <c r="AB174" s="216"/>
      <c r="AC174" s="216"/>
      <c r="AD174" s="216"/>
      <c r="AE174" s="216"/>
      <c r="AF174" s="216"/>
      <c r="AG174" s="216"/>
      <c r="AH174" s="216"/>
      <c r="AI174" s="216"/>
      <c r="AJ174" s="216"/>
      <c r="AK174" s="216"/>
      <c r="AL174" s="216"/>
      <c r="AM174" s="216"/>
      <c r="AN174" s="216"/>
      <c r="AO174" s="216"/>
      <c r="AP174" s="216"/>
      <c r="AQ174" s="216"/>
      <c r="AR174" s="216"/>
      <c r="AS174" s="216"/>
      <c r="AT174" s="216"/>
      <c r="AU174" s="216"/>
      <c r="AV174" s="216"/>
      <c r="AW174" s="216"/>
      <c r="AX174" s="216"/>
      <c r="AY174" s="216"/>
      <c r="AZ174" s="216"/>
      <c r="BA174" s="216"/>
      <c r="BB174" s="216"/>
      <c r="BC174" s="216"/>
      <c r="BD174" s="216"/>
      <c r="BE174" s="216"/>
      <c r="BF174" s="216"/>
      <c r="BG174" s="216"/>
      <c r="BH174" s="216"/>
      <c r="BI174" s="216"/>
      <c r="BJ174" s="216"/>
      <c r="BK174" s="216"/>
      <c r="BL174" s="216"/>
      <c r="BM174" s="216"/>
      <c r="BN174" s="216"/>
      <c r="BO174" s="216"/>
      <c r="BP174" s="216"/>
      <c r="BQ174" s="216"/>
      <c r="BR174" s="216"/>
      <c r="BS174" s="216"/>
      <c r="BT174" s="216"/>
      <c r="BU174" s="216"/>
      <c r="BV174" s="216"/>
      <c r="BW174" s="216"/>
      <c r="BX174" s="216"/>
      <c r="BY174" s="216"/>
      <c r="BZ174" s="216"/>
      <c r="CA174" s="216"/>
      <c r="CB174" s="216"/>
      <c r="CC174" s="216"/>
      <c r="CD174" s="216"/>
      <c r="CE174" s="216"/>
      <c r="CF174" s="216"/>
      <c r="CG174" s="216"/>
      <c r="CH174" s="216"/>
      <c r="CI174" s="216"/>
      <c r="CJ174" s="216"/>
      <c r="CK174" s="216"/>
      <c r="CL174" s="216"/>
      <c r="CM174" s="216"/>
      <c r="CN174" s="216"/>
      <c r="CO174" s="216"/>
      <c r="CP174" s="216"/>
      <c r="CQ174" s="216"/>
    </row>
    <row r="175" spans="7:95" x14ac:dyDescent="0.25">
      <c r="G175" s="216"/>
      <c r="H175" s="216"/>
      <c r="I175" s="216"/>
      <c r="J175" s="216"/>
      <c r="K175" s="217"/>
      <c r="L175" s="216"/>
      <c r="M175" s="216"/>
      <c r="N175" s="216"/>
      <c r="O175" s="216"/>
      <c r="P175" s="216"/>
      <c r="Q175" s="216"/>
      <c r="R175" s="216"/>
      <c r="S175" s="216"/>
      <c r="T175" s="216"/>
      <c r="U175" s="216"/>
      <c r="V175" s="216"/>
      <c r="W175" s="216"/>
      <c r="X175" s="216"/>
      <c r="Y175" s="216"/>
      <c r="Z175" s="216"/>
      <c r="AA175" s="216"/>
      <c r="AB175" s="216"/>
      <c r="AC175" s="216"/>
      <c r="AD175" s="216"/>
      <c r="AE175" s="216"/>
      <c r="AF175" s="216"/>
      <c r="AG175" s="216"/>
      <c r="AH175" s="216"/>
      <c r="AI175" s="216"/>
      <c r="AJ175" s="216"/>
      <c r="AK175" s="216"/>
      <c r="AL175" s="216"/>
      <c r="AM175" s="216"/>
      <c r="AN175" s="216"/>
      <c r="AO175" s="216"/>
      <c r="AP175" s="216"/>
      <c r="AQ175" s="216"/>
      <c r="AR175" s="216"/>
      <c r="AS175" s="216"/>
      <c r="AT175" s="216"/>
      <c r="AU175" s="216"/>
      <c r="AV175" s="216"/>
      <c r="AW175" s="216"/>
      <c r="AX175" s="216"/>
      <c r="AY175" s="216"/>
      <c r="AZ175" s="216"/>
      <c r="BA175" s="216"/>
      <c r="BB175" s="216"/>
      <c r="BC175" s="216"/>
      <c r="BD175" s="216"/>
      <c r="BE175" s="216"/>
      <c r="BF175" s="216"/>
      <c r="BG175" s="216"/>
      <c r="BH175" s="216"/>
      <c r="BI175" s="216"/>
      <c r="BJ175" s="216"/>
      <c r="BK175" s="216"/>
      <c r="BL175" s="216"/>
      <c r="BM175" s="216"/>
      <c r="BN175" s="216"/>
      <c r="BO175" s="216"/>
      <c r="BP175" s="216"/>
      <c r="BQ175" s="216"/>
      <c r="BR175" s="216"/>
      <c r="BS175" s="216"/>
      <c r="BT175" s="216"/>
      <c r="BU175" s="216"/>
      <c r="BV175" s="216"/>
      <c r="BW175" s="216"/>
      <c r="BX175" s="216"/>
      <c r="BY175" s="216"/>
      <c r="BZ175" s="216"/>
      <c r="CA175" s="216"/>
      <c r="CB175" s="216"/>
      <c r="CC175" s="216"/>
      <c r="CD175" s="216"/>
      <c r="CE175" s="216"/>
      <c r="CF175" s="216"/>
      <c r="CG175" s="216"/>
      <c r="CH175" s="216"/>
      <c r="CI175" s="216"/>
      <c r="CJ175" s="216"/>
      <c r="CK175" s="216"/>
      <c r="CL175" s="216"/>
      <c r="CM175" s="216"/>
      <c r="CN175" s="216"/>
      <c r="CO175" s="216"/>
      <c r="CP175" s="216"/>
      <c r="CQ175" s="216"/>
    </row>
    <row r="176" spans="7:95" x14ac:dyDescent="0.25">
      <c r="G176" s="216"/>
      <c r="H176" s="216"/>
      <c r="I176" s="216"/>
      <c r="J176" s="216"/>
      <c r="K176" s="217"/>
      <c r="L176" s="216"/>
      <c r="M176" s="216"/>
      <c r="N176" s="216"/>
      <c r="O176" s="216"/>
      <c r="P176" s="216"/>
      <c r="Q176" s="216"/>
      <c r="R176" s="216"/>
      <c r="S176" s="216"/>
      <c r="T176" s="216"/>
      <c r="U176" s="216"/>
      <c r="V176" s="216"/>
      <c r="W176" s="216"/>
      <c r="X176" s="216"/>
      <c r="Y176" s="216"/>
      <c r="Z176" s="216"/>
      <c r="AA176" s="216"/>
      <c r="AB176" s="216"/>
      <c r="AC176" s="216"/>
      <c r="AD176" s="216"/>
      <c r="AE176" s="216"/>
      <c r="AF176" s="216"/>
      <c r="AG176" s="216"/>
      <c r="AH176" s="216"/>
      <c r="AI176" s="216"/>
      <c r="AJ176" s="216"/>
      <c r="AK176" s="216"/>
      <c r="AL176" s="216"/>
      <c r="AM176" s="216"/>
      <c r="AN176" s="216"/>
      <c r="AO176" s="216"/>
      <c r="AP176" s="216"/>
      <c r="AQ176" s="216"/>
      <c r="AR176" s="216"/>
      <c r="AS176" s="216"/>
      <c r="AT176" s="216"/>
      <c r="AU176" s="216"/>
      <c r="AV176" s="216"/>
      <c r="AW176" s="216"/>
      <c r="AX176" s="216"/>
      <c r="AY176" s="216"/>
      <c r="AZ176" s="216"/>
      <c r="BA176" s="216"/>
      <c r="BB176" s="216"/>
      <c r="BC176" s="216"/>
      <c r="BD176" s="216"/>
      <c r="BE176" s="216"/>
      <c r="BF176" s="216"/>
      <c r="BG176" s="216"/>
      <c r="BH176" s="216"/>
      <c r="BI176" s="216"/>
      <c r="BJ176" s="216"/>
      <c r="BK176" s="216"/>
      <c r="BL176" s="216"/>
      <c r="BM176" s="216"/>
      <c r="BN176" s="216"/>
      <c r="BO176" s="216"/>
      <c r="BP176" s="216"/>
      <c r="BQ176" s="216"/>
      <c r="BR176" s="216"/>
      <c r="BS176" s="216"/>
      <c r="BT176" s="216"/>
      <c r="BU176" s="216"/>
      <c r="BV176" s="216"/>
      <c r="BW176" s="216"/>
      <c r="BX176" s="216"/>
      <c r="BY176" s="216"/>
      <c r="BZ176" s="216"/>
      <c r="CA176" s="216"/>
      <c r="CB176" s="216"/>
      <c r="CC176" s="216"/>
      <c r="CD176" s="216"/>
      <c r="CE176" s="216"/>
      <c r="CF176" s="216"/>
      <c r="CG176" s="216"/>
      <c r="CH176" s="216"/>
      <c r="CI176" s="216"/>
      <c r="CJ176" s="216"/>
      <c r="CK176" s="216"/>
      <c r="CL176" s="216"/>
      <c r="CM176" s="216"/>
      <c r="CN176" s="216"/>
      <c r="CO176" s="216"/>
      <c r="CP176" s="216"/>
      <c r="CQ176" s="216"/>
    </row>
    <row r="177" spans="7:95" x14ac:dyDescent="0.25">
      <c r="G177" s="216"/>
      <c r="H177" s="216"/>
      <c r="I177" s="216"/>
      <c r="J177" s="216"/>
      <c r="K177" s="217"/>
      <c r="L177" s="216"/>
      <c r="M177" s="216"/>
      <c r="N177" s="216"/>
      <c r="O177" s="216"/>
      <c r="P177" s="216"/>
      <c r="Q177" s="216"/>
      <c r="R177" s="216"/>
      <c r="S177" s="216"/>
      <c r="T177" s="216"/>
      <c r="U177" s="216"/>
      <c r="V177" s="216"/>
      <c r="W177" s="216"/>
      <c r="X177" s="216"/>
      <c r="Y177" s="216"/>
      <c r="Z177" s="216"/>
      <c r="AA177" s="216"/>
      <c r="AB177" s="216"/>
      <c r="AC177" s="216"/>
      <c r="AD177" s="216"/>
      <c r="AE177" s="216"/>
      <c r="AF177" s="216"/>
      <c r="AG177" s="216"/>
      <c r="AH177" s="216"/>
      <c r="AI177" s="216"/>
      <c r="AJ177" s="216"/>
      <c r="AK177" s="216"/>
      <c r="AL177" s="216"/>
      <c r="AM177" s="216"/>
      <c r="AN177" s="216"/>
      <c r="AO177" s="216"/>
      <c r="AP177" s="216"/>
      <c r="AQ177" s="216"/>
      <c r="AR177" s="216"/>
      <c r="AS177" s="216"/>
      <c r="AT177" s="216"/>
      <c r="AU177" s="216"/>
      <c r="AV177" s="216"/>
      <c r="AW177" s="216"/>
      <c r="AX177" s="216"/>
      <c r="AY177" s="216"/>
      <c r="AZ177" s="216"/>
      <c r="BA177" s="216"/>
      <c r="BB177" s="216"/>
      <c r="BC177" s="216"/>
      <c r="BD177" s="216"/>
      <c r="BE177" s="216"/>
      <c r="BF177" s="216"/>
      <c r="BG177" s="216"/>
      <c r="BH177" s="216"/>
      <c r="BI177" s="216"/>
      <c r="BJ177" s="216"/>
      <c r="BK177" s="216"/>
      <c r="BL177" s="216"/>
      <c r="BM177" s="216"/>
      <c r="BN177" s="216"/>
      <c r="BO177" s="216"/>
      <c r="BP177" s="216"/>
      <c r="BQ177" s="216"/>
      <c r="BR177" s="216"/>
      <c r="BS177" s="216"/>
      <c r="BT177" s="216"/>
      <c r="BU177" s="216"/>
      <c r="BV177" s="216"/>
      <c r="BW177" s="216"/>
      <c r="BX177" s="216"/>
      <c r="BY177" s="216"/>
      <c r="BZ177" s="216"/>
      <c r="CA177" s="216"/>
      <c r="CB177" s="216"/>
      <c r="CC177" s="216"/>
      <c r="CD177" s="216"/>
      <c r="CE177" s="216"/>
      <c r="CF177" s="216"/>
      <c r="CG177" s="216"/>
      <c r="CH177" s="216"/>
      <c r="CI177" s="216"/>
      <c r="CJ177" s="216"/>
      <c r="CK177" s="216"/>
      <c r="CL177" s="216"/>
      <c r="CM177" s="216"/>
      <c r="CN177" s="216"/>
      <c r="CO177" s="216"/>
      <c r="CP177" s="216"/>
      <c r="CQ177" s="216"/>
    </row>
    <row r="178" spans="7:95" x14ac:dyDescent="0.25">
      <c r="G178" s="216"/>
      <c r="H178" s="216"/>
      <c r="I178" s="216"/>
      <c r="J178" s="216"/>
      <c r="K178" s="217"/>
      <c r="L178" s="216"/>
      <c r="M178" s="216"/>
      <c r="N178" s="216"/>
      <c r="O178" s="216"/>
      <c r="P178" s="216"/>
      <c r="Q178" s="216"/>
      <c r="R178" s="216"/>
      <c r="S178" s="216"/>
      <c r="T178" s="216"/>
      <c r="U178" s="216"/>
      <c r="V178" s="216"/>
      <c r="W178" s="216"/>
      <c r="X178" s="216"/>
      <c r="Y178" s="216"/>
      <c r="Z178" s="216"/>
      <c r="AA178" s="216"/>
      <c r="AB178" s="216"/>
      <c r="AC178" s="216"/>
      <c r="AD178" s="216"/>
      <c r="AE178" s="216"/>
      <c r="AF178" s="216"/>
      <c r="AG178" s="216"/>
      <c r="AH178" s="216"/>
      <c r="AI178" s="216"/>
      <c r="AJ178" s="216"/>
      <c r="AK178" s="216"/>
      <c r="AL178" s="216"/>
      <c r="AM178" s="216"/>
      <c r="AN178" s="216"/>
      <c r="AO178" s="216"/>
      <c r="AP178" s="216"/>
      <c r="AQ178" s="216"/>
      <c r="AR178" s="216"/>
      <c r="AS178" s="216"/>
      <c r="AT178" s="216"/>
      <c r="AU178" s="216"/>
      <c r="AV178" s="216"/>
      <c r="AW178" s="216"/>
      <c r="AX178" s="216"/>
      <c r="AY178" s="216"/>
      <c r="AZ178" s="216"/>
      <c r="BA178" s="216"/>
      <c r="BB178" s="216"/>
      <c r="BC178" s="216"/>
      <c r="BD178" s="216"/>
      <c r="BE178" s="216"/>
      <c r="BF178" s="216"/>
      <c r="BG178" s="216"/>
      <c r="BH178" s="216"/>
      <c r="BI178" s="216"/>
      <c r="BJ178" s="216"/>
      <c r="BK178" s="216"/>
      <c r="BL178" s="216"/>
      <c r="BM178" s="216"/>
      <c r="BN178" s="216"/>
      <c r="BO178" s="216"/>
      <c r="BP178" s="216"/>
      <c r="BQ178" s="216"/>
      <c r="BR178" s="216"/>
      <c r="BS178" s="216"/>
      <c r="BT178" s="216"/>
      <c r="BU178" s="216"/>
      <c r="BV178" s="216"/>
      <c r="BW178" s="216"/>
      <c r="BX178" s="216"/>
      <c r="BY178" s="216"/>
      <c r="BZ178" s="216"/>
      <c r="CA178" s="216"/>
      <c r="CB178" s="216"/>
      <c r="CC178" s="216"/>
      <c r="CD178" s="216"/>
      <c r="CE178" s="216"/>
      <c r="CF178" s="216"/>
      <c r="CG178" s="216"/>
      <c r="CH178" s="216"/>
      <c r="CI178" s="216"/>
      <c r="CJ178" s="216"/>
      <c r="CK178" s="216"/>
      <c r="CL178" s="216"/>
      <c r="CM178" s="216"/>
      <c r="CN178" s="216"/>
      <c r="CO178" s="216"/>
      <c r="CP178" s="216"/>
      <c r="CQ178" s="216"/>
    </row>
    <row r="179" spans="7:95" x14ac:dyDescent="0.25">
      <c r="G179" s="216"/>
      <c r="H179" s="216"/>
      <c r="I179" s="216"/>
      <c r="J179" s="216"/>
      <c r="K179" s="217"/>
      <c r="L179" s="216"/>
      <c r="M179" s="216"/>
      <c r="N179" s="216"/>
      <c r="O179" s="216"/>
      <c r="P179" s="216"/>
      <c r="Q179" s="216"/>
      <c r="R179" s="216"/>
      <c r="S179" s="216"/>
      <c r="T179" s="216"/>
      <c r="U179" s="216"/>
      <c r="V179" s="216"/>
      <c r="W179" s="216"/>
      <c r="X179" s="216"/>
      <c r="Y179" s="216"/>
      <c r="Z179" s="216"/>
      <c r="AA179" s="216"/>
      <c r="AB179" s="216"/>
      <c r="AC179" s="216"/>
      <c r="AD179" s="216"/>
      <c r="AE179" s="216"/>
      <c r="AF179" s="216"/>
      <c r="AG179" s="216"/>
      <c r="AH179" s="216"/>
      <c r="AI179" s="216"/>
      <c r="AJ179" s="216"/>
      <c r="AK179" s="216"/>
      <c r="AL179" s="216"/>
      <c r="AM179" s="216"/>
      <c r="AN179" s="216"/>
      <c r="AO179" s="216"/>
      <c r="AP179" s="216"/>
      <c r="AQ179" s="216"/>
      <c r="AR179" s="216"/>
      <c r="AS179" s="216"/>
      <c r="AT179" s="216"/>
      <c r="AU179" s="216"/>
      <c r="AV179" s="216"/>
      <c r="AW179" s="216"/>
      <c r="AX179" s="216"/>
      <c r="AY179" s="216"/>
      <c r="AZ179" s="216"/>
      <c r="BA179" s="216"/>
      <c r="BB179" s="216"/>
      <c r="BC179" s="216"/>
      <c r="BD179" s="216"/>
      <c r="BE179" s="216"/>
      <c r="BF179" s="216"/>
      <c r="BG179" s="216"/>
      <c r="BH179" s="216"/>
      <c r="BI179" s="216"/>
      <c r="BJ179" s="216"/>
      <c r="BK179" s="216"/>
      <c r="BL179" s="216"/>
      <c r="BM179" s="216"/>
      <c r="BN179" s="216"/>
      <c r="BO179" s="216"/>
      <c r="BP179" s="216"/>
      <c r="BQ179" s="216"/>
      <c r="BR179" s="216"/>
      <c r="BS179" s="216"/>
      <c r="BT179" s="216"/>
      <c r="BU179" s="216"/>
      <c r="BV179" s="216"/>
      <c r="BW179" s="216"/>
      <c r="BX179" s="216"/>
      <c r="BY179" s="216"/>
      <c r="BZ179" s="216"/>
      <c r="CA179" s="216"/>
      <c r="CB179" s="216"/>
      <c r="CC179" s="216"/>
      <c r="CD179" s="216"/>
      <c r="CE179" s="216"/>
      <c r="CF179" s="216"/>
      <c r="CG179" s="216"/>
      <c r="CH179" s="216"/>
      <c r="CI179" s="216"/>
      <c r="CJ179" s="216"/>
      <c r="CK179" s="216"/>
      <c r="CL179" s="216"/>
      <c r="CM179" s="216"/>
      <c r="CN179" s="216"/>
      <c r="CO179" s="216"/>
      <c r="CP179" s="216"/>
      <c r="CQ179" s="216"/>
    </row>
    <row r="180" spans="7:95" x14ac:dyDescent="0.25">
      <c r="G180" s="216"/>
      <c r="H180" s="216"/>
      <c r="I180" s="216"/>
      <c r="J180" s="216"/>
      <c r="K180" s="217"/>
      <c r="L180" s="216"/>
      <c r="M180" s="216"/>
      <c r="N180" s="216"/>
      <c r="O180" s="216"/>
      <c r="P180" s="216"/>
      <c r="Q180" s="216"/>
      <c r="R180" s="216"/>
      <c r="S180" s="216"/>
      <c r="T180" s="216"/>
      <c r="U180" s="216"/>
      <c r="V180" s="216"/>
      <c r="W180" s="216"/>
      <c r="X180" s="216"/>
      <c r="Y180" s="216"/>
      <c r="Z180" s="216"/>
      <c r="AA180" s="216"/>
      <c r="AB180" s="216"/>
      <c r="AC180" s="216"/>
      <c r="AD180" s="216"/>
      <c r="AE180" s="216"/>
      <c r="AF180" s="216"/>
      <c r="AG180" s="216"/>
      <c r="AH180" s="216"/>
      <c r="AI180" s="216"/>
      <c r="AJ180" s="216"/>
      <c r="AK180" s="216"/>
      <c r="AL180" s="216"/>
      <c r="AM180" s="216"/>
      <c r="AN180" s="216"/>
      <c r="AO180" s="216"/>
      <c r="AP180" s="216"/>
      <c r="AQ180" s="216"/>
      <c r="AR180" s="216"/>
      <c r="AS180" s="216"/>
      <c r="AT180" s="216"/>
      <c r="AU180" s="216"/>
      <c r="AV180" s="216"/>
      <c r="AW180" s="216"/>
      <c r="AX180" s="216"/>
      <c r="AY180" s="216"/>
      <c r="AZ180" s="216"/>
      <c r="BA180" s="216"/>
      <c r="BB180" s="216"/>
      <c r="BC180" s="216"/>
      <c r="BD180" s="216"/>
      <c r="BE180" s="216"/>
      <c r="BF180" s="216"/>
      <c r="BG180" s="216"/>
      <c r="BH180" s="216"/>
      <c r="BI180" s="216"/>
      <c r="BJ180" s="216"/>
      <c r="BK180" s="216"/>
      <c r="BL180" s="216"/>
      <c r="BM180" s="216"/>
      <c r="BN180" s="216"/>
      <c r="BO180" s="216"/>
      <c r="BP180" s="216"/>
      <c r="BQ180" s="216"/>
      <c r="BR180" s="216"/>
      <c r="BS180" s="216"/>
      <c r="BT180" s="216"/>
      <c r="BU180" s="216"/>
      <c r="BV180" s="216"/>
      <c r="BW180" s="216"/>
      <c r="BX180" s="216"/>
      <c r="BY180" s="216"/>
      <c r="BZ180" s="216"/>
      <c r="CA180" s="216"/>
      <c r="CB180" s="216"/>
      <c r="CC180" s="216"/>
      <c r="CD180" s="216"/>
      <c r="CE180" s="216"/>
      <c r="CF180" s="216"/>
      <c r="CG180" s="216"/>
      <c r="CH180" s="216"/>
      <c r="CI180" s="216"/>
      <c r="CJ180" s="216"/>
      <c r="CK180" s="216"/>
      <c r="CL180" s="216"/>
      <c r="CM180" s="216"/>
      <c r="CN180" s="216"/>
      <c r="CO180" s="216"/>
      <c r="CP180" s="216"/>
      <c r="CQ180" s="216"/>
    </row>
    <row r="181" spans="7:95" x14ac:dyDescent="0.25">
      <c r="G181" s="216"/>
      <c r="H181" s="216"/>
      <c r="I181" s="216"/>
      <c r="J181" s="216"/>
      <c r="K181" s="217"/>
      <c r="L181" s="216"/>
      <c r="M181" s="216"/>
      <c r="N181" s="216"/>
      <c r="O181" s="216"/>
      <c r="P181" s="216"/>
      <c r="Q181" s="216"/>
      <c r="R181" s="216"/>
      <c r="S181" s="216"/>
      <c r="T181" s="216"/>
      <c r="U181" s="216"/>
      <c r="V181" s="216"/>
      <c r="W181" s="216"/>
      <c r="X181" s="216"/>
      <c r="Y181" s="216"/>
      <c r="Z181" s="216"/>
      <c r="AA181" s="216"/>
      <c r="AB181" s="216"/>
      <c r="AC181" s="216"/>
      <c r="AD181" s="216"/>
      <c r="AE181" s="216"/>
      <c r="AF181" s="216"/>
      <c r="AG181" s="216"/>
      <c r="AH181" s="216"/>
      <c r="AI181" s="216"/>
      <c r="AJ181" s="216"/>
      <c r="AK181" s="216"/>
      <c r="AL181" s="216"/>
      <c r="AM181" s="216"/>
      <c r="AN181" s="216"/>
      <c r="AO181" s="216"/>
      <c r="AP181" s="216"/>
      <c r="AQ181" s="216"/>
      <c r="AR181" s="216"/>
      <c r="AS181" s="216"/>
      <c r="AT181" s="216"/>
      <c r="AU181" s="216"/>
      <c r="AV181" s="216"/>
      <c r="AW181" s="216"/>
      <c r="AX181" s="216"/>
      <c r="AY181" s="216"/>
      <c r="AZ181" s="216"/>
      <c r="BA181" s="216"/>
      <c r="BB181" s="216"/>
      <c r="BC181" s="216"/>
      <c r="BD181" s="216"/>
      <c r="BE181" s="216"/>
      <c r="BF181" s="216"/>
      <c r="BG181" s="216"/>
      <c r="BH181" s="216"/>
      <c r="BI181" s="216"/>
      <c r="BJ181" s="216"/>
      <c r="BK181" s="216"/>
      <c r="BL181" s="216"/>
      <c r="BM181" s="216"/>
      <c r="BN181" s="216"/>
      <c r="BO181" s="216"/>
      <c r="BP181" s="216"/>
      <c r="BQ181" s="216"/>
      <c r="BR181" s="216"/>
      <c r="BS181" s="216"/>
      <c r="BT181" s="216"/>
      <c r="BU181" s="216"/>
      <c r="BV181" s="216"/>
      <c r="BW181" s="216"/>
      <c r="BX181" s="216"/>
      <c r="BY181" s="216"/>
      <c r="BZ181" s="216"/>
      <c r="CA181" s="216"/>
      <c r="CB181" s="216"/>
      <c r="CC181" s="216"/>
      <c r="CD181" s="216"/>
      <c r="CE181" s="216"/>
      <c r="CF181" s="216"/>
      <c r="CG181" s="216"/>
      <c r="CH181" s="216"/>
      <c r="CI181" s="216"/>
      <c r="CJ181" s="216"/>
      <c r="CK181" s="216"/>
      <c r="CL181" s="216"/>
      <c r="CM181" s="216"/>
      <c r="CN181" s="216"/>
      <c r="CO181" s="216"/>
      <c r="CP181" s="216"/>
      <c r="CQ181" s="216"/>
    </row>
    <row r="182" spans="7:95" x14ac:dyDescent="0.25">
      <c r="G182" s="216"/>
      <c r="H182" s="216"/>
      <c r="I182" s="216"/>
      <c r="J182" s="216"/>
      <c r="K182" s="217"/>
      <c r="L182" s="216"/>
      <c r="M182" s="216"/>
      <c r="N182" s="216"/>
      <c r="O182" s="216"/>
      <c r="P182" s="216"/>
      <c r="Q182" s="216"/>
      <c r="R182" s="216"/>
      <c r="S182" s="216"/>
      <c r="T182" s="216"/>
      <c r="U182" s="216"/>
      <c r="V182" s="216"/>
      <c r="W182" s="216"/>
      <c r="X182" s="216"/>
      <c r="Y182" s="216"/>
      <c r="Z182" s="216"/>
      <c r="AA182" s="216"/>
      <c r="AB182" s="216"/>
      <c r="AC182" s="216"/>
      <c r="AD182" s="216"/>
      <c r="AE182" s="216"/>
      <c r="AF182" s="216"/>
      <c r="AG182" s="216"/>
      <c r="AH182" s="216"/>
      <c r="AI182" s="216"/>
      <c r="AJ182" s="216"/>
      <c r="AK182" s="216"/>
      <c r="AL182" s="216"/>
      <c r="AM182" s="216"/>
      <c r="AN182" s="216"/>
      <c r="AO182" s="216"/>
      <c r="AP182" s="216"/>
      <c r="AQ182" s="216"/>
      <c r="AR182" s="216"/>
      <c r="AS182" s="216"/>
      <c r="AT182" s="216"/>
      <c r="AU182" s="216"/>
      <c r="AV182" s="216"/>
      <c r="AW182" s="216"/>
      <c r="AX182" s="216"/>
      <c r="AY182" s="216"/>
      <c r="AZ182" s="216"/>
      <c r="BA182" s="216"/>
      <c r="BB182" s="216"/>
      <c r="BC182" s="216"/>
      <c r="BD182" s="216"/>
      <c r="BE182" s="216"/>
      <c r="BF182" s="216"/>
      <c r="BG182" s="216"/>
      <c r="BH182" s="216"/>
      <c r="BI182" s="216"/>
      <c r="BJ182" s="216"/>
      <c r="BK182" s="216"/>
      <c r="BL182" s="216"/>
      <c r="BM182" s="216"/>
      <c r="BN182" s="216"/>
      <c r="BO182" s="216"/>
      <c r="BP182" s="216"/>
      <c r="BQ182" s="216"/>
      <c r="BR182" s="216"/>
      <c r="BS182" s="216"/>
      <c r="BT182" s="216"/>
      <c r="BU182" s="216"/>
      <c r="BV182" s="216"/>
      <c r="BW182" s="216"/>
      <c r="BX182" s="216"/>
      <c r="BY182" s="216"/>
      <c r="BZ182" s="216"/>
      <c r="CA182" s="216"/>
      <c r="CB182" s="216"/>
      <c r="CC182" s="216"/>
      <c r="CD182" s="216"/>
      <c r="CE182" s="216"/>
      <c r="CF182" s="216"/>
      <c r="CG182" s="216"/>
      <c r="CH182" s="216"/>
      <c r="CI182" s="216"/>
      <c r="CJ182" s="216"/>
      <c r="CK182" s="216"/>
      <c r="CL182" s="216"/>
      <c r="CM182" s="216"/>
      <c r="CN182" s="216"/>
      <c r="CO182" s="216"/>
      <c r="CP182" s="216"/>
      <c r="CQ182" s="216"/>
    </row>
    <row r="183" spans="7:95" x14ac:dyDescent="0.25">
      <c r="J183" s="216"/>
      <c r="K183" s="217"/>
      <c r="L183" s="216"/>
      <c r="M183" s="216"/>
      <c r="N183" s="216"/>
      <c r="O183" s="216"/>
      <c r="P183" s="216"/>
      <c r="Q183" s="216"/>
      <c r="R183" s="216"/>
      <c r="S183" s="216"/>
      <c r="T183" s="216"/>
      <c r="U183" s="216"/>
      <c r="V183" s="216"/>
      <c r="W183" s="216"/>
      <c r="X183" s="216"/>
      <c r="Y183" s="216"/>
      <c r="Z183" s="216"/>
      <c r="AA183" s="216"/>
      <c r="AB183" s="216"/>
      <c r="AC183" s="216"/>
      <c r="AD183" s="216"/>
      <c r="AE183" s="216"/>
      <c r="AF183" s="216"/>
      <c r="AG183" s="216"/>
      <c r="AH183" s="216"/>
      <c r="AI183" s="216"/>
      <c r="AJ183" s="216"/>
      <c r="AK183" s="216"/>
      <c r="AL183" s="216"/>
      <c r="AM183" s="216"/>
      <c r="AN183" s="216"/>
      <c r="AO183" s="216"/>
      <c r="AP183" s="216"/>
      <c r="AQ183" s="216"/>
      <c r="AR183" s="216"/>
      <c r="AS183" s="216"/>
      <c r="AT183" s="216"/>
      <c r="AU183" s="216"/>
      <c r="AV183" s="216"/>
      <c r="AW183" s="216"/>
      <c r="AX183" s="216"/>
      <c r="AY183" s="216"/>
      <c r="AZ183" s="216"/>
      <c r="BA183" s="216"/>
      <c r="BB183" s="216"/>
      <c r="BC183" s="216"/>
      <c r="BD183" s="216"/>
      <c r="BE183" s="216"/>
      <c r="BF183" s="216"/>
      <c r="BG183" s="216"/>
      <c r="BH183" s="216"/>
      <c r="BI183" s="216"/>
      <c r="BJ183" s="216"/>
      <c r="BK183" s="216"/>
      <c r="BL183" s="216"/>
      <c r="BM183" s="216"/>
      <c r="BN183" s="216"/>
      <c r="BO183" s="216"/>
      <c r="BP183" s="216"/>
      <c r="BQ183" s="216"/>
      <c r="BR183" s="216"/>
      <c r="BS183" s="216"/>
      <c r="BT183" s="216"/>
      <c r="BU183" s="216"/>
      <c r="BV183" s="216"/>
      <c r="BW183" s="216"/>
      <c r="BX183" s="216"/>
      <c r="BY183" s="216"/>
      <c r="BZ183" s="216"/>
      <c r="CA183" s="216"/>
      <c r="CB183" s="216"/>
      <c r="CC183" s="216"/>
      <c r="CD183" s="216"/>
      <c r="CE183" s="216"/>
      <c r="CF183" s="216"/>
      <c r="CG183" s="216"/>
      <c r="CH183" s="216"/>
      <c r="CI183" s="216"/>
      <c r="CJ183" s="216"/>
      <c r="CK183" s="216"/>
      <c r="CL183" s="216"/>
      <c r="CM183" s="216"/>
      <c r="CN183" s="216"/>
      <c r="CO183" s="216"/>
      <c r="CP183" s="216"/>
      <c r="CQ183" s="216"/>
    </row>
    <row r="184" spans="7:95" x14ac:dyDescent="0.25">
      <c r="J184" s="216"/>
      <c r="K184" s="217"/>
      <c r="L184" s="216"/>
      <c r="M184" s="216"/>
      <c r="N184" s="216"/>
      <c r="O184" s="216"/>
      <c r="P184" s="216"/>
      <c r="Q184" s="216"/>
      <c r="R184" s="216"/>
      <c r="S184" s="216"/>
      <c r="T184" s="216"/>
      <c r="U184" s="216"/>
      <c r="V184" s="216"/>
      <c r="W184" s="216"/>
      <c r="X184" s="216"/>
      <c r="Y184" s="216"/>
      <c r="Z184" s="216"/>
      <c r="AA184" s="216"/>
      <c r="AB184" s="216"/>
      <c r="AC184" s="216"/>
      <c r="AD184" s="216"/>
      <c r="AE184" s="216"/>
      <c r="AF184" s="216"/>
      <c r="AG184" s="216"/>
      <c r="AH184" s="216"/>
      <c r="AI184" s="216"/>
      <c r="AJ184" s="216"/>
      <c r="AK184" s="216"/>
      <c r="AL184" s="216"/>
      <c r="AM184" s="216"/>
      <c r="AN184" s="216"/>
      <c r="AO184" s="216"/>
      <c r="AP184" s="216"/>
      <c r="AQ184" s="216"/>
      <c r="AR184" s="216"/>
      <c r="AS184" s="216"/>
      <c r="AT184" s="216"/>
      <c r="AU184" s="216"/>
      <c r="AV184" s="216"/>
      <c r="AW184" s="216"/>
      <c r="AX184" s="216"/>
      <c r="AY184" s="216"/>
      <c r="AZ184" s="216"/>
      <c r="BA184" s="216"/>
      <c r="BB184" s="216"/>
      <c r="BC184" s="216"/>
      <c r="BD184" s="216"/>
      <c r="BE184" s="216"/>
      <c r="BF184" s="216"/>
      <c r="BG184" s="216"/>
      <c r="BH184" s="216"/>
      <c r="BI184" s="216"/>
      <c r="BJ184" s="216"/>
      <c r="BK184" s="216"/>
      <c r="BL184" s="216"/>
      <c r="BM184" s="216"/>
      <c r="BN184" s="216"/>
      <c r="BO184" s="216"/>
      <c r="BP184" s="216"/>
      <c r="BQ184" s="216"/>
      <c r="BR184" s="216"/>
      <c r="BS184" s="216"/>
      <c r="BT184" s="216"/>
      <c r="BU184" s="216"/>
      <c r="BV184" s="216"/>
      <c r="BW184" s="216"/>
      <c r="BX184" s="216"/>
      <c r="BY184" s="216"/>
      <c r="BZ184" s="216"/>
      <c r="CA184" s="216"/>
      <c r="CB184" s="216"/>
      <c r="CC184" s="216"/>
      <c r="CD184" s="216"/>
      <c r="CE184" s="216"/>
      <c r="CF184" s="216"/>
      <c r="CG184" s="216"/>
      <c r="CH184" s="216"/>
      <c r="CI184" s="216"/>
      <c r="CJ184" s="216"/>
      <c r="CK184" s="216"/>
      <c r="CL184" s="216"/>
      <c r="CM184" s="216"/>
      <c r="CN184" s="216"/>
      <c r="CO184" s="216"/>
      <c r="CP184" s="216"/>
      <c r="CQ184" s="216"/>
    </row>
    <row r="185" spans="7:95" x14ac:dyDescent="0.25">
      <c r="J185" s="216"/>
      <c r="K185" s="217"/>
      <c r="L185" s="216"/>
      <c r="M185" s="216"/>
      <c r="N185" s="216"/>
      <c r="O185" s="216"/>
      <c r="P185" s="216"/>
      <c r="Q185" s="216"/>
      <c r="R185" s="216"/>
      <c r="S185" s="216"/>
      <c r="T185" s="216"/>
      <c r="U185" s="216"/>
      <c r="V185" s="216"/>
      <c r="W185" s="216"/>
      <c r="X185" s="216"/>
      <c r="Y185" s="216"/>
      <c r="Z185" s="216"/>
      <c r="AA185" s="216"/>
      <c r="AB185" s="216"/>
      <c r="AC185" s="216"/>
      <c r="AD185" s="216"/>
      <c r="AE185" s="216"/>
      <c r="AF185" s="216"/>
      <c r="AG185" s="216"/>
      <c r="AH185" s="216"/>
      <c r="AI185" s="216"/>
      <c r="AJ185" s="216"/>
      <c r="AK185" s="216"/>
      <c r="AL185" s="216"/>
      <c r="AM185" s="216"/>
      <c r="AN185" s="216"/>
      <c r="AO185" s="216"/>
      <c r="AP185" s="216"/>
      <c r="AQ185" s="216"/>
      <c r="AR185" s="216"/>
      <c r="AS185" s="216"/>
      <c r="AT185" s="216"/>
      <c r="AU185" s="216"/>
      <c r="AV185" s="216"/>
      <c r="AW185" s="216"/>
      <c r="AX185" s="216"/>
      <c r="AY185" s="216"/>
      <c r="AZ185" s="216"/>
      <c r="BA185" s="216"/>
      <c r="BB185" s="216"/>
      <c r="BC185" s="216"/>
      <c r="BD185" s="216"/>
      <c r="BE185" s="216"/>
      <c r="BF185" s="216"/>
      <c r="BG185" s="216"/>
      <c r="BH185" s="216"/>
      <c r="BI185" s="216"/>
      <c r="BJ185" s="216"/>
      <c r="BK185" s="216"/>
      <c r="BL185" s="216"/>
      <c r="BM185" s="216"/>
      <c r="BN185" s="216"/>
      <c r="BO185" s="216"/>
      <c r="BP185" s="216"/>
      <c r="BQ185" s="216"/>
      <c r="BR185" s="216"/>
      <c r="BS185" s="216"/>
      <c r="BT185" s="216"/>
      <c r="BU185" s="216"/>
      <c r="BV185" s="216"/>
      <c r="BW185" s="216"/>
      <c r="BX185" s="216"/>
      <c r="BY185" s="216"/>
      <c r="BZ185" s="216"/>
      <c r="CA185" s="216"/>
      <c r="CB185" s="216"/>
      <c r="CC185" s="216"/>
      <c r="CD185" s="216"/>
      <c r="CE185" s="216"/>
      <c r="CF185" s="216"/>
      <c r="CG185" s="216"/>
      <c r="CH185" s="216"/>
      <c r="CI185" s="216"/>
      <c r="CJ185" s="216"/>
      <c r="CK185" s="216"/>
      <c r="CL185" s="216"/>
      <c r="CM185" s="216"/>
      <c r="CN185" s="216"/>
      <c r="CO185" s="216"/>
      <c r="CP185" s="216"/>
      <c r="CQ185" s="216"/>
    </row>
    <row r="186" spans="7:95" x14ac:dyDescent="0.25">
      <c r="J186" s="216"/>
      <c r="K186" s="217"/>
      <c r="L186" s="216"/>
      <c r="M186" s="216"/>
      <c r="N186" s="216"/>
      <c r="O186" s="216"/>
      <c r="P186" s="216"/>
      <c r="Q186" s="216"/>
      <c r="R186" s="216"/>
      <c r="S186" s="216"/>
      <c r="T186" s="216"/>
      <c r="U186" s="216"/>
      <c r="V186" s="216"/>
      <c r="W186" s="216"/>
      <c r="X186" s="216"/>
      <c r="Y186" s="216"/>
      <c r="Z186" s="216"/>
      <c r="AA186" s="216"/>
      <c r="AB186" s="216"/>
      <c r="AC186" s="216"/>
      <c r="AD186" s="216"/>
      <c r="AE186" s="216"/>
      <c r="AF186" s="216"/>
      <c r="AG186" s="216"/>
      <c r="AH186" s="216"/>
      <c r="AI186" s="216"/>
      <c r="AJ186" s="216"/>
      <c r="AK186" s="216"/>
      <c r="AL186" s="216"/>
      <c r="AM186" s="216"/>
      <c r="AN186" s="216"/>
      <c r="AO186" s="216"/>
      <c r="AP186" s="216"/>
      <c r="AQ186" s="216"/>
      <c r="AR186" s="216"/>
      <c r="AS186" s="216"/>
      <c r="AT186" s="216"/>
      <c r="AU186" s="216"/>
      <c r="AV186" s="216"/>
      <c r="AW186" s="216"/>
      <c r="AX186" s="216"/>
      <c r="AY186" s="216"/>
      <c r="AZ186" s="216"/>
      <c r="BA186" s="216"/>
      <c r="BB186" s="216"/>
      <c r="BC186" s="216"/>
      <c r="BD186" s="216"/>
      <c r="BE186" s="216"/>
      <c r="BF186" s="216"/>
      <c r="BG186" s="216"/>
      <c r="BH186" s="216"/>
      <c r="BI186" s="216"/>
      <c r="BJ186" s="216"/>
      <c r="BK186" s="216"/>
      <c r="BL186" s="216"/>
      <c r="BM186" s="216"/>
      <c r="BN186" s="216"/>
      <c r="BO186" s="216"/>
      <c r="BP186" s="216"/>
      <c r="BQ186" s="216"/>
      <c r="BR186" s="216"/>
      <c r="BS186" s="216"/>
      <c r="BT186" s="216"/>
      <c r="BU186" s="216"/>
      <c r="BV186" s="216"/>
      <c r="BW186" s="216"/>
      <c r="BX186" s="216"/>
      <c r="BY186" s="216"/>
      <c r="BZ186" s="216"/>
      <c r="CA186" s="216"/>
      <c r="CB186" s="216"/>
      <c r="CC186" s="216"/>
      <c r="CD186" s="216"/>
      <c r="CE186" s="216"/>
      <c r="CF186" s="216"/>
      <c r="CG186" s="216"/>
      <c r="CH186" s="216"/>
      <c r="CI186" s="216"/>
      <c r="CJ186" s="216"/>
      <c r="CK186" s="216"/>
      <c r="CL186" s="216"/>
      <c r="CM186" s="216"/>
      <c r="CN186" s="216"/>
      <c r="CO186" s="216"/>
      <c r="CP186" s="216"/>
      <c r="CQ186" s="216"/>
    </row>
    <row r="187" spans="7:95" x14ac:dyDescent="0.25">
      <c r="J187" s="216"/>
      <c r="K187" s="217"/>
      <c r="L187" s="216"/>
      <c r="M187" s="216"/>
      <c r="N187" s="216"/>
      <c r="O187" s="216"/>
      <c r="P187" s="216"/>
      <c r="Q187" s="216"/>
      <c r="R187" s="216"/>
      <c r="S187" s="216"/>
      <c r="T187" s="216"/>
      <c r="U187" s="216"/>
      <c r="V187" s="216"/>
      <c r="W187" s="216"/>
      <c r="X187" s="216"/>
      <c r="Y187" s="216"/>
      <c r="Z187" s="216"/>
      <c r="AA187" s="216"/>
      <c r="AB187" s="216"/>
      <c r="AC187" s="216"/>
      <c r="AD187" s="216"/>
      <c r="AE187" s="216"/>
      <c r="AF187" s="216"/>
      <c r="AG187" s="216"/>
      <c r="AH187" s="216"/>
      <c r="AI187" s="216"/>
      <c r="AJ187" s="216"/>
      <c r="AK187" s="216"/>
      <c r="AL187" s="216"/>
      <c r="AM187" s="216"/>
      <c r="AN187" s="216"/>
      <c r="AO187" s="216"/>
      <c r="AP187" s="216"/>
      <c r="AQ187" s="216"/>
      <c r="AR187" s="216"/>
      <c r="AS187" s="216"/>
      <c r="AT187" s="216"/>
      <c r="AU187" s="216"/>
      <c r="AV187" s="216"/>
      <c r="AW187" s="216"/>
      <c r="AX187" s="216"/>
      <c r="AY187" s="216"/>
      <c r="AZ187" s="216"/>
      <c r="BA187" s="216"/>
      <c r="BB187" s="216"/>
      <c r="BC187" s="216"/>
      <c r="BD187" s="216"/>
      <c r="BE187" s="216"/>
      <c r="BF187" s="216"/>
      <c r="BG187" s="216"/>
      <c r="BH187" s="216"/>
      <c r="BI187" s="216"/>
      <c r="BJ187" s="216"/>
      <c r="BK187" s="216"/>
      <c r="BL187" s="216"/>
      <c r="BM187" s="216"/>
      <c r="BN187" s="216"/>
      <c r="BO187" s="216"/>
      <c r="BP187" s="216"/>
      <c r="BQ187" s="216"/>
      <c r="BR187" s="216"/>
      <c r="BS187" s="216"/>
      <c r="BT187" s="216"/>
      <c r="BU187" s="216"/>
      <c r="BV187" s="216"/>
      <c r="BW187" s="216"/>
      <c r="BX187" s="216"/>
      <c r="BY187" s="216"/>
      <c r="BZ187" s="216"/>
      <c r="CA187" s="216"/>
      <c r="CB187" s="216"/>
      <c r="CC187" s="216"/>
      <c r="CD187" s="216"/>
      <c r="CE187" s="216"/>
      <c r="CF187" s="216"/>
      <c r="CG187" s="216"/>
      <c r="CH187" s="216"/>
      <c r="CI187" s="216"/>
      <c r="CJ187" s="216"/>
      <c r="CK187" s="216"/>
      <c r="CL187" s="216"/>
      <c r="CM187" s="216"/>
      <c r="CN187" s="216"/>
      <c r="CO187" s="216"/>
      <c r="CP187" s="216"/>
      <c r="CQ187" s="216"/>
    </row>
    <row r="188" spans="7:95" x14ac:dyDescent="0.25">
      <c r="J188" s="216"/>
      <c r="K188" s="217"/>
      <c r="L188" s="216"/>
      <c r="M188" s="216"/>
      <c r="N188" s="216"/>
      <c r="O188" s="216"/>
      <c r="P188" s="216"/>
      <c r="Q188" s="216"/>
      <c r="R188" s="216"/>
      <c r="S188" s="216"/>
      <c r="T188" s="216"/>
      <c r="U188" s="216"/>
      <c r="V188" s="216"/>
      <c r="W188" s="216"/>
      <c r="X188" s="216"/>
      <c r="Y188" s="216"/>
      <c r="Z188" s="216"/>
      <c r="AA188" s="216"/>
      <c r="AB188" s="216"/>
      <c r="AC188" s="216"/>
      <c r="AD188" s="216"/>
      <c r="AE188" s="216"/>
      <c r="AF188" s="216"/>
      <c r="AG188" s="216"/>
      <c r="AH188" s="216"/>
      <c r="AI188" s="216"/>
      <c r="AJ188" s="216"/>
      <c r="AK188" s="216"/>
      <c r="AL188" s="216"/>
      <c r="AM188" s="216"/>
      <c r="AN188" s="216"/>
      <c r="AO188" s="216"/>
      <c r="AP188" s="216"/>
      <c r="AQ188" s="216"/>
      <c r="AR188" s="216"/>
      <c r="AS188" s="216"/>
      <c r="AT188" s="216"/>
      <c r="AU188" s="216"/>
      <c r="AV188" s="216"/>
      <c r="AW188" s="216"/>
      <c r="AX188" s="216"/>
      <c r="AY188" s="216"/>
      <c r="AZ188" s="216"/>
      <c r="BA188" s="216"/>
      <c r="BB188" s="216"/>
      <c r="BC188" s="216"/>
      <c r="BD188" s="216"/>
      <c r="BE188" s="216"/>
      <c r="BF188" s="216"/>
      <c r="BG188" s="216"/>
      <c r="BH188" s="216"/>
      <c r="BI188" s="216"/>
      <c r="BJ188" s="216"/>
      <c r="BK188" s="216"/>
      <c r="BL188" s="216"/>
      <c r="BM188" s="216"/>
      <c r="BN188" s="216"/>
      <c r="BO188" s="216"/>
      <c r="BP188" s="216"/>
      <c r="BQ188" s="216"/>
      <c r="BR188" s="216"/>
      <c r="BS188" s="216"/>
      <c r="BT188" s="216"/>
      <c r="BU188" s="216"/>
      <c r="BV188" s="216"/>
      <c r="BW188" s="216"/>
      <c r="BX188" s="216"/>
      <c r="BY188" s="216"/>
      <c r="BZ188" s="216"/>
      <c r="CA188" s="216"/>
      <c r="CB188" s="216"/>
      <c r="CC188" s="216"/>
      <c r="CD188" s="216"/>
      <c r="CE188" s="216"/>
      <c r="CF188" s="216"/>
      <c r="CG188" s="216"/>
      <c r="CH188" s="216"/>
      <c r="CI188" s="216"/>
      <c r="CJ188" s="216"/>
      <c r="CK188" s="216"/>
      <c r="CL188" s="216"/>
      <c r="CM188" s="216"/>
      <c r="CN188" s="216"/>
      <c r="CO188" s="216"/>
      <c r="CP188" s="216"/>
      <c r="CQ188" s="216"/>
    </row>
    <row r="189" spans="7:95" x14ac:dyDescent="0.25">
      <c r="J189" s="216"/>
      <c r="K189" s="217"/>
      <c r="L189" s="216"/>
      <c r="M189" s="216"/>
      <c r="N189" s="216"/>
      <c r="O189" s="216"/>
      <c r="P189" s="216"/>
      <c r="Q189" s="216"/>
      <c r="R189" s="216"/>
      <c r="S189" s="216"/>
      <c r="T189" s="216"/>
      <c r="U189" s="216"/>
      <c r="V189" s="216"/>
      <c r="W189" s="216"/>
      <c r="X189" s="216"/>
      <c r="Y189" s="216"/>
      <c r="Z189" s="216"/>
      <c r="AA189" s="216"/>
      <c r="AB189" s="216"/>
      <c r="AC189" s="216"/>
      <c r="AD189" s="216"/>
      <c r="AE189" s="216"/>
      <c r="AF189" s="216"/>
      <c r="AG189" s="216"/>
      <c r="AH189" s="216"/>
      <c r="AI189" s="216"/>
      <c r="AJ189" s="216"/>
      <c r="AK189" s="216"/>
      <c r="AL189" s="216"/>
      <c r="AM189" s="216"/>
      <c r="AN189" s="216"/>
      <c r="AO189" s="216"/>
      <c r="AP189" s="216"/>
      <c r="AQ189" s="216"/>
      <c r="AR189" s="216"/>
      <c r="AS189" s="216"/>
      <c r="AT189" s="216"/>
      <c r="AU189" s="216"/>
      <c r="AV189" s="216"/>
      <c r="AW189" s="216"/>
      <c r="AX189" s="216"/>
      <c r="AY189" s="216"/>
      <c r="AZ189" s="216"/>
      <c r="BA189" s="216"/>
      <c r="BB189" s="216"/>
      <c r="BC189" s="216"/>
      <c r="BD189" s="216"/>
      <c r="BE189" s="216"/>
      <c r="BF189" s="216"/>
      <c r="BG189" s="216"/>
      <c r="BH189" s="216"/>
      <c r="BI189" s="216"/>
      <c r="BJ189" s="216"/>
      <c r="BK189" s="216"/>
      <c r="BL189" s="216"/>
      <c r="BM189" s="216"/>
      <c r="BN189" s="216"/>
      <c r="BO189" s="216"/>
      <c r="BP189" s="216"/>
      <c r="BQ189" s="216"/>
      <c r="BR189" s="216"/>
      <c r="BS189" s="216"/>
      <c r="BT189" s="216"/>
      <c r="BU189" s="216"/>
      <c r="BV189" s="216"/>
      <c r="BW189" s="216"/>
      <c r="BX189" s="216"/>
      <c r="BY189" s="216"/>
      <c r="BZ189" s="216"/>
      <c r="CA189" s="216"/>
      <c r="CB189" s="216"/>
      <c r="CC189" s="216"/>
      <c r="CD189" s="216"/>
      <c r="CE189" s="216"/>
      <c r="CF189" s="216"/>
      <c r="CG189" s="216"/>
      <c r="CH189" s="216"/>
      <c r="CI189" s="216"/>
      <c r="CJ189" s="216"/>
      <c r="CK189" s="216"/>
      <c r="CL189" s="216"/>
      <c r="CM189" s="216"/>
      <c r="CN189" s="216"/>
      <c r="CO189" s="216"/>
      <c r="CP189" s="216"/>
      <c r="CQ189" s="216"/>
    </row>
    <row r="190" spans="7:95" x14ac:dyDescent="0.25">
      <c r="J190" s="216"/>
      <c r="K190" s="217"/>
      <c r="L190" s="216"/>
      <c r="M190" s="216"/>
      <c r="N190" s="216"/>
      <c r="O190" s="216"/>
      <c r="P190" s="216"/>
      <c r="Q190" s="216"/>
      <c r="R190" s="216"/>
      <c r="S190" s="216"/>
      <c r="T190" s="216"/>
      <c r="U190" s="216"/>
      <c r="V190" s="216"/>
      <c r="W190" s="216"/>
      <c r="X190" s="216"/>
      <c r="Y190" s="216"/>
      <c r="Z190" s="216"/>
      <c r="AA190" s="216"/>
      <c r="AB190" s="216"/>
      <c r="AC190" s="216"/>
      <c r="AD190" s="216"/>
      <c r="AE190" s="216"/>
      <c r="AF190" s="216"/>
      <c r="AG190" s="216"/>
      <c r="AH190" s="216"/>
      <c r="AI190" s="216"/>
      <c r="AJ190" s="216"/>
      <c r="AK190" s="216"/>
      <c r="AL190" s="216"/>
      <c r="AM190" s="216"/>
      <c r="AN190" s="216"/>
      <c r="AO190" s="216"/>
      <c r="AP190" s="216"/>
      <c r="AQ190" s="216"/>
      <c r="AR190" s="216"/>
      <c r="AS190" s="216"/>
      <c r="AT190" s="216"/>
      <c r="AU190" s="216"/>
      <c r="AV190" s="216"/>
      <c r="AW190" s="216"/>
      <c r="AX190" s="216"/>
      <c r="AY190" s="216"/>
      <c r="AZ190" s="216"/>
      <c r="BA190" s="216"/>
      <c r="BB190" s="216"/>
      <c r="BC190" s="216"/>
      <c r="BD190" s="216"/>
      <c r="BE190" s="216"/>
      <c r="BF190" s="216"/>
      <c r="BG190" s="216"/>
      <c r="BH190" s="216"/>
      <c r="BI190" s="216"/>
      <c r="BJ190" s="216"/>
      <c r="BK190" s="216"/>
      <c r="BL190" s="216"/>
      <c r="BM190" s="216"/>
      <c r="BN190" s="216"/>
      <c r="BO190" s="216"/>
      <c r="BP190" s="216"/>
      <c r="BQ190" s="216"/>
      <c r="BR190" s="216"/>
      <c r="BS190" s="216"/>
      <c r="BT190" s="216"/>
      <c r="BU190" s="216"/>
      <c r="BV190" s="216"/>
      <c r="BW190" s="216"/>
      <c r="BX190" s="216"/>
      <c r="BY190" s="216"/>
      <c r="BZ190" s="216"/>
      <c r="CA190" s="216"/>
      <c r="CB190" s="216"/>
      <c r="CC190" s="216"/>
      <c r="CD190" s="216"/>
      <c r="CE190" s="216"/>
      <c r="CF190" s="216"/>
      <c r="CG190" s="216"/>
      <c r="CH190" s="216"/>
      <c r="CI190" s="216"/>
      <c r="CJ190" s="216"/>
      <c r="CK190" s="216"/>
      <c r="CL190" s="216"/>
      <c r="CM190" s="216"/>
      <c r="CN190" s="216"/>
      <c r="CO190" s="216"/>
      <c r="CP190" s="216"/>
      <c r="CQ190" s="216"/>
    </row>
    <row r="191" spans="7:95" x14ac:dyDescent="0.25">
      <c r="J191" s="216"/>
      <c r="K191" s="217"/>
      <c r="L191" s="216"/>
      <c r="M191" s="216"/>
      <c r="N191" s="216"/>
      <c r="O191" s="216"/>
      <c r="P191" s="216"/>
      <c r="Q191" s="216"/>
      <c r="R191" s="216"/>
      <c r="S191" s="216"/>
      <c r="T191" s="216"/>
      <c r="U191" s="216"/>
      <c r="V191" s="216"/>
      <c r="W191" s="216"/>
      <c r="X191" s="216"/>
      <c r="Y191" s="216"/>
      <c r="Z191" s="216"/>
      <c r="AA191" s="216"/>
      <c r="AB191" s="216"/>
      <c r="AC191" s="216"/>
      <c r="AD191" s="216"/>
      <c r="AE191" s="216"/>
      <c r="AF191" s="216"/>
      <c r="AG191" s="216"/>
      <c r="AH191" s="216"/>
      <c r="AI191" s="216"/>
      <c r="AJ191" s="216"/>
      <c r="AK191" s="216"/>
      <c r="AL191" s="216"/>
      <c r="AM191" s="216"/>
      <c r="AN191" s="216"/>
      <c r="AO191" s="216"/>
      <c r="AP191" s="216"/>
      <c r="AQ191" s="216"/>
      <c r="AR191" s="216"/>
      <c r="AS191" s="216"/>
      <c r="AT191" s="216"/>
      <c r="AU191" s="216"/>
      <c r="AV191" s="216"/>
      <c r="AW191" s="216"/>
      <c r="AX191" s="216"/>
      <c r="AY191" s="216"/>
      <c r="AZ191" s="216"/>
      <c r="BA191" s="216"/>
      <c r="BB191" s="216"/>
      <c r="BC191" s="216"/>
      <c r="BD191" s="216"/>
      <c r="BE191" s="216"/>
      <c r="BF191" s="216"/>
      <c r="BG191" s="216"/>
      <c r="BH191" s="216"/>
      <c r="BI191" s="216"/>
      <c r="BJ191" s="216"/>
      <c r="BK191" s="216"/>
      <c r="BL191" s="216"/>
      <c r="BM191" s="216"/>
      <c r="BN191" s="216"/>
      <c r="BO191" s="216"/>
      <c r="BP191" s="216"/>
      <c r="BQ191" s="216"/>
      <c r="BR191" s="216"/>
      <c r="BS191" s="216"/>
      <c r="BT191" s="216"/>
      <c r="BU191" s="216"/>
      <c r="BV191" s="216"/>
      <c r="BW191" s="216"/>
      <c r="BX191" s="216"/>
      <c r="BY191" s="216"/>
      <c r="BZ191" s="216"/>
      <c r="CA191" s="216"/>
      <c r="CB191" s="216"/>
      <c r="CC191" s="216"/>
      <c r="CD191" s="216"/>
      <c r="CE191" s="216"/>
      <c r="CF191" s="216"/>
      <c r="CG191" s="216"/>
      <c r="CH191" s="216"/>
      <c r="CI191" s="216"/>
      <c r="CJ191" s="216"/>
      <c r="CK191" s="216"/>
      <c r="CL191" s="216"/>
      <c r="CM191" s="216"/>
      <c r="CN191" s="216"/>
      <c r="CO191" s="216"/>
      <c r="CP191" s="216"/>
      <c r="CQ191" s="216"/>
    </row>
    <row r="192" spans="7:95" x14ac:dyDescent="0.25">
      <c r="J192" s="216"/>
      <c r="K192" s="217"/>
      <c r="L192" s="216"/>
      <c r="M192" s="216"/>
      <c r="N192" s="216"/>
      <c r="O192" s="216"/>
      <c r="P192" s="216"/>
      <c r="Q192" s="216"/>
      <c r="R192" s="216"/>
      <c r="S192" s="216"/>
      <c r="T192" s="216"/>
      <c r="U192" s="216"/>
      <c r="V192" s="216"/>
      <c r="W192" s="216"/>
      <c r="X192" s="216"/>
      <c r="Y192" s="216"/>
      <c r="Z192" s="216"/>
      <c r="AA192" s="216"/>
      <c r="AB192" s="216"/>
      <c r="AC192" s="216"/>
      <c r="AD192" s="216"/>
      <c r="AE192" s="216"/>
      <c r="AF192" s="216"/>
      <c r="AG192" s="216"/>
      <c r="AH192" s="216"/>
      <c r="AI192" s="216"/>
      <c r="AJ192" s="216"/>
      <c r="AK192" s="216"/>
      <c r="AL192" s="216"/>
      <c r="AM192" s="216"/>
      <c r="AN192" s="216"/>
      <c r="AO192" s="216"/>
      <c r="AP192" s="216"/>
      <c r="AQ192" s="216"/>
      <c r="AR192" s="216"/>
      <c r="AS192" s="216"/>
      <c r="AT192" s="216"/>
      <c r="AU192" s="216"/>
      <c r="AV192" s="216"/>
      <c r="AW192" s="216"/>
      <c r="AX192" s="216"/>
      <c r="AY192" s="216"/>
      <c r="AZ192" s="216"/>
      <c r="BA192" s="216"/>
      <c r="BB192" s="216"/>
      <c r="BC192" s="216"/>
      <c r="BD192" s="216"/>
      <c r="BE192" s="216"/>
      <c r="BF192" s="216"/>
      <c r="BG192" s="216"/>
      <c r="BH192" s="216"/>
      <c r="BI192" s="216"/>
      <c r="BJ192" s="216"/>
      <c r="BK192" s="216"/>
      <c r="BL192" s="216"/>
      <c r="BM192" s="216"/>
      <c r="BN192" s="216"/>
      <c r="BO192" s="216"/>
      <c r="BP192" s="216"/>
      <c r="BQ192" s="216"/>
      <c r="BR192" s="216"/>
      <c r="BS192" s="216"/>
      <c r="BT192" s="216"/>
      <c r="BU192" s="216"/>
      <c r="BV192" s="216"/>
      <c r="BW192" s="216"/>
      <c r="BX192" s="216"/>
      <c r="BY192" s="216"/>
      <c r="BZ192" s="216"/>
      <c r="CA192" s="216"/>
      <c r="CB192" s="216"/>
      <c r="CC192" s="216"/>
      <c r="CD192" s="216"/>
      <c r="CE192" s="216"/>
      <c r="CF192" s="216"/>
      <c r="CG192" s="216"/>
      <c r="CH192" s="216"/>
      <c r="CI192" s="216"/>
      <c r="CJ192" s="216"/>
      <c r="CK192" s="216"/>
      <c r="CL192" s="216"/>
      <c r="CM192" s="216"/>
      <c r="CN192" s="216"/>
      <c r="CO192" s="216"/>
      <c r="CP192" s="216"/>
      <c r="CQ192" s="216"/>
    </row>
    <row r="193" spans="10:95" x14ac:dyDescent="0.25">
      <c r="J193" s="216"/>
      <c r="K193" s="217"/>
      <c r="L193" s="216"/>
      <c r="M193" s="216"/>
      <c r="N193" s="216"/>
      <c r="O193" s="216"/>
      <c r="P193" s="216"/>
      <c r="Q193" s="216"/>
      <c r="R193" s="216"/>
      <c r="S193" s="216"/>
      <c r="T193" s="216"/>
      <c r="U193" s="216"/>
      <c r="V193" s="216"/>
      <c r="W193" s="216"/>
      <c r="X193" s="216"/>
      <c r="Y193" s="216"/>
      <c r="Z193" s="216"/>
      <c r="AA193" s="216"/>
      <c r="AB193" s="216"/>
      <c r="AC193" s="216"/>
      <c r="AD193" s="216"/>
      <c r="AE193" s="216"/>
      <c r="AF193" s="216"/>
      <c r="AG193" s="216"/>
      <c r="AH193" s="216"/>
      <c r="AI193" s="216"/>
      <c r="AJ193" s="216"/>
      <c r="AK193" s="216"/>
      <c r="AL193" s="216"/>
      <c r="AM193" s="216"/>
      <c r="AN193" s="216"/>
      <c r="AO193" s="216"/>
      <c r="AP193" s="216"/>
      <c r="AQ193" s="216"/>
      <c r="AR193" s="216"/>
      <c r="AS193" s="216"/>
      <c r="AT193" s="216"/>
      <c r="AU193" s="216"/>
      <c r="AV193" s="216"/>
      <c r="AW193" s="216"/>
      <c r="AX193" s="216"/>
      <c r="AY193" s="216"/>
      <c r="AZ193" s="216"/>
      <c r="BA193" s="216"/>
      <c r="BB193" s="216"/>
      <c r="BC193" s="216"/>
      <c r="BD193" s="216"/>
      <c r="BE193" s="216"/>
      <c r="BF193" s="216"/>
      <c r="BG193" s="216"/>
      <c r="BH193" s="216"/>
      <c r="BI193" s="216"/>
      <c r="BJ193" s="216"/>
      <c r="BK193" s="216"/>
      <c r="BL193" s="216"/>
      <c r="BM193" s="216"/>
      <c r="BN193" s="216"/>
      <c r="BO193" s="216"/>
      <c r="BP193" s="216"/>
      <c r="BQ193" s="216"/>
      <c r="BR193" s="216"/>
      <c r="BS193" s="216"/>
      <c r="BT193" s="216"/>
      <c r="BU193" s="216"/>
      <c r="BV193" s="216"/>
      <c r="BW193" s="216"/>
      <c r="BX193" s="216"/>
      <c r="BY193" s="216"/>
      <c r="BZ193" s="216"/>
      <c r="CA193" s="216"/>
      <c r="CB193" s="216"/>
      <c r="CC193" s="216"/>
      <c r="CD193" s="216"/>
      <c r="CE193" s="216"/>
      <c r="CF193" s="216"/>
      <c r="CG193" s="216"/>
      <c r="CH193" s="216"/>
      <c r="CI193" s="216"/>
      <c r="CJ193" s="216"/>
      <c r="CK193" s="216"/>
      <c r="CL193" s="216"/>
      <c r="CM193" s="216"/>
      <c r="CN193" s="216"/>
      <c r="CO193" s="216"/>
      <c r="CP193" s="216"/>
      <c r="CQ193" s="216"/>
    </row>
    <row r="194" spans="10:95" x14ac:dyDescent="0.25">
      <c r="J194" s="216"/>
      <c r="K194" s="217"/>
      <c r="L194" s="216"/>
      <c r="M194" s="216"/>
      <c r="N194" s="216"/>
      <c r="O194" s="216"/>
      <c r="P194" s="216"/>
      <c r="Q194" s="216"/>
      <c r="R194" s="216"/>
      <c r="S194" s="216"/>
      <c r="T194" s="216"/>
      <c r="U194" s="216"/>
      <c r="V194" s="216"/>
      <c r="W194" s="216"/>
      <c r="X194" s="216"/>
      <c r="Y194" s="216"/>
      <c r="Z194" s="216"/>
      <c r="AA194" s="216"/>
      <c r="AB194" s="216"/>
      <c r="AC194" s="216"/>
      <c r="AD194" s="216"/>
      <c r="AE194" s="216"/>
      <c r="AF194" s="216"/>
      <c r="AG194" s="216"/>
      <c r="AH194" s="216"/>
      <c r="AI194" s="216"/>
      <c r="AJ194" s="216"/>
      <c r="AK194" s="216"/>
      <c r="AL194" s="216"/>
      <c r="AM194" s="216"/>
      <c r="AN194" s="216"/>
      <c r="AO194" s="216"/>
      <c r="AP194" s="216"/>
      <c r="AQ194" s="216"/>
      <c r="AR194" s="216"/>
      <c r="AS194" s="216"/>
      <c r="AT194" s="216"/>
      <c r="AU194" s="216"/>
      <c r="AV194" s="216"/>
      <c r="AW194" s="216"/>
      <c r="AX194" s="216"/>
      <c r="AY194" s="216"/>
      <c r="AZ194" s="216"/>
      <c r="BA194" s="216"/>
      <c r="BB194" s="216"/>
      <c r="BC194" s="216"/>
      <c r="BD194" s="216"/>
      <c r="BE194" s="216"/>
      <c r="BF194" s="216"/>
      <c r="BG194" s="216"/>
      <c r="BH194" s="216"/>
      <c r="BI194" s="216"/>
      <c r="BJ194" s="216"/>
      <c r="BK194" s="216"/>
      <c r="BL194" s="216"/>
      <c r="BM194" s="216"/>
      <c r="BN194" s="216"/>
      <c r="BO194" s="216"/>
      <c r="BP194" s="216"/>
      <c r="BQ194" s="216"/>
      <c r="BR194" s="216"/>
      <c r="BS194" s="216"/>
      <c r="BT194" s="216"/>
      <c r="BU194" s="216"/>
      <c r="BV194" s="216"/>
      <c r="BW194" s="216"/>
      <c r="BX194" s="216"/>
      <c r="BY194" s="216"/>
      <c r="BZ194" s="216"/>
      <c r="CA194" s="216"/>
      <c r="CB194" s="216"/>
      <c r="CC194" s="216"/>
      <c r="CD194" s="216"/>
      <c r="CE194" s="216"/>
      <c r="CF194" s="216"/>
      <c r="CG194" s="216"/>
      <c r="CH194" s="216"/>
      <c r="CI194" s="216"/>
      <c r="CJ194" s="216"/>
      <c r="CK194" s="216"/>
      <c r="CL194" s="216"/>
      <c r="CM194" s="216"/>
      <c r="CN194" s="216"/>
      <c r="CO194" s="216"/>
      <c r="CP194" s="216"/>
      <c r="CQ194" s="216"/>
    </row>
    <row r="195" spans="10:95" x14ac:dyDescent="0.25">
      <c r="J195" s="216"/>
      <c r="K195" s="217"/>
      <c r="L195" s="216"/>
      <c r="M195" s="216"/>
      <c r="N195" s="216"/>
      <c r="O195" s="216"/>
      <c r="P195" s="216"/>
      <c r="Q195" s="216"/>
      <c r="R195" s="216"/>
      <c r="S195" s="216"/>
      <c r="T195" s="216"/>
      <c r="U195" s="216"/>
      <c r="V195" s="216"/>
      <c r="W195" s="216"/>
      <c r="X195" s="216"/>
      <c r="Y195" s="216"/>
      <c r="Z195" s="216"/>
      <c r="AA195" s="216"/>
      <c r="AB195" s="216"/>
      <c r="AC195" s="216"/>
      <c r="AD195" s="216"/>
      <c r="AE195" s="216"/>
      <c r="AF195" s="216"/>
      <c r="AG195" s="216"/>
      <c r="AH195" s="216"/>
      <c r="AI195" s="216"/>
      <c r="AJ195" s="216"/>
      <c r="AK195" s="216"/>
      <c r="AL195" s="216"/>
      <c r="AM195" s="216"/>
      <c r="AN195" s="216"/>
      <c r="AO195" s="216"/>
      <c r="AP195" s="216"/>
      <c r="AQ195" s="216"/>
      <c r="AR195" s="216"/>
      <c r="AS195" s="216"/>
      <c r="AT195" s="216"/>
      <c r="AU195" s="216"/>
      <c r="AV195" s="216"/>
      <c r="AW195" s="216"/>
      <c r="AX195" s="216"/>
      <c r="AY195" s="216"/>
      <c r="AZ195" s="216"/>
      <c r="BA195" s="216"/>
      <c r="BB195" s="216"/>
      <c r="BC195" s="216"/>
      <c r="BD195" s="216"/>
      <c r="BE195" s="216"/>
      <c r="BF195" s="216"/>
      <c r="BG195" s="216"/>
      <c r="BH195" s="216"/>
      <c r="BI195" s="216"/>
      <c r="BJ195" s="216"/>
      <c r="BK195" s="216"/>
      <c r="BL195" s="216"/>
      <c r="BM195" s="216"/>
      <c r="BN195" s="216"/>
      <c r="BO195" s="216"/>
      <c r="BP195" s="216"/>
      <c r="BQ195" s="216"/>
      <c r="BR195" s="216"/>
      <c r="BS195" s="216"/>
      <c r="BT195" s="216"/>
      <c r="BU195" s="216"/>
      <c r="BV195" s="216"/>
      <c r="BW195" s="216"/>
      <c r="BX195" s="216"/>
      <c r="BY195" s="216"/>
      <c r="BZ195" s="216"/>
      <c r="CA195" s="216"/>
      <c r="CB195" s="216"/>
      <c r="CC195" s="216"/>
      <c r="CD195" s="216"/>
      <c r="CE195" s="216"/>
      <c r="CF195" s="216"/>
      <c r="CG195" s="216"/>
      <c r="CH195" s="216"/>
      <c r="CI195" s="216"/>
      <c r="CJ195" s="216"/>
      <c r="CK195" s="216"/>
      <c r="CL195" s="216"/>
      <c r="CM195" s="216"/>
      <c r="CN195" s="216"/>
      <c r="CO195" s="216"/>
      <c r="CP195" s="216"/>
      <c r="CQ195" s="216"/>
    </row>
    <row r="196" spans="10:95" x14ac:dyDescent="0.25">
      <c r="J196" s="216"/>
      <c r="K196" s="217"/>
      <c r="L196" s="216"/>
      <c r="M196" s="216"/>
      <c r="N196" s="216"/>
      <c r="O196" s="216"/>
      <c r="P196" s="216"/>
      <c r="Q196" s="216"/>
      <c r="R196" s="216"/>
      <c r="S196" s="216"/>
      <c r="T196" s="216"/>
      <c r="U196" s="216"/>
      <c r="V196" s="216"/>
      <c r="W196" s="216"/>
      <c r="X196" s="216"/>
      <c r="Y196" s="216"/>
      <c r="Z196" s="216"/>
      <c r="AA196" s="216"/>
      <c r="AB196" s="216"/>
      <c r="AC196" s="216"/>
      <c r="AD196" s="216"/>
      <c r="AE196" s="216"/>
      <c r="AF196" s="216"/>
      <c r="AG196" s="216"/>
      <c r="AH196" s="216"/>
      <c r="AI196" s="216"/>
      <c r="AJ196" s="216"/>
      <c r="AK196" s="216"/>
      <c r="AL196" s="216"/>
      <c r="AM196" s="216"/>
      <c r="AN196" s="216"/>
      <c r="AO196" s="216"/>
      <c r="AP196" s="216"/>
      <c r="AQ196" s="216"/>
      <c r="AR196" s="216"/>
      <c r="AS196" s="216"/>
      <c r="AT196" s="216"/>
      <c r="AU196" s="216"/>
      <c r="AV196" s="216"/>
      <c r="AW196" s="216"/>
      <c r="AX196" s="216"/>
      <c r="AY196" s="216"/>
      <c r="AZ196" s="216"/>
      <c r="BA196" s="216"/>
      <c r="BB196" s="216"/>
      <c r="BC196" s="216"/>
      <c r="BD196" s="216"/>
      <c r="BE196" s="216"/>
      <c r="BF196" s="216"/>
      <c r="BG196" s="216"/>
      <c r="BH196" s="216"/>
      <c r="BI196" s="216"/>
      <c r="BJ196" s="216"/>
      <c r="BK196" s="216"/>
      <c r="BL196" s="216"/>
      <c r="BM196" s="216"/>
      <c r="BN196" s="216"/>
      <c r="BO196" s="216"/>
      <c r="BP196" s="216"/>
      <c r="BQ196" s="216"/>
      <c r="BR196" s="216"/>
      <c r="BS196" s="216"/>
      <c r="BT196" s="216"/>
      <c r="BU196" s="216"/>
      <c r="BV196" s="216"/>
      <c r="BW196" s="216"/>
      <c r="BX196" s="216"/>
      <c r="BY196" s="216"/>
      <c r="BZ196" s="216"/>
      <c r="CA196" s="216"/>
      <c r="CB196" s="216"/>
      <c r="CC196" s="216"/>
      <c r="CD196" s="216"/>
      <c r="CE196" s="216"/>
      <c r="CF196" s="216"/>
      <c r="CG196" s="216"/>
      <c r="CH196" s="216"/>
      <c r="CI196" s="216"/>
      <c r="CJ196" s="216"/>
      <c r="CK196" s="216"/>
      <c r="CL196" s="216"/>
      <c r="CM196" s="216"/>
      <c r="CN196" s="216"/>
      <c r="CO196" s="216"/>
      <c r="CP196" s="216"/>
      <c r="CQ196" s="216"/>
    </row>
    <row r="197" spans="10:95" x14ac:dyDescent="0.25">
      <c r="J197" s="216"/>
      <c r="K197" s="217"/>
      <c r="L197" s="216"/>
      <c r="M197" s="216"/>
      <c r="N197" s="216"/>
      <c r="O197" s="216"/>
      <c r="P197" s="216"/>
      <c r="Q197" s="216"/>
      <c r="R197" s="216"/>
      <c r="S197" s="216"/>
      <c r="T197" s="216"/>
      <c r="U197" s="216"/>
      <c r="V197" s="216"/>
      <c r="W197" s="216"/>
      <c r="X197" s="216"/>
      <c r="Y197" s="216"/>
      <c r="Z197" s="216"/>
      <c r="AA197" s="216"/>
      <c r="AB197" s="216"/>
      <c r="AC197" s="216"/>
      <c r="AD197" s="216"/>
      <c r="AE197" s="216"/>
      <c r="AF197" s="216"/>
      <c r="AG197" s="216"/>
      <c r="AH197" s="216"/>
      <c r="AI197" s="216"/>
      <c r="AJ197" s="216"/>
      <c r="AK197" s="216"/>
      <c r="AL197" s="216"/>
      <c r="AM197" s="216"/>
      <c r="AN197" s="216"/>
      <c r="AO197" s="216"/>
      <c r="AP197" s="216"/>
      <c r="AQ197" s="216"/>
      <c r="AR197" s="216"/>
      <c r="AS197" s="216"/>
      <c r="AT197" s="216"/>
      <c r="AU197" s="216"/>
      <c r="AV197" s="216"/>
      <c r="AW197" s="216"/>
      <c r="AX197" s="216"/>
      <c r="AY197" s="216"/>
      <c r="AZ197" s="216"/>
      <c r="BA197" s="216"/>
      <c r="BB197" s="216"/>
      <c r="BC197" s="216"/>
      <c r="BD197" s="216"/>
      <c r="BE197" s="216"/>
      <c r="BF197" s="216"/>
      <c r="BG197" s="216"/>
      <c r="BH197" s="216"/>
      <c r="BI197" s="216"/>
      <c r="BJ197" s="216"/>
      <c r="BK197" s="216"/>
      <c r="BL197" s="216"/>
      <c r="BM197" s="216"/>
      <c r="BN197" s="216"/>
      <c r="BO197" s="216"/>
      <c r="BP197" s="216"/>
      <c r="BQ197" s="216"/>
      <c r="BR197" s="216"/>
      <c r="BS197" s="216"/>
      <c r="BT197" s="216"/>
      <c r="BU197" s="216"/>
      <c r="BV197" s="216"/>
      <c r="BW197" s="216"/>
      <c r="BX197" s="216"/>
      <c r="BY197" s="216"/>
      <c r="BZ197" s="216"/>
      <c r="CA197" s="216"/>
      <c r="CB197" s="216"/>
      <c r="CC197" s="216"/>
      <c r="CD197" s="216"/>
      <c r="CE197" s="216"/>
      <c r="CF197" s="216"/>
      <c r="CG197" s="216"/>
      <c r="CH197" s="216"/>
      <c r="CI197" s="216"/>
      <c r="CJ197" s="216"/>
      <c r="CK197" s="216"/>
      <c r="CL197" s="216"/>
      <c r="CM197" s="216"/>
      <c r="CN197" s="216"/>
      <c r="CO197" s="216"/>
      <c r="CP197" s="216"/>
      <c r="CQ197" s="216"/>
    </row>
    <row r="198" spans="10:95" x14ac:dyDescent="0.25">
      <c r="J198" s="216"/>
      <c r="K198" s="217"/>
      <c r="L198" s="216"/>
      <c r="M198" s="216"/>
      <c r="N198" s="216"/>
      <c r="O198" s="216"/>
      <c r="P198" s="216"/>
      <c r="Q198" s="216"/>
      <c r="R198" s="216"/>
      <c r="S198" s="216"/>
      <c r="T198" s="216"/>
      <c r="U198" s="216"/>
      <c r="V198" s="216"/>
      <c r="W198" s="216"/>
      <c r="X198" s="216"/>
      <c r="Y198" s="216"/>
      <c r="Z198" s="216"/>
      <c r="AA198" s="216"/>
      <c r="AB198" s="216"/>
      <c r="AC198" s="216"/>
      <c r="AD198" s="216"/>
      <c r="AE198" s="216"/>
      <c r="AF198" s="216"/>
      <c r="AG198" s="216"/>
      <c r="AH198" s="216"/>
      <c r="AI198" s="216"/>
      <c r="AJ198" s="216"/>
      <c r="AK198" s="216"/>
      <c r="AL198" s="216"/>
      <c r="AM198" s="216"/>
      <c r="AN198" s="216"/>
      <c r="AO198" s="216"/>
      <c r="AP198" s="216"/>
      <c r="AQ198" s="216"/>
      <c r="AR198" s="216"/>
      <c r="AS198" s="216"/>
      <c r="AT198" s="216"/>
      <c r="AU198" s="216"/>
      <c r="AV198" s="216"/>
      <c r="AW198" s="216"/>
      <c r="AX198" s="216"/>
      <c r="AY198" s="216"/>
      <c r="AZ198" s="216"/>
      <c r="BA198" s="216"/>
      <c r="BB198" s="216"/>
      <c r="BC198" s="216"/>
      <c r="BD198" s="216"/>
      <c r="BE198" s="216"/>
      <c r="BF198" s="216"/>
      <c r="BG198" s="216"/>
      <c r="BH198" s="216"/>
      <c r="BI198" s="216"/>
      <c r="BJ198" s="216"/>
      <c r="BK198" s="216"/>
      <c r="BL198" s="216"/>
      <c r="BM198" s="216"/>
      <c r="BN198" s="216"/>
      <c r="BO198" s="216"/>
      <c r="BP198" s="216"/>
      <c r="BQ198" s="216"/>
      <c r="BR198" s="216"/>
      <c r="BS198" s="216"/>
      <c r="BT198" s="216"/>
      <c r="BU198" s="216"/>
      <c r="BV198" s="216"/>
      <c r="BW198" s="216"/>
      <c r="BX198" s="216"/>
      <c r="BY198" s="216"/>
      <c r="BZ198" s="216"/>
      <c r="CA198" s="216"/>
      <c r="CB198" s="216"/>
      <c r="CC198" s="216"/>
      <c r="CD198" s="216"/>
      <c r="CE198" s="216"/>
      <c r="CF198" s="216"/>
      <c r="CG198" s="216"/>
      <c r="CH198" s="216"/>
      <c r="CI198" s="216"/>
      <c r="CJ198" s="216"/>
      <c r="CK198" s="216"/>
      <c r="CL198" s="216"/>
      <c r="CM198" s="216"/>
      <c r="CN198" s="216"/>
      <c r="CO198" s="216"/>
      <c r="CP198" s="216"/>
      <c r="CQ198" s="216"/>
    </row>
    <row r="199" spans="10:95" x14ac:dyDescent="0.25">
      <c r="J199" s="216"/>
      <c r="K199" s="217"/>
      <c r="L199" s="216"/>
      <c r="M199" s="216"/>
      <c r="N199" s="216"/>
      <c r="O199" s="216"/>
      <c r="P199" s="216"/>
      <c r="Q199" s="216"/>
      <c r="R199" s="216"/>
      <c r="S199" s="216"/>
      <c r="T199" s="216"/>
      <c r="U199" s="216"/>
      <c r="V199" s="216"/>
      <c r="W199" s="216"/>
      <c r="X199" s="216"/>
      <c r="Y199" s="216"/>
      <c r="Z199" s="216"/>
      <c r="AA199" s="216"/>
      <c r="AB199" s="216"/>
      <c r="AC199" s="216"/>
      <c r="AD199" s="216"/>
      <c r="AE199" s="216"/>
      <c r="AF199" s="216"/>
      <c r="AG199" s="216"/>
      <c r="AH199" s="216"/>
      <c r="AI199" s="216"/>
      <c r="AJ199" s="216"/>
      <c r="AK199" s="216"/>
      <c r="AL199" s="216"/>
      <c r="AM199" s="216"/>
      <c r="AN199" s="216"/>
      <c r="AO199" s="216"/>
      <c r="AP199" s="216"/>
      <c r="AQ199" s="216"/>
      <c r="AR199" s="216"/>
      <c r="AS199" s="216"/>
      <c r="AT199" s="216"/>
      <c r="AU199" s="216"/>
      <c r="AV199" s="216"/>
      <c r="AW199" s="216"/>
      <c r="AX199" s="216"/>
      <c r="AY199" s="216"/>
      <c r="AZ199" s="216"/>
      <c r="BA199" s="216"/>
      <c r="BB199" s="216"/>
      <c r="BC199" s="216"/>
      <c r="BD199" s="216"/>
      <c r="BE199" s="216"/>
      <c r="BF199" s="216"/>
      <c r="BG199" s="216"/>
      <c r="BH199" s="216"/>
      <c r="BI199" s="216"/>
      <c r="BJ199" s="216"/>
      <c r="BK199" s="216"/>
      <c r="BL199" s="216"/>
      <c r="BM199" s="216"/>
      <c r="BN199" s="216"/>
      <c r="BO199" s="216"/>
      <c r="BP199" s="216"/>
      <c r="BQ199" s="216"/>
      <c r="BR199" s="216"/>
      <c r="BS199" s="216"/>
      <c r="BT199" s="216"/>
      <c r="BU199" s="216"/>
      <c r="BV199" s="216"/>
      <c r="BW199" s="216"/>
      <c r="BX199" s="216"/>
      <c r="BY199" s="216"/>
      <c r="BZ199" s="216"/>
      <c r="CA199" s="216"/>
      <c r="CB199" s="216"/>
      <c r="CC199" s="216"/>
      <c r="CD199" s="216"/>
      <c r="CE199" s="216"/>
      <c r="CF199" s="216"/>
      <c r="CG199" s="216"/>
      <c r="CH199" s="216"/>
      <c r="CI199" s="216"/>
      <c r="CJ199" s="216"/>
      <c r="CK199" s="216"/>
      <c r="CL199" s="216"/>
      <c r="CM199" s="216"/>
      <c r="CN199" s="216"/>
      <c r="CO199" s="216"/>
      <c r="CP199" s="216"/>
      <c r="CQ199" s="216"/>
    </row>
    <row r="200" spans="10:95" x14ac:dyDescent="0.25">
      <c r="J200" s="216"/>
      <c r="K200" s="217"/>
      <c r="L200" s="216"/>
      <c r="M200" s="216"/>
      <c r="N200" s="216"/>
      <c r="O200" s="216"/>
      <c r="P200" s="216"/>
      <c r="Q200" s="216"/>
      <c r="R200" s="216"/>
      <c r="S200" s="216"/>
      <c r="T200" s="216"/>
      <c r="U200" s="216"/>
      <c r="V200" s="216"/>
      <c r="W200" s="216"/>
      <c r="X200" s="216"/>
      <c r="Y200" s="216"/>
      <c r="Z200" s="216"/>
      <c r="AA200" s="216"/>
      <c r="AB200" s="216"/>
      <c r="AC200" s="216"/>
      <c r="AD200" s="216"/>
      <c r="AE200" s="216"/>
      <c r="AF200" s="216"/>
      <c r="AG200" s="216"/>
      <c r="AH200" s="216"/>
      <c r="AI200" s="216"/>
      <c r="AJ200" s="216"/>
      <c r="AK200" s="216"/>
      <c r="AL200" s="216"/>
      <c r="AM200" s="216"/>
      <c r="AN200" s="216"/>
      <c r="AO200" s="216"/>
      <c r="AP200" s="216"/>
      <c r="AQ200" s="216"/>
      <c r="AR200" s="216"/>
      <c r="AS200" s="216"/>
      <c r="AT200" s="216"/>
      <c r="AU200" s="216"/>
      <c r="AV200" s="216"/>
      <c r="AW200" s="216"/>
      <c r="AX200" s="216"/>
      <c r="AY200" s="216"/>
      <c r="AZ200" s="216"/>
      <c r="BA200" s="216"/>
      <c r="BB200" s="216"/>
      <c r="BC200" s="216"/>
      <c r="BD200" s="216"/>
      <c r="BE200" s="216"/>
      <c r="BF200" s="216"/>
      <c r="BG200" s="216"/>
      <c r="BH200" s="216"/>
      <c r="BI200" s="216"/>
      <c r="BJ200" s="216"/>
      <c r="BK200" s="216"/>
      <c r="BL200" s="216"/>
      <c r="BM200" s="216"/>
      <c r="BN200" s="216"/>
      <c r="BO200" s="216"/>
      <c r="BP200" s="216"/>
      <c r="BQ200" s="216"/>
      <c r="BR200" s="216"/>
      <c r="BS200" s="216"/>
      <c r="BT200" s="216"/>
      <c r="BU200" s="216"/>
      <c r="BV200" s="216"/>
      <c r="BW200" s="216"/>
      <c r="BX200" s="216"/>
      <c r="BY200" s="216"/>
      <c r="BZ200" s="216"/>
      <c r="CA200" s="216"/>
      <c r="CB200" s="216"/>
      <c r="CC200" s="216"/>
      <c r="CD200" s="216"/>
      <c r="CE200" s="216"/>
      <c r="CF200" s="216"/>
      <c r="CG200" s="216"/>
      <c r="CH200" s="216"/>
      <c r="CI200" s="216"/>
      <c r="CJ200" s="216"/>
      <c r="CK200" s="216"/>
      <c r="CL200" s="216"/>
      <c r="CM200" s="216"/>
      <c r="CN200" s="216"/>
      <c r="CO200" s="216"/>
      <c r="CP200" s="216"/>
      <c r="CQ200" s="216"/>
    </row>
    <row r="201" spans="10:95" x14ac:dyDescent="0.25">
      <c r="J201" s="216"/>
      <c r="K201" s="217"/>
      <c r="L201" s="216"/>
      <c r="M201" s="216"/>
      <c r="N201" s="216"/>
      <c r="O201" s="216"/>
      <c r="P201" s="216"/>
      <c r="Q201" s="216"/>
      <c r="R201" s="216"/>
      <c r="S201" s="216"/>
      <c r="T201" s="216"/>
      <c r="U201" s="216"/>
      <c r="V201" s="216"/>
      <c r="W201" s="216"/>
      <c r="X201" s="216"/>
      <c r="Y201" s="216"/>
      <c r="Z201" s="216"/>
      <c r="AA201" s="216"/>
      <c r="AB201" s="216"/>
      <c r="AC201" s="216"/>
      <c r="AD201" s="216"/>
      <c r="AE201" s="216"/>
      <c r="AF201" s="216"/>
      <c r="AG201" s="216"/>
      <c r="AH201" s="216"/>
      <c r="AI201" s="216"/>
      <c r="AJ201" s="216"/>
      <c r="AK201" s="216"/>
      <c r="AL201" s="216"/>
      <c r="AM201" s="216"/>
      <c r="AN201" s="216"/>
      <c r="AO201" s="216"/>
      <c r="AP201" s="216"/>
      <c r="AQ201" s="216"/>
      <c r="AR201" s="216"/>
      <c r="AS201" s="216"/>
      <c r="AT201" s="216"/>
      <c r="AU201" s="216"/>
      <c r="AV201" s="216"/>
      <c r="AW201" s="216"/>
      <c r="AX201" s="216"/>
      <c r="AY201" s="216"/>
      <c r="AZ201" s="216"/>
      <c r="BA201" s="216"/>
      <c r="BB201" s="216"/>
      <c r="BC201" s="216"/>
      <c r="BD201" s="216"/>
      <c r="BE201" s="216"/>
      <c r="BF201" s="216"/>
      <c r="BG201" s="216"/>
      <c r="BH201" s="216"/>
      <c r="BI201" s="216"/>
      <c r="BJ201" s="216"/>
      <c r="BK201" s="216"/>
      <c r="BL201" s="216"/>
      <c r="BM201" s="216"/>
      <c r="BN201" s="216"/>
      <c r="BO201" s="216"/>
      <c r="BP201" s="216"/>
      <c r="BQ201" s="216"/>
      <c r="BR201" s="216"/>
      <c r="BS201" s="216"/>
      <c r="BT201" s="216"/>
      <c r="BU201" s="216"/>
      <c r="BV201" s="216"/>
      <c r="BW201" s="216"/>
      <c r="BX201" s="216"/>
      <c r="BY201" s="216"/>
      <c r="BZ201" s="216"/>
      <c r="CA201" s="216"/>
      <c r="CB201" s="216"/>
      <c r="CC201" s="216"/>
      <c r="CD201" s="216"/>
      <c r="CE201" s="216"/>
      <c r="CF201" s="216"/>
      <c r="CG201" s="216"/>
      <c r="CH201" s="216"/>
      <c r="CI201" s="216"/>
      <c r="CJ201" s="216"/>
      <c r="CK201" s="216"/>
      <c r="CL201" s="216"/>
      <c r="CM201" s="216"/>
      <c r="CN201" s="216"/>
      <c r="CO201" s="216"/>
      <c r="CP201" s="216"/>
      <c r="CQ201" s="216"/>
    </row>
    <row r="202" spans="10:95" x14ac:dyDescent="0.25">
      <c r="J202" s="216"/>
      <c r="K202" s="217"/>
      <c r="L202" s="216"/>
      <c r="M202" s="216"/>
      <c r="N202" s="216"/>
      <c r="O202" s="216"/>
      <c r="P202" s="216"/>
      <c r="Q202" s="216"/>
      <c r="R202" s="216"/>
      <c r="S202" s="216"/>
      <c r="T202" s="216"/>
      <c r="U202" s="216"/>
      <c r="V202" s="216"/>
      <c r="W202" s="216"/>
      <c r="X202" s="216"/>
      <c r="Y202" s="216"/>
      <c r="Z202" s="216"/>
      <c r="AA202" s="216"/>
      <c r="AB202" s="216"/>
      <c r="AC202" s="216"/>
      <c r="AD202" s="216"/>
      <c r="AE202" s="216"/>
      <c r="AF202" s="216"/>
      <c r="AG202" s="216"/>
      <c r="AH202" s="216"/>
      <c r="AI202" s="216"/>
      <c r="AJ202" s="216"/>
      <c r="AK202" s="216"/>
      <c r="AL202" s="216"/>
      <c r="AM202" s="216"/>
      <c r="AN202" s="216"/>
      <c r="AO202" s="216"/>
      <c r="AP202" s="216"/>
      <c r="AQ202" s="216"/>
      <c r="AR202" s="216"/>
      <c r="AS202" s="216"/>
      <c r="AT202" s="216"/>
      <c r="AU202" s="216"/>
      <c r="AV202" s="216"/>
      <c r="AW202" s="216"/>
      <c r="AX202" s="216"/>
      <c r="AY202" s="216"/>
      <c r="AZ202" s="216"/>
      <c r="BA202" s="216"/>
      <c r="BB202" s="216"/>
      <c r="BC202" s="216"/>
      <c r="BD202" s="216"/>
      <c r="BE202" s="216"/>
      <c r="BF202" s="216"/>
      <c r="BG202" s="216"/>
      <c r="BH202" s="216"/>
      <c r="BI202" s="216"/>
      <c r="BJ202" s="216"/>
      <c r="BK202" s="216"/>
      <c r="BL202" s="216"/>
      <c r="BM202" s="216"/>
      <c r="BN202" s="216"/>
      <c r="BO202" s="216"/>
      <c r="BP202" s="216"/>
      <c r="BQ202" s="216"/>
      <c r="BR202" s="216"/>
      <c r="BS202" s="216"/>
      <c r="BT202" s="216"/>
      <c r="BU202" s="216"/>
      <c r="BV202" s="216"/>
      <c r="BW202" s="216"/>
      <c r="BX202" s="216"/>
      <c r="BY202" s="216"/>
      <c r="BZ202" s="216"/>
      <c r="CA202" s="216"/>
      <c r="CB202" s="216"/>
      <c r="CC202" s="216"/>
      <c r="CD202" s="216"/>
      <c r="CE202" s="216"/>
      <c r="CF202" s="216"/>
      <c r="CG202" s="216"/>
      <c r="CH202" s="216"/>
      <c r="CI202" s="216"/>
      <c r="CJ202" s="216"/>
      <c r="CK202" s="216"/>
      <c r="CL202" s="216"/>
      <c r="CM202" s="216"/>
      <c r="CN202" s="216"/>
      <c r="CO202" s="216"/>
      <c r="CP202" s="216"/>
      <c r="CQ202" s="216"/>
    </row>
    <row r="203" spans="10:95" x14ac:dyDescent="0.25">
      <c r="J203" s="216"/>
      <c r="K203" s="217"/>
      <c r="L203" s="216"/>
      <c r="M203" s="216"/>
      <c r="N203" s="216"/>
      <c r="O203" s="216"/>
      <c r="P203" s="216"/>
      <c r="Q203" s="216"/>
      <c r="R203" s="216"/>
      <c r="S203" s="216"/>
      <c r="T203" s="216"/>
      <c r="U203" s="216"/>
      <c r="V203" s="216"/>
      <c r="W203" s="216"/>
      <c r="X203" s="216"/>
      <c r="Y203" s="216"/>
      <c r="Z203" s="216"/>
      <c r="AA203" s="216"/>
      <c r="AB203" s="216"/>
      <c r="AC203" s="216"/>
      <c r="AD203" s="216"/>
      <c r="AE203" s="216"/>
      <c r="AF203" s="216"/>
      <c r="AG203" s="216"/>
      <c r="AH203" s="216"/>
      <c r="AI203" s="216"/>
      <c r="AJ203" s="216"/>
      <c r="AK203" s="216"/>
      <c r="AL203" s="216"/>
      <c r="AM203" s="216"/>
      <c r="AN203" s="216"/>
      <c r="AO203" s="216"/>
      <c r="AP203" s="216"/>
      <c r="AQ203" s="216"/>
      <c r="AR203" s="216"/>
      <c r="AS203" s="216"/>
      <c r="AT203" s="216"/>
      <c r="AU203" s="216"/>
      <c r="AV203" s="216"/>
      <c r="AW203" s="216"/>
      <c r="AX203" s="216"/>
      <c r="AY203" s="216"/>
      <c r="AZ203" s="216"/>
      <c r="BA203" s="216"/>
      <c r="BB203" s="216"/>
      <c r="BC203" s="216"/>
      <c r="BD203" s="216"/>
      <c r="BE203" s="216"/>
      <c r="BF203" s="216"/>
      <c r="BG203" s="216"/>
      <c r="BH203" s="216"/>
      <c r="BI203" s="216"/>
      <c r="BJ203" s="216"/>
      <c r="BK203" s="216"/>
      <c r="BL203" s="216"/>
      <c r="BM203" s="216"/>
      <c r="BN203" s="216"/>
      <c r="BO203" s="216"/>
      <c r="BP203" s="216"/>
      <c r="BQ203" s="216"/>
      <c r="BR203" s="216"/>
      <c r="BS203" s="216"/>
      <c r="BT203" s="216"/>
      <c r="BU203" s="216"/>
      <c r="BV203" s="216"/>
      <c r="BW203" s="216"/>
      <c r="BX203" s="216"/>
      <c r="BY203" s="216"/>
      <c r="BZ203" s="216"/>
      <c r="CA203" s="216"/>
      <c r="CB203" s="216"/>
      <c r="CC203" s="216"/>
      <c r="CD203" s="216"/>
      <c r="CE203" s="216"/>
      <c r="CF203" s="216"/>
      <c r="CG203" s="216"/>
      <c r="CH203" s="216"/>
      <c r="CI203" s="216"/>
      <c r="CJ203" s="216"/>
      <c r="CK203" s="216"/>
      <c r="CL203" s="216"/>
      <c r="CM203" s="216"/>
      <c r="CN203" s="216"/>
      <c r="CO203" s="216"/>
      <c r="CP203" s="216"/>
      <c r="CQ203" s="216"/>
    </row>
    <row r="204" spans="10:95" x14ac:dyDescent="0.25">
      <c r="J204" s="216"/>
      <c r="K204" s="217"/>
      <c r="L204" s="216"/>
      <c r="M204" s="216"/>
      <c r="N204" s="216"/>
      <c r="O204" s="216"/>
      <c r="P204" s="216"/>
      <c r="Q204" s="216"/>
      <c r="R204" s="216"/>
      <c r="S204" s="216"/>
      <c r="T204" s="216"/>
      <c r="U204" s="216"/>
      <c r="V204" s="216"/>
      <c r="W204" s="216"/>
      <c r="X204" s="216"/>
      <c r="Y204" s="216"/>
      <c r="Z204" s="216"/>
      <c r="AA204" s="216"/>
      <c r="AB204" s="216"/>
      <c r="AC204" s="216"/>
      <c r="AD204" s="216"/>
      <c r="AE204" s="216"/>
      <c r="AF204" s="216"/>
      <c r="AG204" s="216"/>
      <c r="AH204" s="216"/>
      <c r="AI204" s="216"/>
      <c r="AJ204" s="216"/>
      <c r="AK204" s="216"/>
      <c r="AL204" s="216"/>
      <c r="AM204" s="216"/>
      <c r="AN204" s="216"/>
      <c r="AO204" s="216"/>
      <c r="AP204" s="216"/>
      <c r="AQ204" s="216"/>
      <c r="AR204" s="216"/>
      <c r="AS204" s="216"/>
      <c r="AT204" s="216"/>
      <c r="AU204" s="216"/>
      <c r="AV204" s="216"/>
      <c r="AW204" s="216"/>
      <c r="AX204" s="216"/>
      <c r="AY204" s="216"/>
      <c r="AZ204" s="216"/>
      <c r="BA204" s="216"/>
      <c r="BB204" s="216"/>
      <c r="BC204" s="216"/>
      <c r="BD204" s="216"/>
      <c r="BE204" s="216"/>
      <c r="BF204" s="216"/>
      <c r="BG204" s="216"/>
      <c r="BH204" s="216"/>
      <c r="BI204" s="216"/>
      <c r="BJ204" s="216"/>
      <c r="BK204" s="216"/>
      <c r="BL204" s="216"/>
      <c r="BM204" s="216"/>
      <c r="BN204" s="216"/>
      <c r="BO204" s="216"/>
      <c r="BP204" s="216"/>
      <c r="BQ204" s="216"/>
      <c r="BR204" s="216"/>
      <c r="BS204" s="216"/>
      <c r="BT204" s="216"/>
      <c r="BU204" s="216"/>
      <c r="BV204" s="216"/>
      <c r="BW204" s="216"/>
      <c r="BX204" s="216"/>
      <c r="BY204" s="216"/>
      <c r="BZ204" s="216"/>
      <c r="CA204" s="216"/>
      <c r="CB204" s="216"/>
      <c r="CC204" s="216"/>
      <c r="CD204" s="216"/>
      <c r="CE204" s="216"/>
      <c r="CF204" s="216"/>
      <c r="CG204" s="216"/>
      <c r="CH204" s="216"/>
      <c r="CI204" s="216"/>
      <c r="CJ204" s="216"/>
      <c r="CK204" s="216"/>
      <c r="CL204" s="216"/>
      <c r="CM204" s="216"/>
      <c r="CN204" s="216"/>
      <c r="CO204" s="216"/>
      <c r="CP204" s="216"/>
      <c r="CQ204" s="216"/>
    </row>
    <row r="205" spans="10:95" x14ac:dyDescent="0.25">
      <c r="J205" s="216"/>
      <c r="K205" s="217"/>
      <c r="L205" s="216"/>
      <c r="M205" s="216"/>
      <c r="N205" s="216"/>
      <c r="O205" s="216"/>
      <c r="P205" s="216"/>
      <c r="Q205" s="216"/>
      <c r="R205" s="216"/>
      <c r="S205" s="216"/>
      <c r="T205" s="216"/>
      <c r="U205" s="216"/>
      <c r="V205" s="216"/>
      <c r="W205" s="216"/>
      <c r="X205" s="216"/>
      <c r="Y205" s="216"/>
      <c r="Z205" s="216"/>
      <c r="AA205" s="216"/>
      <c r="AB205" s="216"/>
      <c r="AC205" s="216"/>
      <c r="AD205" s="216"/>
      <c r="AE205" s="216"/>
      <c r="AF205" s="216"/>
      <c r="AG205" s="216"/>
      <c r="AH205" s="216"/>
      <c r="AI205" s="216"/>
      <c r="AJ205" s="216"/>
      <c r="AK205" s="216"/>
      <c r="AL205" s="216"/>
      <c r="AM205" s="216"/>
      <c r="AN205" s="216"/>
      <c r="AO205" s="216"/>
      <c r="AP205" s="216"/>
      <c r="AQ205" s="216"/>
      <c r="AR205" s="216"/>
      <c r="AS205" s="216"/>
      <c r="AT205" s="216"/>
      <c r="AU205" s="216"/>
      <c r="AV205" s="216"/>
      <c r="AW205" s="216"/>
      <c r="AX205" s="216"/>
      <c r="AY205" s="216"/>
      <c r="AZ205" s="216"/>
      <c r="BA205" s="216"/>
      <c r="BB205" s="216"/>
      <c r="BC205" s="216"/>
      <c r="BD205" s="216"/>
      <c r="BE205" s="216"/>
      <c r="BF205" s="216"/>
      <c r="BG205" s="216"/>
      <c r="BH205" s="216"/>
      <c r="BI205" s="216"/>
      <c r="BJ205" s="216"/>
      <c r="BK205" s="216"/>
      <c r="BL205" s="216"/>
      <c r="BM205" s="216"/>
      <c r="BN205" s="216"/>
      <c r="BO205" s="216"/>
      <c r="BP205" s="216"/>
      <c r="BQ205" s="216"/>
      <c r="BR205" s="216"/>
      <c r="BS205" s="216"/>
      <c r="BT205" s="216"/>
      <c r="BU205" s="216"/>
      <c r="BV205" s="216"/>
      <c r="BW205" s="216"/>
      <c r="BX205" s="216"/>
      <c r="BY205" s="216"/>
      <c r="BZ205" s="216"/>
      <c r="CA205" s="216"/>
      <c r="CB205" s="216"/>
      <c r="CC205" s="216"/>
      <c r="CD205" s="216"/>
      <c r="CE205" s="216"/>
      <c r="CF205" s="216"/>
      <c r="CG205" s="216"/>
      <c r="CH205" s="216"/>
      <c r="CI205" s="216"/>
      <c r="CJ205" s="216"/>
      <c r="CK205" s="216"/>
      <c r="CL205" s="216"/>
      <c r="CM205" s="216"/>
      <c r="CN205" s="216"/>
      <c r="CO205" s="216"/>
      <c r="CP205" s="216"/>
      <c r="CQ205" s="216"/>
    </row>
    <row r="206" spans="10:95" x14ac:dyDescent="0.25">
      <c r="J206" s="216"/>
      <c r="K206" s="217"/>
      <c r="L206" s="216"/>
      <c r="M206" s="216"/>
      <c r="N206" s="216"/>
      <c r="O206" s="216"/>
      <c r="P206" s="216"/>
      <c r="Q206" s="216"/>
      <c r="R206" s="216"/>
      <c r="S206" s="216"/>
      <c r="T206" s="216"/>
      <c r="U206" s="216"/>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216"/>
      <c r="BB206" s="216"/>
      <c r="BC206" s="216"/>
      <c r="BD206" s="216"/>
      <c r="BE206" s="216"/>
      <c r="BF206" s="216"/>
      <c r="BG206" s="216"/>
      <c r="BH206" s="216"/>
      <c r="BI206" s="216"/>
      <c r="BJ206" s="216"/>
      <c r="BK206" s="216"/>
      <c r="BL206" s="216"/>
      <c r="BM206" s="216"/>
      <c r="BN206" s="216"/>
      <c r="BO206" s="216"/>
      <c r="BP206" s="216"/>
      <c r="BQ206" s="216"/>
      <c r="BR206" s="216"/>
      <c r="BS206" s="216"/>
      <c r="BT206" s="216"/>
      <c r="BU206" s="216"/>
      <c r="BV206" s="216"/>
      <c r="BW206" s="216"/>
      <c r="BX206" s="216"/>
      <c r="BY206" s="216"/>
      <c r="BZ206" s="216"/>
      <c r="CA206" s="216"/>
      <c r="CB206" s="216"/>
      <c r="CC206" s="216"/>
      <c r="CD206" s="216"/>
      <c r="CE206" s="216"/>
      <c r="CF206" s="216"/>
      <c r="CG206" s="216"/>
      <c r="CH206" s="216"/>
      <c r="CI206" s="216"/>
      <c r="CJ206" s="216"/>
      <c r="CK206" s="216"/>
      <c r="CL206" s="216"/>
      <c r="CM206" s="216"/>
      <c r="CN206" s="216"/>
      <c r="CO206" s="216"/>
      <c r="CP206" s="216"/>
      <c r="CQ206" s="216"/>
    </row>
    <row r="207" spans="10:95" x14ac:dyDescent="0.25">
      <c r="J207" s="216"/>
      <c r="K207" s="217"/>
      <c r="L207" s="216"/>
      <c r="M207" s="216"/>
      <c r="N207" s="216"/>
      <c r="O207" s="216"/>
      <c r="P207" s="216"/>
      <c r="Q207" s="216"/>
      <c r="R207" s="216"/>
      <c r="S207" s="216"/>
      <c r="T207" s="216"/>
      <c r="U207" s="216"/>
      <c r="V207" s="216"/>
      <c r="W207" s="216"/>
      <c r="X207" s="216"/>
      <c r="Y207" s="216"/>
      <c r="Z207" s="216"/>
      <c r="AA207" s="216"/>
      <c r="AB207" s="216"/>
      <c r="AC207" s="216"/>
      <c r="AD207" s="216"/>
      <c r="AE207" s="216"/>
      <c r="AF207" s="216"/>
      <c r="AG207" s="216"/>
      <c r="AH207" s="216"/>
      <c r="AI207" s="216"/>
      <c r="AJ207" s="216"/>
      <c r="AK207" s="216"/>
      <c r="AL207" s="216"/>
      <c r="AM207" s="216"/>
      <c r="AN207" s="216"/>
      <c r="AO207" s="216"/>
      <c r="AP207" s="216"/>
      <c r="AQ207" s="216"/>
      <c r="AR207" s="216"/>
      <c r="AS207" s="216"/>
      <c r="AT207" s="216"/>
      <c r="AU207" s="216"/>
      <c r="AV207" s="216"/>
      <c r="AW207" s="216"/>
      <c r="AX207" s="216"/>
      <c r="AY207" s="216"/>
      <c r="AZ207" s="216"/>
      <c r="BA207" s="216"/>
      <c r="BB207" s="216"/>
      <c r="BC207" s="216"/>
      <c r="BD207" s="216"/>
      <c r="BE207" s="216"/>
      <c r="BF207" s="216"/>
      <c r="BG207" s="216"/>
      <c r="BH207" s="216"/>
      <c r="BI207" s="216"/>
      <c r="BJ207" s="216"/>
      <c r="BK207" s="216"/>
      <c r="BL207" s="216"/>
      <c r="BM207" s="216"/>
      <c r="BN207" s="216"/>
      <c r="BO207" s="216"/>
      <c r="BP207" s="216"/>
      <c r="BQ207" s="216"/>
      <c r="BR207" s="216"/>
      <c r="BS207" s="216"/>
      <c r="BT207" s="216"/>
      <c r="BU207" s="216"/>
      <c r="BV207" s="216"/>
      <c r="BW207" s="216"/>
      <c r="BX207" s="216"/>
      <c r="BY207" s="216"/>
      <c r="BZ207" s="216"/>
      <c r="CA207" s="216"/>
      <c r="CB207" s="216"/>
      <c r="CC207" s="216"/>
      <c r="CD207" s="216"/>
      <c r="CE207" s="216"/>
      <c r="CF207" s="216"/>
      <c r="CG207" s="216"/>
      <c r="CH207" s="216"/>
      <c r="CI207" s="216"/>
      <c r="CJ207" s="216"/>
      <c r="CK207" s="216"/>
      <c r="CL207" s="216"/>
      <c r="CM207" s="216"/>
      <c r="CN207" s="216"/>
      <c r="CO207" s="216"/>
      <c r="CP207" s="216"/>
      <c r="CQ207" s="216"/>
    </row>
    <row r="208" spans="10:95" x14ac:dyDescent="0.25">
      <c r="J208" s="216"/>
      <c r="K208" s="217"/>
      <c r="L208" s="216"/>
      <c r="M208" s="216"/>
      <c r="N208" s="216"/>
      <c r="O208" s="216"/>
      <c r="P208" s="216"/>
      <c r="Q208" s="216"/>
      <c r="R208" s="216"/>
      <c r="S208" s="216"/>
      <c r="T208" s="216"/>
      <c r="U208" s="216"/>
      <c r="V208" s="216"/>
      <c r="W208" s="216"/>
      <c r="X208" s="216"/>
      <c r="Y208" s="216"/>
      <c r="Z208" s="216"/>
      <c r="AA208" s="216"/>
      <c r="AB208" s="216"/>
      <c r="AC208" s="216"/>
      <c r="AD208" s="216"/>
      <c r="AE208" s="216"/>
      <c r="AF208" s="216"/>
      <c r="AG208" s="216"/>
      <c r="AH208" s="216"/>
      <c r="AI208" s="216"/>
      <c r="AJ208" s="216"/>
      <c r="AK208" s="216"/>
      <c r="AL208" s="216"/>
      <c r="AM208" s="216"/>
      <c r="AN208" s="216"/>
      <c r="AO208" s="216"/>
      <c r="AP208" s="216"/>
      <c r="AQ208" s="216"/>
      <c r="AR208" s="216"/>
      <c r="AS208" s="216"/>
      <c r="AT208" s="216"/>
      <c r="AU208" s="216"/>
      <c r="AV208" s="216"/>
      <c r="AW208" s="216"/>
      <c r="AX208" s="216"/>
      <c r="AY208" s="216"/>
      <c r="AZ208" s="216"/>
      <c r="BA208" s="216"/>
      <c r="BB208" s="216"/>
      <c r="BC208" s="216"/>
      <c r="BD208" s="216"/>
      <c r="BE208" s="216"/>
      <c r="BF208" s="216"/>
      <c r="BG208" s="216"/>
      <c r="BH208" s="216"/>
      <c r="BI208" s="216"/>
      <c r="BJ208" s="216"/>
      <c r="BK208" s="216"/>
      <c r="BL208" s="216"/>
      <c r="BM208" s="216"/>
      <c r="BN208" s="216"/>
      <c r="BO208" s="216"/>
      <c r="BP208" s="216"/>
      <c r="BQ208" s="216"/>
      <c r="BR208" s="216"/>
      <c r="BS208" s="216"/>
      <c r="BT208" s="216"/>
      <c r="BU208" s="216"/>
      <c r="BV208" s="216"/>
      <c r="BW208" s="216"/>
      <c r="BX208" s="216"/>
      <c r="BY208" s="216"/>
      <c r="BZ208" s="216"/>
      <c r="CA208" s="216"/>
      <c r="CB208" s="216"/>
      <c r="CC208" s="216"/>
      <c r="CD208" s="216"/>
      <c r="CE208" s="216"/>
      <c r="CF208" s="216"/>
      <c r="CG208" s="216"/>
      <c r="CH208" s="216"/>
      <c r="CI208" s="216"/>
      <c r="CJ208" s="216"/>
      <c r="CK208" s="216"/>
      <c r="CL208" s="216"/>
      <c r="CM208" s="216"/>
      <c r="CN208" s="216"/>
      <c r="CO208" s="216"/>
      <c r="CP208" s="216"/>
      <c r="CQ208" s="216"/>
    </row>
    <row r="209" spans="10:95" x14ac:dyDescent="0.25">
      <c r="J209" s="216"/>
      <c r="K209" s="217"/>
      <c r="L209" s="216"/>
      <c r="M209" s="216"/>
      <c r="N209" s="216"/>
      <c r="O209" s="216"/>
      <c r="P209" s="216"/>
      <c r="Q209" s="216"/>
      <c r="R209" s="216"/>
      <c r="S209" s="216"/>
      <c r="T209" s="216"/>
      <c r="U209" s="216"/>
      <c r="V209" s="216"/>
      <c r="W209" s="216"/>
      <c r="X209" s="216"/>
      <c r="Y209" s="216"/>
      <c r="Z209" s="216"/>
      <c r="AA209" s="216"/>
      <c r="AB209" s="216"/>
      <c r="AC209" s="216"/>
      <c r="AD209" s="216"/>
      <c r="AE209" s="216"/>
      <c r="AF209" s="216"/>
      <c r="AG209" s="216"/>
      <c r="AH209" s="216"/>
      <c r="AI209" s="216"/>
      <c r="AJ209" s="216"/>
      <c r="AK209" s="216"/>
      <c r="AL209" s="216"/>
      <c r="AM209" s="216"/>
      <c r="AN209" s="216"/>
      <c r="AO209" s="216"/>
      <c r="AP209" s="216"/>
      <c r="AQ209" s="216"/>
      <c r="AR209" s="216"/>
      <c r="AS209" s="216"/>
      <c r="AT209" s="216"/>
      <c r="AU209" s="216"/>
      <c r="AV209" s="216"/>
      <c r="AW209" s="216"/>
      <c r="AX209" s="216"/>
      <c r="AY209" s="216"/>
      <c r="AZ209" s="216"/>
      <c r="BA209" s="216"/>
      <c r="BB209" s="216"/>
      <c r="BC209" s="216"/>
      <c r="BD209" s="216"/>
      <c r="BE209" s="216"/>
      <c r="BF209" s="216"/>
      <c r="BG209" s="216"/>
      <c r="BH209" s="216"/>
      <c r="BI209" s="216"/>
      <c r="BJ209" s="216"/>
      <c r="BK209" s="216"/>
      <c r="BL209" s="216"/>
      <c r="BM209" s="216"/>
      <c r="BN209" s="216"/>
      <c r="BO209" s="216"/>
      <c r="BP209" s="216"/>
      <c r="BQ209" s="216"/>
      <c r="BR209" s="216"/>
      <c r="BS209" s="216"/>
      <c r="BT209" s="216"/>
      <c r="BU209" s="216"/>
      <c r="BV209" s="216"/>
      <c r="BW209" s="216"/>
      <c r="BX209" s="216"/>
      <c r="BY209" s="216"/>
      <c r="BZ209" s="216"/>
      <c r="CA209" s="216"/>
      <c r="CB209" s="216"/>
      <c r="CC209" s="216"/>
      <c r="CD209" s="216"/>
      <c r="CE209" s="216"/>
      <c r="CF209" s="216"/>
      <c r="CG209" s="216"/>
      <c r="CH209" s="216"/>
      <c r="CI209" s="216"/>
      <c r="CJ209" s="216"/>
      <c r="CK209" s="216"/>
      <c r="CL209" s="216"/>
      <c r="CM209" s="216"/>
      <c r="CN209" s="216"/>
      <c r="CO209" s="216"/>
      <c r="CP209" s="216"/>
      <c r="CQ209" s="216"/>
    </row>
    <row r="210" spans="10:95" x14ac:dyDescent="0.25">
      <c r="J210" s="216"/>
      <c r="K210" s="217"/>
      <c r="L210" s="216"/>
      <c r="M210" s="216"/>
      <c r="N210" s="216"/>
      <c r="O210" s="216"/>
      <c r="P210" s="216"/>
      <c r="Q210" s="216"/>
      <c r="R210" s="216"/>
      <c r="S210" s="216"/>
      <c r="T210" s="216"/>
      <c r="U210" s="216"/>
      <c r="V210" s="216"/>
      <c r="W210" s="216"/>
      <c r="X210" s="216"/>
      <c r="Y210" s="216"/>
      <c r="Z210" s="216"/>
      <c r="AA210" s="216"/>
      <c r="AB210" s="216"/>
      <c r="AC210" s="216"/>
      <c r="AD210" s="216"/>
      <c r="AE210" s="216"/>
      <c r="AF210" s="216"/>
      <c r="AG210" s="216"/>
      <c r="AH210" s="216"/>
      <c r="AI210" s="216"/>
      <c r="AJ210" s="216"/>
      <c r="AK210" s="216"/>
      <c r="AL210" s="216"/>
      <c r="AM210" s="216"/>
      <c r="AN210" s="216"/>
      <c r="AO210" s="216"/>
      <c r="AP210" s="216"/>
      <c r="AQ210" s="216"/>
      <c r="AR210" s="216"/>
      <c r="AS210" s="216"/>
      <c r="AT210" s="216"/>
      <c r="AU210" s="216"/>
      <c r="AV210" s="216"/>
      <c r="AW210" s="216"/>
      <c r="AX210" s="216"/>
      <c r="AY210" s="216"/>
      <c r="AZ210" s="216"/>
      <c r="BA210" s="216"/>
      <c r="BB210" s="216"/>
      <c r="BC210" s="216"/>
      <c r="BD210" s="216"/>
      <c r="BE210" s="216"/>
      <c r="BF210" s="216"/>
      <c r="BG210" s="216"/>
      <c r="BH210" s="216"/>
      <c r="BI210" s="216"/>
      <c r="BJ210" s="216"/>
      <c r="BK210" s="216"/>
      <c r="BL210" s="216"/>
      <c r="BM210" s="216"/>
      <c r="BN210" s="216"/>
      <c r="BO210" s="216"/>
      <c r="BP210" s="216"/>
      <c r="BQ210" s="216"/>
      <c r="BR210" s="216"/>
      <c r="BS210" s="216"/>
      <c r="BT210" s="216"/>
      <c r="BU210" s="216"/>
      <c r="BV210" s="216"/>
      <c r="BW210" s="216"/>
      <c r="BX210" s="216"/>
      <c r="BY210" s="216"/>
      <c r="BZ210" s="216"/>
      <c r="CA210" s="216"/>
      <c r="CB210" s="216"/>
      <c r="CC210" s="216"/>
      <c r="CD210" s="216"/>
      <c r="CE210" s="216"/>
      <c r="CF210" s="216"/>
      <c r="CG210" s="216"/>
      <c r="CH210" s="216"/>
      <c r="CI210" s="216"/>
      <c r="CJ210" s="216"/>
      <c r="CK210" s="216"/>
      <c r="CL210" s="216"/>
      <c r="CM210" s="216"/>
      <c r="CN210" s="216"/>
      <c r="CO210" s="216"/>
      <c r="CP210" s="216"/>
      <c r="CQ210" s="216"/>
    </row>
    <row r="211" spans="10:95" x14ac:dyDescent="0.25">
      <c r="J211" s="216"/>
      <c r="K211" s="217"/>
      <c r="L211" s="216"/>
      <c r="M211" s="216"/>
      <c r="N211" s="216"/>
      <c r="O211" s="216"/>
      <c r="P211" s="216"/>
      <c r="Q211" s="216"/>
      <c r="R211" s="216"/>
      <c r="S211" s="216"/>
      <c r="T211" s="216"/>
      <c r="U211" s="216"/>
      <c r="V211" s="216"/>
      <c r="W211" s="216"/>
      <c r="X211" s="216"/>
      <c r="Y211" s="216"/>
      <c r="Z211" s="216"/>
      <c r="AA211" s="216"/>
      <c r="AB211" s="216"/>
      <c r="AC211" s="216"/>
      <c r="AD211" s="216"/>
      <c r="AE211" s="216"/>
      <c r="AF211" s="216"/>
      <c r="AG211" s="216"/>
      <c r="AH211" s="216"/>
      <c r="AI211" s="216"/>
      <c r="AJ211" s="216"/>
      <c r="AK211" s="216"/>
      <c r="AL211" s="216"/>
      <c r="AM211" s="216"/>
      <c r="AN211" s="216"/>
      <c r="AO211" s="216"/>
      <c r="AP211" s="216"/>
      <c r="AQ211" s="216"/>
      <c r="AR211" s="216"/>
      <c r="AS211" s="216"/>
      <c r="AT211" s="216"/>
      <c r="AU211" s="216"/>
      <c r="AV211" s="216"/>
      <c r="AW211" s="216"/>
      <c r="AX211" s="216"/>
      <c r="AY211" s="216"/>
      <c r="AZ211" s="216"/>
      <c r="BA211" s="216"/>
      <c r="BB211" s="216"/>
      <c r="BC211" s="216"/>
      <c r="BD211" s="216"/>
      <c r="BE211" s="216"/>
      <c r="BF211" s="216"/>
      <c r="BG211" s="216"/>
      <c r="BH211" s="216"/>
      <c r="BI211" s="216"/>
      <c r="BJ211" s="216"/>
      <c r="BK211" s="216"/>
      <c r="BL211" s="216"/>
      <c r="BM211" s="216"/>
      <c r="BN211" s="216"/>
      <c r="BO211" s="216"/>
      <c r="BP211" s="216"/>
      <c r="BQ211" s="216"/>
      <c r="BR211" s="216"/>
      <c r="BS211" s="216"/>
      <c r="BT211" s="216"/>
      <c r="BU211" s="216"/>
      <c r="BV211" s="216"/>
      <c r="BW211" s="216"/>
      <c r="BX211" s="216"/>
      <c r="BY211" s="216"/>
      <c r="BZ211" s="216"/>
      <c r="CA211" s="216"/>
      <c r="CB211" s="216"/>
      <c r="CC211" s="216"/>
      <c r="CD211" s="216"/>
      <c r="CE211" s="216"/>
      <c r="CF211" s="216"/>
      <c r="CG211" s="216"/>
      <c r="CH211" s="216"/>
      <c r="CI211" s="216"/>
      <c r="CJ211" s="216"/>
      <c r="CK211" s="216"/>
      <c r="CL211" s="216"/>
      <c r="CM211" s="216"/>
      <c r="CN211" s="216"/>
      <c r="CO211" s="216"/>
      <c r="CP211" s="216"/>
      <c r="CQ211" s="216"/>
    </row>
    <row r="212" spans="10:95" x14ac:dyDescent="0.25">
      <c r="J212" s="216"/>
      <c r="K212" s="217"/>
      <c r="L212" s="216"/>
      <c r="M212" s="216"/>
      <c r="N212" s="216"/>
      <c r="O212" s="216"/>
      <c r="P212" s="216"/>
      <c r="Q212" s="216"/>
      <c r="R212" s="216"/>
      <c r="S212" s="216"/>
      <c r="T212" s="216"/>
      <c r="U212" s="216"/>
      <c r="V212" s="216"/>
      <c r="W212" s="216"/>
      <c r="X212" s="216"/>
      <c r="Y212" s="216"/>
      <c r="Z212" s="216"/>
      <c r="AA212" s="216"/>
      <c r="AB212" s="216"/>
      <c r="AC212" s="216"/>
      <c r="AD212" s="216"/>
      <c r="AE212" s="216"/>
      <c r="AF212" s="216"/>
      <c r="AG212" s="216"/>
      <c r="AH212" s="216"/>
      <c r="AI212" s="216"/>
      <c r="AJ212" s="216"/>
      <c r="AK212" s="216"/>
      <c r="AL212" s="216"/>
      <c r="AM212" s="216"/>
      <c r="AN212" s="216"/>
      <c r="AO212" s="216"/>
      <c r="AP212" s="216"/>
      <c r="AQ212" s="216"/>
      <c r="AR212" s="216"/>
      <c r="AS212" s="216"/>
      <c r="AT212" s="216"/>
      <c r="AU212" s="216"/>
      <c r="AV212" s="216"/>
      <c r="AW212" s="216"/>
      <c r="AX212" s="216"/>
      <c r="AY212" s="216"/>
      <c r="AZ212" s="216"/>
      <c r="BA212" s="216"/>
      <c r="BB212" s="216"/>
      <c r="BC212" s="216"/>
      <c r="BD212" s="216"/>
      <c r="BE212" s="216"/>
      <c r="BF212" s="216"/>
      <c r="BG212" s="216"/>
      <c r="BH212" s="216"/>
      <c r="BI212" s="216"/>
      <c r="BJ212" s="216"/>
      <c r="BK212" s="216"/>
      <c r="BL212" s="216"/>
      <c r="BM212" s="216"/>
      <c r="BN212" s="216"/>
      <c r="BO212" s="216"/>
      <c r="BP212" s="216"/>
      <c r="BQ212" s="216"/>
      <c r="BR212" s="216"/>
      <c r="BS212" s="216"/>
      <c r="BT212" s="216"/>
      <c r="BU212" s="216"/>
      <c r="BV212" s="216"/>
      <c r="BW212" s="216"/>
      <c r="BX212" s="216"/>
      <c r="BY212" s="216"/>
      <c r="BZ212" s="216"/>
      <c r="CA212" s="216"/>
      <c r="CB212" s="216"/>
      <c r="CC212" s="216"/>
      <c r="CD212" s="216"/>
      <c r="CE212" s="216"/>
      <c r="CF212" s="216"/>
      <c r="CG212" s="216"/>
      <c r="CH212" s="216"/>
      <c r="CI212" s="216"/>
      <c r="CJ212" s="216"/>
      <c r="CK212" s="216"/>
      <c r="CL212" s="216"/>
      <c r="CM212" s="216"/>
      <c r="CN212" s="216"/>
      <c r="CO212" s="216"/>
      <c r="CP212" s="216"/>
      <c r="CQ212" s="216"/>
    </row>
    <row r="213" spans="10:95" x14ac:dyDescent="0.25">
      <c r="J213" s="216"/>
      <c r="K213" s="217"/>
      <c r="L213" s="216"/>
      <c r="M213" s="216"/>
      <c r="N213" s="216"/>
      <c r="O213" s="216"/>
      <c r="P213" s="216"/>
      <c r="Q213" s="216"/>
      <c r="R213" s="216"/>
      <c r="S213" s="216"/>
      <c r="T213" s="216"/>
      <c r="U213" s="216"/>
      <c r="V213" s="216"/>
      <c r="W213" s="216"/>
      <c r="X213" s="216"/>
      <c r="Y213" s="216"/>
      <c r="Z213" s="216"/>
      <c r="AA213" s="216"/>
      <c r="AB213" s="216"/>
      <c r="AC213" s="216"/>
      <c r="AD213" s="216"/>
      <c r="AE213" s="216"/>
      <c r="AF213" s="216"/>
      <c r="AG213" s="216"/>
      <c r="AH213" s="216"/>
      <c r="AI213" s="216"/>
      <c r="AJ213" s="216"/>
      <c r="AK213" s="216"/>
      <c r="AL213" s="216"/>
      <c r="AM213" s="216"/>
      <c r="AN213" s="216"/>
      <c r="AO213" s="216"/>
      <c r="AP213" s="216"/>
      <c r="AQ213" s="216"/>
      <c r="AR213" s="216"/>
      <c r="AS213" s="216"/>
      <c r="AT213" s="216"/>
      <c r="AU213" s="216"/>
      <c r="AV213" s="216"/>
      <c r="AW213" s="216"/>
      <c r="AX213" s="216"/>
      <c r="AY213" s="216"/>
      <c r="AZ213" s="216"/>
      <c r="BA213" s="216"/>
      <c r="BB213" s="216"/>
      <c r="BC213" s="216"/>
      <c r="BD213" s="216"/>
      <c r="BE213" s="216"/>
      <c r="BF213" s="216"/>
      <c r="BG213" s="216"/>
      <c r="BH213" s="216"/>
      <c r="BI213" s="216"/>
      <c r="BJ213" s="216"/>
      <c r="BK213" s="216"/>
      <c r="BL213" s="216"/>
      <c r="BM213" s="216"/>
      <c r="BN213" s="216"/>
      <c r="BO213" s="216"/>
      <c r="BP213" s="216"/>
      <c r="BQ213" s="216"/>
      <c r="BR213" s="216"/>
      <c r="BS213" s="216"/>
      <c r="BT213" s="216"/>
      <c r="BU213" s="216"/>
      <c r="BV213" s="216"/>
      <c r="BW213" s="216"/>
      <c r="BX213" s="216"/>
      <c r="BY213" s="216"/>
      <c r="BZ213" s="216"/>
      <c r="CA213" s="216"/>
      <c r="CB213" s="216"/>
      <c r="CC213" s="216"/>
      <c r="CD213" s="216"/>
      <c r="CE213" s="216"/>
      <c r="CF213" s="216"/>
      <c r="CG213" s="216"/>
      <c r="CH213" s="216"/>
      <c r="CI213" s="216"/>
      <c r="CJ213" s="216"/>
      <c r="CK213" s="216"/>
      <c r="CL213" s="216"/>
      <c r="CM213" s="216"/>
      <c r="CN213" s="216"/>
      <c r="CO213" s="216"/>
      <c r="CP213" s="216"/>
      <c r="CQ213" s="216"/>
    </row>
    <row r="214" spans="10:95" x14ac:dyDescent="0.25">
      <c r="J214" s="216"/>
      <c r="K214" s="217"/>
      <c r="L214" s="216"/>
      <c r="M214" s="216"/>
      <c r="N214" s="216"/>
      <c r="O214" s="216"/>
      <c r="P214" s="216"/>
      <c r="Q214" s="216"/>
      <c r="R214" s="216"/>
      <c r="S214" s="216"/>
      <c r="T214" s="216"/>
      <c r="U214" s="216"/>
      <c r="V214" s="216"/>
      <c r="W214" s="216"/>
      <c r="X214" s="216"/>
      <c r="Y214" s="216"/>
      <c r="Z214" s="216"/>
      <c r="AA214" s="216"/>
      <c r="AB214" s="216"/>
      <c r="AC214" s="216"/>
      <c r="AD214" s="216"/>
      <c r="AE214" s="216"/>
      <c r="AF214" s="216"/>
      <c r="AG214" s="216"/>
      <c r="AH214" s="216"/>
      <c r="AI214" s="216"/>
      <c r="AJ214" s="216"/>
      <c r="AK214" s="216"/>
      <c r="AL214" s="216"/>
      <c r="AM214" s="216"/>
      <c r="AN214" s="216"/>
      <c r="AO214" s="216"/>
      <c r="AP214" s="216"/>
      <c r="AQ214" s="216"/>
      <c r="AR214" s="216"/>
      <c r="AS214" s="216"/>
      <c r="AT214" s="216"/>
      <c r="AU214" s="216"/>
      <c r="AV214" s="216"/>
      <c r="AW214" s="216"/>
      <c r="AX214" s="216"/>
      <c r="AY214" s="216"/>
      <c r="AZ214" s="216"/>
      <c r="BA214" s="216"/>
      <c r="BB214" s="216"/>
      <c r="BC214" s="216"/>
      <c r="BD214" s="216"/>
      <c r="BE214" s="216"/>
      <c r="BF214" s="216"/>
      <c r="BG214" s="216"/>
      <c r="BH214" s="216"/>
      <c r="BI214" s="216"/>
      <c r="BJ214" s="216"/>
      <c r="BK214" s="216"/>
      <c r="BL214" s="216"/>
      <c r="BM214" s="216"/>
      <c r="BN214" s="216"/>
      <c r="BO214" s="216"/>
      <c r="BP214" s="216"/>
      <c r="BQ214" s="216"/>
      <c r="BR214" s="216"/>
      <c r="BS214" s="216"/>
      <c r="BT214" s="216"/>
      <c r="BU214" s="216"/>
      <c r="BV214" s="216"/>
      <c r="BW214" s="216"/>
      <c r="BX214" s="216"/>
      <c r="BY214" s="216"/>
      <c r="BZ214" s="216"/>
      <c r="CA214" s="216"/>
      <c r="CB214" s="216"/>
      <c r="CC214" s="216"/>
      <c r="CD214" s="216"/>
      <c r="CE214" s="216"/>
      <c r="CF214" s="216"/>
      <c r="CG214" s="216"/>
      <c r="CH214" s="216"/>
      <c r="CI214" s="216"/>
      <c r="CJ214" s="216"/>
      <c r="CK214" s="216"/>
      <c r="CL214" s="216"/>
      <c r="CM214" s="216"/>
      <c r="CN214" s="216"/>
      <c r="CO214" s="216"/>
      <c r="CP214" s="216"/>
      <c r="CQ214" s="216"/>
    </row>
    <row r="215" spans="10:95" x14ac:dyDescent="0.25">
      <c r="J215" s="216"/>
      <c r="K215" s="217"/>
      <c r="L215" s="216"/>
      <c r="M215" s="216"/>
      <c r="N215" s="216"/>
      <c r="O215" s="216"/>
      <c r="P215" s="216"/>
      <c r="Q215" s="216"/>
      <c r="R215" s="216"/>
      <c r="S215" s="216"/>
      <c r="T215" s="216"/>
      <c r="U215" s="216"/>
      <c r="V215" s="216"/>
      <c r="W215" s="216"/>
      <c r="X215" s="216"/>
      <c r="Y215" s="216"/>
      <c r="Z215" s="216"/>
      <c r="AA215" s="216"/>
      <c r="AB215" s="216"/>
      <c r="AC215" s="216"/>
      <c r="AD215" s="216"/>
      <c r="AE215" s="216"/>
      <c r="AF215" s="216"/>
      <c r="AG215" s="216"/>
      <c r="AH215" s="216"/>
      <c r="AI215" s="216"/>
      <c r="AJ215" s="216"/>
      <c r="AK215" s="216"/>
      <c r="AL215" s="216"/>
      <c r="AM215" s="216"/>
      <c r="AN215" s="216"/>
      <c r="AO215" s="216"/>
      <c r="AP215" s="216"/>
      <c r="AQ215" s="216"/>
      <c r="AR215" s="216"/>
      <c r="AS215" s="216"/>
      <c r="AT215" s="216"/>
      <c r="AU215" s="216"/>
      <c r="AV215" s="216"/>
      <c r="AW215" s="216"/>
      <c r="AX215" s="216"/>
      <c r="AY215" s="216"/>
      <c r="AZ215" s="216"/>
      <c r="BA215" s="216"/>
      <c r="BB215" s="216"/>
      <c r="BC215" s="216"/>
      <c r="BD215" s="216"/>
      <c r="BE215" s="216"/>
      <c r="BF215" s="216"/>
      <c r="BG215" s="216"/>
      <c r="BH215" s="216"/>
      <c r="BI215" s="216"/>
      <c r="BJ215" s="216"/>
      <c r="BK215" s="216"/>
      <c r="BL215" s="216"/>
      <c r="BM215" s="216"/>
      <c r="BN215" s="216"/>
      <c r="BO215" s="216"/>
      <c r="BP215" s="216"/>
      <c r="BQ215" s="216"/>
      <c r="BR215" s="216"/>
      <c r="BS215" s="216"/>
      <c r="BT215" s="216"/>
      <c r="BU215" s="216"/>
      <c r="BV215" s="216"/>
      <c r="BW215" s="216"/>
      <c r="BX215" s="216"/>
      <c r="BY215" s="216"/>
      <c r="BZ215" s="216"/>
      <c r="CA215" s="216"/>
      <c r="CB215" s="216"/>
      <c r="CC215" s="216"/>
      <c r="CD215" s="216"/>
      <c r="CE215" s="216"/>
      <c r="CF215" s="216"/>
      <c r="CG215" s="216"/>
      <c r="CH215" s="216"/>
      <c r="CI215" s="216"/>
      <c r="CJ215" s="216"/>
      <c r="CK215" s="216"/>
      <c r="CL215" s="216"/>
      <c r="CM215" s="216"/>
      <c r="CN215" s="216"/>
      <c r="CO215" s="216"/>
      <c r="CP215" s="216"/>
      <c r="CQ215" s="216"/>
    </row>
    <row r="216" spans="10:95" x14ac:dyDescent="0.25">
      <c r="J216" s="216"/>
      <c r="K216" s="217"/>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c r="AH216" s="216"/>
      <c r="AI216" s="216"/>
      <c r="AJ216" s="216"/>
      <c r="AK216" s="216"/>
      <c r="AL216" s="216"/>
      <c r="AM216" s="216"/>
      <c r="AN216" s="216"/>
      <c r="AO216" s="216"/>
      <c r="AP216" s="216"/>
      <c r="AQ216" s="216"/>
      <c r="AR216" s="216"/>
      <c r="AS216" s="216"/>
      <c r="AT216" s="216"/>
      <c r="AU216" s="216"/>
      <c r="AV216" s="216"/>
      <c r="AW216" s="216"/>
      <c r="AX216" s="216"/>
      <c r="AY216" s="216"/>
      <c r="AZ216" s="216"/>
      <c r="BA216" s="216"/>
      <c r="BB216" s="216"/>
      <c r="BC216" s="216"/>
      <c r="BD216" s="216"/>
      <c r="BE216" s="216"/>
      <c r="BF216" s="216"/>
      <c r="BG216" s="216"/>
      <c r="BH216" s="216"/>
      <c r="BI216" s="216"/>
      <c r="BJ216" s="216"/>
      <c r="BK216" s="216"/>
      <c r="BL216" s="216"/>
      <c r="BM216" s="216"/>
      <c r="BN216" s="216"/>
      <c r="BO216" s="216"/>
      <c r="BP216" s="216"/>
      <c r="BQ216" s="216"/>
      <c r="BR216" s="216"/>
      <c r="BS216" s="216"/>
      <c r="BT216" s="216"/>
      <c r="BU216" s="216"/>
      <c r="BV216" s="216"/>
      <c r="BW216" s="216"/>
      <c r="BX216" s="216"/>
      <c r="BY216" s="216"/>
      <c r="BZ216" s="216"/>
      <c r="CA216" s="216"/>
      <c r="CB216" s="216"/>
      <c r="CC216" s="216"/>
      <c r="CD216" s="216"/>
      <c r="CE216" s="216"/>
      <c r="CF216" s="216"/>
      <c r="CG216" s="216"/>
      <c r="CH216" s="216"/>
      <c r="CI216" s="216"/>
      <c r="CJ216" s="216"/>
      <c r="CK216" s="216"/>
      <c r="CL216" s="216"/>
      <c r="CM216" s="216"/>
      <c r="CN216" s="216"/>
      <c r="CO216" s="216"/>
      <c r="CP216" s="216"/>
      <c r="CQ216" s="216"/>
    </row>
    <row r="217" spans="10:95" x14ac:dyDescent="0.25">
      <c r="J217" s="216"/>
      <c r="K217" s="217"/>
      <c r="L217" s="216"/>
      <c r="M217" s="216"/>
      <c r="N217" s="216"/>
      <c r="O217" s="216"/>
      <c r="P217" s="216"/>
      <c r="Q217" s="216"/>
      <c r="R217" s="216"/>
      <c r="S217" s="216"/>
      <c r="T217" s="216"/>
      <c r="U217" s="216"/>
      <c r="V217" s="216"/>
      <c r="W217" s="216"/>
      <c r="X217" s="216"/>
      <c r="Y217" s="216"/>
      <c r="Z217" s="216"/>
      <c r="AA217" s="216"/>
      <c r="AB217" s="216"/>
      <c r="AC217" s="216"/>
      <c r="AD217" s="216"/>
      <c r="AE217" s="216"/>
      <c r="AF217" s="216"/>
      <c r="AG217" s="216"/>
      <c r="AH217" s="216"/>
      <c r="AI217" s="216"/>
      <c r="AJ217" s="216"/>
      <c r="AK217" s="216"/>
      <c r="AL217" s="216"/>
      <c r="AM217" s="216"/>
      <c r="AN217" s="216"/>
      <c r="AO217" s="216"/>
      <c r="AP217" s="216"/>
      <c r="AQ217" s="216"/>
      <c r="AR217" s="216"/>
      <c r="AS217" s="216"/>
      <c r="AT217" s="216"/>
      <c r="AU217" s="216"/>
      <c r="AV217" s="216"/>
      <c r="AW217" s="216"/>
      <c r="AX217" s="216"/>
      <c r="AY217" s="216"/>
      <c r="AZ217" s="216"/>
      <c r="BA217" s="216"/>
      <c r="BB217" s="216"/>
      <c r="BC217" s="216"/>
      <c r="BD217" s="216"/>
      <c r="BE217" s="216"/>
      <c r="BF217" s="216"/>
      <c r="BG217" s="216"/>
      <c r="BH217" s="216"/>
      <c r="BI217" s="216"/>
      <c r="BJ217" s="216"/>
      <c r="BK217" s="216"/>
      <c r="BL217" s="216"/>
      <c r="BM217" s="216"/>
      <c r="BN217" s="216"/>
      <c r="BO217" s="216"/>
      <c r="BP217" s="216"/>
      <c r="BQ217" s="216"/>
      <c r="BR217" s="216"/>
      <c r="BS217" s="216"/>
      <c r="BT217" s="216"/>
      <c r="BU217" s="216"/>
      <c r="BV217" s="216"/>
      <c r="BW217" s="216"/>
      <c r="BX217" s="216"/>
      <c r="BY217" s="216"/>
      <c r="BZ217" s="216"/>
      <c r="CA217" s="216"/>
      <c r="CB217" s="216"/>
      <c r="CC217" s="216"/>
      <c r="CD217" s="216"/>
      <c r="CE217" s="216"/>
      <c r="CF217" s="216"/>
      <c r="CG217" s="216"/>
      <c r="CH217" s="216"/>
      <c r="CI217" s="216"/>
      <c r="CJ217" s="216"/>
      <c r="CK217" s="216"/>
      <c r="CL217" s="216"/>
      <c r="CM217" s="216"/>
      <c r="CN217" s="216"/>
      <c r="CO217" s="216"/>
      <c r="CP217" s="216"/>
      <c r="CQ217" s="216"/>
    </row>
    <row r="218" spans="10:95" x14ac:dyDescent="0.25">
      <c r="J218" s="216"/>
      <c r="K218" s="217"/>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216"/>
      <c r="AI218" s="216"/>
      <c r="AJ218" s="216"/>
      <c r="AK218" s="216"/>
      <c r="AL218" s="216"/>
      <c r="AM218" s="216"/>
      <c r="AN218" s="216"/>
      <c r="AO218" s="216"/>
      <c r="AP218" s="216"/>
      <c r="AQ218" s="216"/>
      <c r="AR218" s="216"/>
      <c r="AS218" s="216"/>
      <c r="AT218" s="216"/>
      <c r="AU218" s="216"/>
      <c r="AV218" s="216"/>
      <c r="AW218" s="216"/>
      <c r="AX218" s="216"/>
      <c r="AY218" s="216"/>
      <c r="AZ218" s="216"/>
      <c r="BA218" s="216"/>
      <c r="BB218" s="216"/>
      <c r="BC218" s="216"/>
      <c r="BD218" s="216"/>
      <c r="BE218" s="216"/>
      <c r="BF218" s="216"/>
      <c r="BG218" s="216"/>
      <c r="BH218" s="216"/>
      <c r="BI218" s="216"/>
      <c r="BJ218" s="216"/>
      <c r="BK218" s="216"/>
      <c r="BL218" s="216"/>
      <c r="BM218" s="216"/>
      <c r="BN218" s="216"/>
      <c r="BO218" s="216"/>
      <c r="BP218" s="216"/>
      <c r="BQ218" s="216"/>
      <c r="BR218" s="216"/>
      <c r="BS218" s="216"/>
      <c r="BT218" s="216"/>
      <c r="BU218" s="216"/>
      <c r="BV218" s="216"/>
      <c r="BW218" s="216"/>
      <c r="BX218" s="216"/>
      <c r="BY218" s="216"/>
      <c r="BZ218" s="216"/>
      <c r="CA218" s="216"/>
      <c r="CB218" s="216"/>
      <c r="CC218" s="216"/>
      <c r="CD218" s="216"/>
      <c r="CE218" s="216"/>
      <c r="CF218" s="216"/>
      <c r="CG218" s="216"/>
      <c r="CH218" s="216"/>
      <c r="CI218" s="216"/>
      <c r="CJ218" s="216"/>
      <c r="CK218" s="216"/>
      <c r="CL218" s="216"/>
      <c r="CM218" s="216"/>
      <c r="CN218" s="216"/>
      <c r="CO218" s="216"/>
      <c r="CP218" s="216"/>
      <c r="CQ218" s="216"/>
    </row>
    <row r="219" spans="10:95" x14ac:dyDescent="0.25">
      <c r="J219" s="216"/>
      <c r="K219" s="217"/>
      <c r="L219" s="216"/>
      <c r="M219" s="216"/>
      <c r="N219" s="216"/>
      <c r="O219" s="216"/>
      <c r="P219" s="216"/>
      <c r="Q219" s="216"/>
      <c r="R219" s="216"/>
      <c r="S219" s="216"/>
      <c r="T219" s="216"/>
      <c r="U219" s="216"/>
      <c r="V219" s="216"/>
      <c r="W219" s="216"/>
      <c r="X219" s="216"/>
      <c r="Y219" s="216"/>
      <c r="Z219" s="216"/>
      <c r="AA219" s="216"/>
      <c r="AB219" s="216"/>
      <c r="AC219" s="216"/>
      <c r="AD219" s="216"/>
      <c r="AE219" s="216"/>
      <c r="AF219" s="216"/>
      <c r="AG219" s="216"/>
      <c r="AH219" s="216"/>
      <c r="AI219" s="216"/>
      <c r="AJ219" s="216"/>
      <c r="AK219" s="216"/>
      <c r="AL219" s="216"/>
      <c r="AM219" s="216"/>
      <c r="AN219" s="216"/>
      <c r="AO219" s="216"/>
      <c r="AP219" s="216"/>
      <c r="AQ219" s="216"/>
      <c r="AR219" s="216"/>
      <c r="AS219" s="216"/>
      <c r="AT219" s="216"/>
      <c r="AU219" s="216"/>
      <c r="AV219" s="216"/>
      <c r="AW219" s="216"/>
      <c r="AX219" s="216"/>
      <c r="AY219" s="216"/>
      <c r="AZ219" s="216"/>
      <c r="BA219" s="216"/>
      <c r="BB219" s="216"/>
      <c r="BC219" s="216"/>
      <c r="BD219" s="216"/>
      <c r="BE219" s="216"/>
      <c r="BF219" s="216"/>
      <c r="BG219" s="216"/>
      <c r="BH219" s="216"/>
      <c r="BI219" s="216"/>
      <c r="BJ219" s="216"/>
      <c r="BK219" s="216"/>
      <c r="BL219" s="216"/>
      <c r="BM219" s="216"/>
      <c r="BN219" s="216"/>
      <c r="BO219" s="216"/>
      <c r="BP219" s="216"/>
      <c r="BQ219" s="216"/>
      <c r="BR219" s="216"/>
      <c r="BS219" s="216"/>
      <c r="BT219" s="216"/>
      <c r="BU219" s="216"/>
      <c r="BV219" s="216"/>
      <c r="BW219" s="216"/>
      <c r="BX219" s="216"/>
      <c r="BY219" s="216"/>
      <c r="BZ219" s="216"/>
      <c r="CA219" s="216"/>
      <c r="CB219" s="216"/>
      <c r="CC219" s="216"/>
      <c r="CD219" s="216"/>
      <c r="CE219" s="216"/>
      <c r="CF219" s="216"/>
      <c r="CG219" s="216"/>
      <c r="CH219" s="216"/>
      <c r="CI219" s="216"/>
      <c r="CJ219" s="216"/>
      <c r="CK219" s="216"/>
      <c r="CL219" s="216"/>
      <c r="CM219" s="216"/>
      <c r="CN219" s="216"/>
      <c r="CO219" s="216"/>
      <c r="CP219" s="216"/>
      <c r="CQ219" s="216"/>
    </row>
    <row r="220" spans="10:95" x14ac:dyDescent="0.25">
      <c r="J220" s="216"/>
      <c r="K220" s="217"/>
      <c r="L220" s="216"/>
      <c r="M220" s="216"/>
      <c r="N220" s="216"/>
      <c r="O220" s="216"/>
      <c r="P220" s="216"/>
      <c r="Q220" s="216"/>
      <c r="R220" s="216"/>
      <c r="S220" s="216"/>
      <c r="T220" s="216"/>
      <c r="U220" s="216"/>
      <c r="V220" s="216"/>
      <c r="W220" s="216"/>
      <c r="X220" s="216"/>
      <c r="Y220" s="216"/>
      <c r="Z220" s="216"/>
      <c r="AA220" s="216"/>
      <c r="AB220" s="216"/>
      <c r="AC220" s="216"/>
      <c r="AD220" s="216"/>
      <c r="AE220" s="216"/>
      <c r="AF220" s="216"/>
      <c r="AG220" s="216"/>
      <c r="AH220" s="216"/>
      <c r="AI220" s="216"/>
      <c r="AJ220" s="216"/>
      <c r="AK220" s="216"/>
      <c r="AL220" s="216"/>
      <c r="AM220" s="216"/>
      <c r="AN220" s="216"/>
      <c r="AO220" s="216"/>
      <c r="AP220" s="216"/>
      <c r="AQ220" s="216"/>
      <c r="AR220" s="216"/>
      <c r="AS220" s="216"/>
      <c r="AT220" s="216"/>
      <c r="AU220" s="216"/>
      <c r="AV220" s="216"/>
      <c r="AW220" s="216"/>
      <c r="AX220" s="216"/>
      <c r="AY220" s="216"/>
      <c r="AZ220" s="216"/>
      <c r="BA220" s="216"/>
      <c r="BB220" s="216"/>
      <c r="BC220" s="216"/>
      <c r="BD220" s="216"/>
      <c r="BE220" s="216"/>
      <c r="BF220" s="216"/>
      <c r="BG220" s="216"/>
      <c r="BH220" s="216"/>
      <c r="BI220" s="216"/>
      <c r="BJ220" s="216"/>
      <c r="BK220" s="216"/>
      <c r="BL220" s="216"/>
      <c r="BM220" s="216"/>
      <c r="BN220" s="216"/>
      <c r="BO220" s="216"/>
      <c r="BP220" s="216"/>
      <c r="BQ220" s="216"/>
      <c r="BR220" s="216"/>
      <c r="BS220" s="216"/>
      <c r="BT220" s="216"/>
      <c r="BU220" s="216"/>
      <c r="BV220" s="216"/>
      <c r="BW220" s="216"/>
      <c r="BX220" s="216"/>
      <c r="BY220" s="216"/>
      <c r="BZ220" s="216"/>
      <c r="CA220" s="216"/>
      <c r="CB220" s="216"/>
      <c r="CC220" s="216"/>
      <c r="CD220" s="216"/>
      <c r="CE220" s="216"/>
      <c r="CF220" s="216"/>
      <c r="CG220" s="216"/>
      <c r="CH220" s="216"/>
      <c r="CI220" s="216"/>
      <c r="CJ220" s="216"/>
      <c r="CK220" s="216"/>
      <c r="CL220" s="216"/>
      <c r="CM220" s="216"/>
      <c r="CN220" s="216"/>
      <c r="CO220" s="216"/>
      <c r="CP220" s="216"/>
      <c r="CQ220" s="216"/>
    </row>
    <row r="221" spans="10:95" x14ac:dyDescent="0.25">
      <c r="J221" s="216"/>
      <c r="K221" s="217"/>
      <c r="L221" s="216"/>
      <c r="M221" s="216"/>
      <c r="N221" s="216"/>
      <c r="O221" s="216"/>
      <c r="P221" s="216"/>
      <c r="Q221" s="216"/>
      <c r="R221" s="216"/>
      <c r="S221" s="216"/>
      <c r="T221" s="216"/>
      <c r="U221" s="216"/>
      <c r="V221" s="216"/>
      <c r="W221" s="216"/>
      <c r="X221" s="216"/>
      <c r="Y221" s="216"/>
      <c r="Z221" s="216"/>
      <c r="AA221" s="216"/>
      <c r="AB221" s="216"/>
      <c r="AC221" s="216"/>
      <c r="AD221" s="216"/>
      <c r="AE221" s="216"/>
      <c r="AF221" s="216"/>
      <c r="AG221" s="216"/>
      <c r="AH221" s="216"/>
      <c r="AI221" s="216"/>
      <c r="AJ221" s="216"/>
      <c r="AK221" s="216"/>
      <c r="AL221" s="216"/>
      <c r="AM221" s="216"/>
      <c r="AN221" s="216"/>
      <c r="AO221" s="216"/>
      <c r="AP221" s="216"/>
      <c r="AQ221" s="216"/>
      <c r="AR221" s="216"/>
      <c r="AS221" s="216"/>
      <c r="AT221" s="216"/>
      <c r="AU221" s="216"/>
      <c r="AV221" s="216"/>
      <c r="AW221" s="216"/>
      <c r="AX221" s="216"/>
      <c r="AY221" s="216"/>
      <c r="AZ221" s="216"/>
      <c r="BA221" s="216"/>
      <c r="BB221" s="216"/>
      <c r="BC221" s="216"/>
      <c r="BD221" s="216"/>
      <c r="BE221" s="216"/>
      <c r="BF221" s="216"/>
      <c r="BG221" s="216"/>
      <c r="BH221" s="216"/>
      <c r="BI221" s="216"/>
      <c r="BJ221" s="216"/>
      <c r="BK221" s="216"/>
      <c r="BL221" s="216"/>
      <c r="BM221" s="216"/>
      <c r="BN221" s="216"/>
      <c r="BO221" s="216"/>
      <c r="BP221" s="216"/>
      <c r="BQ221" s="216"/>
      <c r="BR221" s="216"/>
      <c r="BS221" s="216"/>
      <c r="BT221" s="216"/>
      <c r="BU221" s="216"/>
      <c r="BV221" s="216"/>
      <c r="BW221" s="216"/>
      <c r="BX221" s="216"/>
      <c r="BY221" s="216"/>
      <c r="BZ221" s="216"/>
      <c r="CA221" s="216"/>
      <c r="CB221" s="216"/>
      <c r="CC221" s="216"/>
      <c r="CD221" s="216"/>
      <c r="CE221" s="216"/>
      <c r="CF221" s="216"/>
      <c r="CG221" s="216"/>
      <c r="CH221" s="216"/>
      <c r="CI221" s="216"/>
      <c r="CJ221" s="216"/>
      <c r="CK221" s="216"/>
      <c r="CL221" s="216"/>
      <c r="CM221" s="216"/>
      <c r="CN221" s="216"/>
      <c r="CO221" s="216"/>
      <c r="CP221" s="216"/>
      <c r="CQ221" s="216"/>
    </row>
    <row r="222" spans="10:95" x14ac:dyDescent="0.25">
      <c r="J222" s="216"/>
      <c r="K222" s="217"/>
      <c r="L222" s="216"/>
      <c r="M222" s="216"/>
      <c r="N222" s="216"/>
      <c r="O222" s="216"/>
      <c r="P222" s="216"/>
      <c r="Q222" s="216"/>
      <c r="R222" s="216"/>
      <c r="S222" s="216"/>
      <c r="T222" s="216"/>
      <c r="U222" s="216"/>
      <c r="V222" s="216"/>
      <c r="W222" s="216"/>
      <c r="X222" s="216"/>
      <c r="Y222" s="216"/>
      <c r="Z222" s="216"/>
      <c r="AA222" s="216"/>
      <c r="AB222" s="216"/>
      <c r="AC222" s="216"/>
      <c r="AD222" s="216"/>
      <c r="AE222" s="216"/>
      <c r="AF222" s="216"/>
      <c r="AG222" s="216"/>
      <c r="AH222" s="216"/>
      <c r="AI222" s="216"/>
      <c r="AJ222" s="216"/>
      <c r="AK222" s="216"/>
      <c r="AL222" s="216"/>
      <c r="AM222" s="216"/>
      <c r="AN222" s="216"/>
      <c r="AO222" s="216"/>
      <c r="AP222" s="216"/>
      <c r="AQ222" s="216"/>
      <c r="AR222" s="216"/>
      <c r="AS222" s="216"/>
      <c r="AT222" s="216"/>
      <c r="AU222" s="216"/>
      <c r="AV222" s="216"/>
      <c r="AW222" s="216"/>
      <c r="AX222" s="216"/>
      <c r="AY222" s="216"/>
      <c r="AZ222" s="216"/>
      <c r="BA222" s="216"/>
      <c r="BB222" s="216"/>
      <c r="BC222" s="216"/>
      <c r="BD222" s="216"/>
      <c r="BE222" s="216"/>
      <c r="BF222" s="216"/>
      <c r="BG222" s="216"/>
      <c r="BH222" s="216"/>
      <c r="BI222" s="216"/>
      <c r="BJ222" s="216"/>
      <c r="BK222" s="216"/>
      <c r="BL222" s="216"/>
      <c r="BM222" s="216"/>
      <c r="BN222" s="216"/>
      <c r="BO222" s="216"/>
      <c r="BP222" s="216"/>
      <c r="BQ222" s="216"/>
      <c r="BR222" s="216"/>
      <c r="BS222" s="216"/>
      <c r="BT222" s="216"/>
      <c r="BU222" s="216"/>
      <c r="BV222" s="216"/>
      <c r="BW222" s="216"/>
      <c r="BX222" s="216"/>
      <c r="BY222" s="216"/>
      <c r="BZ222" s="216"/>
      <c r="CA222" s="216"/>
      <c r="CB222" s="216"/>
      <c r="CC222" s="216"/>
      <c r="CD222" s="216"/>
      <c r="CE222" s="216"/>
      <c r="CF222" s="216"/>
      <c r="CG222" s="216"/>
      <c r="CH222" s="216"/>
      <c r="CI222" s="216"/>
      <c r="CJ222" s="216"/>
      <c r="CK222" s="216"/>
      <c r="CL222" s="216"/>
      <c r="CM222" s="216"/>
      <c r="CN222" s="216"/>
      <c r="CO222" s="216"/>
      <c r="CP222" s="216"/>
      <c r="CQ222" s="216"/>
    </row>
    <row r="223" spans="10:95" x14ac:dyDescent="0.25">
      <c r="J223" s="216"/>
      <c r="K223" s="217"/>
      <c r="L223" s="216"/>
      <c r="M223" s="216"/>
      <c r="N223" s="216"/>
      <c r="O223" s="216"/>
      <c r="P223" s="216"/>
      <c r="Q223" s="216"/>
      <c r="R223" s="216"/>
      <c r="S223" s="216"/>
      <c r="T223" s="216"/>
      <c r="U223" s="216"/>
      <c r="V223" s="216"/>
      <c r="W223" s="216"/>
      <c r="X223" s="216"/>
      <c r="Y223" s="216"/>
      <c r="Z223" s="216"/>
      <c r="AA223" s="216"/>
      <c r="AB223" s="216"/>
      <c r="AC223" s="216"/>
      <c r="AD223" s="216"/>
      <c r="AE223" s="216"/>
      <c r="AF223" s="216"/>
      <c r="AG223" s="216"/>
      <c r="AH223" s="216"/>
      <c r="AI223" s="216"/>
      <c r="AJ223" s="216"/>
      <c r="AK223" s="216"/>
      <c r="AL223" s="216"/>
      <c r="AM223" s="216"/>
      <c r="AN223" s="216"/>
      <c r="AO223" s="216"/>
      <c r="AP223" s="216"/>
      <c r="AQ223" s="216"/>
      <c r="AR223" s="216"/>
      <c r="AS223" s="216"/>
      <c r="AT223" s="216"/>
      <c r="AU223" s="216"/>
      <c r="AV223" s="216"/>
      <c r="AW223" s="216"/>
      <c r="AX223" s="216"/>
      <c r="AY223" s="216"/>
      <c r="AZ223" s="216"/>
      <c r="BA223" s="216"/>
      <c r="BB223" s="216"/>
      <c r="BC223" s="216"/>
      <c r="BD223" s="216"/>
      <c r="BE223" s="216"/>
      <c r="BF223" s="216"/>
      <c r="BG223" s="216"/>
      <c r="BH223" s="216"/>
      <c r="BI223" s="216"/>
      <c r="BJ223" s="216"/>
      <c r="BK223" s="216"/>
      <c r="BL223" s="216"/>
      <c r="BM223" s="216"/>
      <c r="BN223" s="216"/>
      <c r="BO223" s="216"/>
      <c r="BP223" s="216"/>
      <c r="BQ223" s="216"/>
      <c r="BR223" s="216"/>
      <c r="BS223" s="216"/>
      <c r="BT223" s="216"/>
      <c r="BU223" s="216"/>
      <c r="BV223" s="216"/>
      <c r="BW223" s="216"/>
      <c r="BX223" s="216"/>
      <c r="BY223" s="216"/>
      <c r="BZ223" s="216"/>
      <c r="CA223" s="216"/>
      <c r="CB223" s="216"/>
      <c r="CC223" s="216"/>
      <c r="CD223" s="216"/>
      <c r="CE223" s="216"/>
      <c r="CF223" s="216"/>
      <c r="CG223" s="216"/>
      <c r="CH223" s="216"/>
      <c r="CI223" s="216"/>
      <c r="CJ223" s="216"/>
      <c r="CK223" s="216"/>
      <c r="CL223" s="216"/>
      <c r="CM223" s="216"/>
      <c r="CN223" s="216"/>
      <c r="CO223" s="216"/>
      <c r="CP223" s="216"/>
      <c r="CQ223" s="216"/>
    </row>
    <row r="224" spans="10:95" x14ac:dyDescent="0.25">
      <c r="J224" s="216"/>
      <c r="K224" s="217"/>
      <c r="L224" s="216"/>
      <c r="M224" s="216"/>
      <c r="N224" s="216"/>
      <c r="O224" s="216"/>
      <c r="P224" s="216"/>
      <c r="Q224" s="216"/>
      <c r="R224" s="216"/>
      <c r="S224" s="216"/>
      <c r="T224" s="216"/>
      <c r="U224" s="216"/>
      <c r="V224" s="216"/>
      <c r="W224" s="216"/>
      <c r="X224" s="216"/>
      <c r="Y224" s="216"/>
      <c r="Z224" s="216"/>
      <c r="AA224" s="216"/>
      <c r="AB224" s="216"/>
      <c r="AC224" s="216"/>
      <c r="AD224" s="216"/>
      <c r="AE224" s="216"/>
      <c r="AF224" s="216"/>
      <c r="AG224" s="216"/>
      <c r="AH224" s="216"/>
      <c r="AI224" s="216"/>
      <c r="AJ224" s="216"/>
      <c r="AK224" s="216"/>
      <c r="AL224" s="216"/>
      <c r="AM224" s="216"/>
      <c r="AN224" s="216"/>
      <c r="AO224" s="216"/>
      <c r="AP224" s="216"/>
      <c r="AQ224" s="216"/>
      <c r="AR224" s="216"/>
      <c r="AS224" s="216"/>
      <c r="AT224" s="216"/>
      <c r="AU224" s="216"/>
      <c r="AV224" s="216"/>
      <c r="AW224" s="216"/>
      <c r="AX224" s="216"/>
      <c r="AY224" s="216"/>
      <c r="AZ224" s="216"/>
      <c r="BA224" s="216"/>
      <c r="BB224" s="216"/>
      <c r="BC224" s="216"/>
      <c r="BD224" s="216"/>
      <c r="BE224" s="216"/>
      <c r="BF224" s="216"/>
      <c r="BG224" s="216"/>
      <c r="BH224" s="216"/>
      <c r="BI224" s="216"/>
      <c r="BJ224" s="216"/>
      <c r="BK224" s="216"/>
      <c r="BL224" s="216"/>
      <c r="BM224" s="216"/>
      <c r="BN224" s="216"/>
      <c r="BO224" s="216"/>
      <c r="BP224" s="216"/>
      <c r="BQ224" s="216"/>
      <c r="BR224" s="216"/>
      <c r="BS224" s="216"/>
      <c r="BT224" s="216"/>
      <c r="BU224" s="216"/>
      <c r="BV224" s="216"/>
      <c r="BW224" s="216"/>
      <c r="BX224" s="216"/>
      <c r="BY224" s="216"/>
      <c r="BZ224" s="216"/>
      <c r="CA224" s="216"/>
      <c r="CB224" s="216"/>
      <c r="CC224" s="216"/>
      <c r="CD224" s="216"/>
      <c r="CE224" s="216"/>
      <c r="CF224" s="216"/>
      <c r="CG224" s="216"/>
      <c r="CH224" s="216"/>
      <c r="CI224" s="216"/>
      <c r="CJ224" s="216"/>
      <c r="CK224" s="216"/>
      <c r="CL224" s="216"/>
      <c r="CM224" s="216"/>
      <c r="CN224" s="216"/>
      <c r="CO224" s="216"/>
      <c r="CP224" s="216"/>
      <c r="CQ224" s="216"/>
    </row>
    <row r="225" spans="10:95" x14ac:dyDescent="0.25">
      <c r="J225" s="216"/>
      <c r="K225" s="217"/>
      <c r="L225" s="216"/>
      <c r="M225" s="216"/>
      <c r="N225" s="216"/>
      <c r="O225" s="216"/>
      <c r="P225" s="216"/>
      <c r="Q225" s="216"/>
      <c r="R225" s="216"/>
      <c r="S225" s="216"/>
      <c r="T225" s="216"/>
      <c r="U225" s="216"/>
      <c r="V225" s="216"/>
      <c r="W225" s="216"/>
      <c r="X225" s="216"/>
      <c r="Y225" s="216"/>
      <c r="Z225" s="216"/>
      <c r="AA225" s="216"/>
      <c r="AB225" s="216"/>
      <c r="AC225" s="216"/>
      <c r="AD225" s="216"/>
      <c r="AE225" s="216"/>
      <c r="AF225" s="216"/>
      <c r="AG225" s="216"/>
      <c r="AH225" s="216"/>
      <c r="AI225" s="216"/>
      <c r="AJ225" s="216"/>
      <c r="AK225" s="216"/>
      <c r="AL225" s="216"/>
      <c r="AM225" s="216"/>
      <c r="AN225" s="216"/>
      <c r="AO225" s="216"/>
      <c r="AP225" s="216"/>
      <c r="AQ225" s="216"/>
      <c r="AR225" s="216"/>
      <c r="AS225" s="216"/>
      <c r="AT225" s="216"/>
      <c r="AU225" s="216"/>
      <c r="AV225" s="216"/>
      <c r="AW225" s="216"/>
      <c r="AX225" s="216"/>
      <c r="AY225" s="216"/>
      <c r="AZ225" s="216"/>
      <c r="BA225" s="216"/>
      <c r="BB225" s="216"/>
      <c r="BC225" s="216"/>
      <c r="BD225" s="216"/>
      <c r="BE225" s="216"/>
      <c r="BF225" s="216"/>
      <c r="BG225" s="216"/>
      <c r="BH225" s="216"/>
      <c r="BI225" s="216"/>
      <c r="BJ225" s="216"/>
      <c r="BK225" s="216"/>
      <c r="BL225" s="216"/>
      <c r="BM225" s="216"/>
      <c r="BN225" s="216"/>
      <c r="BO225" s="216"/>
      <c r="BP225" s="216"/>
      <c r="BQ225" s="216"/>
      <c r="BR225" s="216"/>
      <c r="BS225" s="216"/>
      <c r="BT225" s="216"/>
      <c r="BU225" s="216"/>
      <c r="BV225" s="216"/>
      <c r="BW225" s="216"/>
      <c r="BX225" s="216"/>
      <c r="BY225" s="216"/>
      <c r="BZ225" s="216"/>
      <c r="CA225" s="216"/>
      <c r="CB225" s="216"/>
      <c r="CC225" s="216"/>
      <c r="CD225" s="216"/>
      <c r="CE225" s="216"/>
      <c r="CF225" s="216"/>
      <c r="CG225" s="216"/>
      <c r="CH225" s="216"/>
      <c r="CI225" s="216"/>
      <c r="CJ225" s="216"/>
      <c r="CK225" s="216"/>
      <c r="CL225" s="216"/>
      <c r="CM225" s="216"/>
      <c r="CN225" s="216"/>
      <c r="CO225" s="216"/>
      <c r="CP225" s="216"/>
      <c r="CQ225" s="216"/>
    </row>
    <row r="226" spans="10:95" x14ac:dyDescent="0.25">
      <c r="J226" s="216"/>
      <c r="K226" s="217"/>
      <c r="L226" s="216"/>
      <c r="M226" s="216"/>
      <c r="N226" s="216"/>
      <c r="O226" s="216"/>
      <c r="P226" s="216"/>
      <c r="Q226" s="216"/>
      <c r="R226" s="216"/>
      <c r="S226" s="216"/>
      <c r="T226" s="216"/>
      <c r="U226" s="216"/>
      <c r="V226" s="216"/>
      <c r="W226" s="216"/>
      <c r="X226" s="216"/>
      <c r="Y226" s="216"/>
      <c r="Z226" s="216"/>
      <c r="AA226" s="216"/>
      <c r="AB226" s="216"/>
      <c r="AC226" s="216"/>
      <c r="AD226" s="216"/>
      <c r="AE226" s="216"/>
      <c r="AF226" s="216"/>
      <c r="AG226" s="216"/>
      <c r="AH226" s="216"/>
      <c r="AI226" s="216"/>
      <c r="AJ226" s="216"/>
      <c r="AK226" s="216"/>
      <c r="AL226" s="216"/>
      <c r="AM226" s="216"/>
      <c r="AN226" s="216"/>
      <c r="AO226" s="216"/>
      <c r="AP226" s="216"/>
      <c r="AQ226" s="216"/>
      <c r="AR226" s="216"/>
      <c r="AS226" s="216"/>
      <c r="AT226" s="216"/>
      <c r="AU226" s="216"/>
      <c r="AV226" s="216"/>
      <c r="AW226" s="216"/>
      <c r="AX226" s="216"/>
      <c r="AY226" s="216"/>
      <c r="AZ226" s="216"/>
      <c r="BA226" s="216"/>
      <c r="BB226" s="216"/>
      <c r="BC226" s="216"/>
      <c r="BD226" s="216"/>
      <c r="BE226" s="216"/>
      <c r="BF226" s="216"/>
      <c r="BG226" s="216"/>
      <c r="BH226" s="216"/>
      <c r="BI226" s="216"/>
      <c r="BJ226" s="216"/>
      <c r="BK226" s="216"/>
      <c r="BL226" s="216"/>
      <c r="BM226" s="216"/>
      <c r="BN226" s="216"/>
      <c r="BO226" s="216"/>
      <c r="BP226" s="216"/>
      <c r="BQ226" s="216"/>
      <c r="BR226" s="216"/>
      <c r="BS226" s="216"/>
      <c r="BT226" s="216"/>
      <c r="BU226" s="216"/>
      <c r="BV226" s="216"/>
      <c r="BW226" s="216"/>
      <c r="BX226" s="216"/>
      <c r="BY226" s="216"/>
      <c r="BZ226" s="216"/>
      <c r="CA226" s="216"/>
      <c r="CB226" s="216"/>
      <c r="CC226" s="216"/>
      <c r="CD226" s="216"/>
      <c r="CE226" s="216"/>
      <c r="CF226" s="216"/>
      <c r="CG226" s="216"/>
      <c r="CH226" s="216"/>
      <c r="CI226" s="216"/>
      <c r="CJ226" s="216"/>
      <c r="CK226" s="216"/>
      <c r="CL226" s="216"/>
      <c r="CM226" s="216"/>
      <c r="CN226" s="216"/>
      <c r="CO226" s="216"/>
      <c r="CP226" s="216"/>
      <c r="CQ226" s="216"/>
    </row>
    <row r="227" spans="10:95" x14ac:dyDescent="0.25">
      <c r="J227" s="216"/>
      <c r="K227" s="217"/>
      <c r="L227" s="216"/>
      <c r="M227" s="216"/>
      <c r="N227" s="216"/>
      <c r="O227" s="216"/>
      <c r="P227" s="216"/>
      <c r="Q227" s="216"/>
      <c r="R227" s="216"/>
      <c r="S227" s="216"/>
      <c r="T227" s="216"/>
      <c r="U227" s="216"/>
      <c r="V227" s="216"/>
      <c r="W227" s="216"/>
      <c r="X227" s="216"/>
      <c r="Y227" s="216"/>
      <c r="Z227" s="216"/>
      <c r="AA227" s="216"/>
      <c r="AB227" s="216"/>
      <c r="AC227" s="216"/>
      <c r="AD227" s="216"/>
      <c r="AE227" s="216"/>
      <c r="AF227" s="216"/>
      <c r="AG227" s="216"/>
      <c r="AH227" s="216"/>
      <c r="AI227" s="216"/>
      <c r="AJ227" s="216"/>
      <c r="AK227" s="216"/>
      <c r="AL227" s="216"/>
      <c r="AM227" s="216"/>
      <c r="AN227" s="216"/>
      <c r="AO227" s="216"/>
      <c r="AP227" s="216"/>
      <c r="AQ227" s="216"/>
      <c r="AR227" s="216"/>
      <c r="AS227" s="216"/>
      <c r="AT227" s="216"/>
      <c r="AU227" s="216"/>
      <c r="AV227" s="216"/>
      <c r="AW227" s="216"/>
      <c r="AX227" s="216"/>
      <c r="AY227" s="216"/>
      <c r="AZ227" s="216"/>
      <c r="BA227" s="216"/>
      <c r="BB227" s="216"/>
      <c r="BC227" s="216"/>
      <c r="BD227" s="216"/>
      <c r="BE227" s="216"/>
      <c r="BF227" s="216"/>
      <c r="BG227" s="216"/>
      <c r="BH227" s="216"/>
      <c r="BI227" s="216"/>
      <c r="BJ227" s="216"/>
      <c r="BK227" s="216"/>
      <c r="BL227" s="216"/>
      <c r="BM227" s="216"/>
      <c r="BN227" s="216"/>
      <c r="BO227" s="216"/>
      <c r="BP227" s="216"/>
      <c r="BQ227" s="216"/>
      <c r="BR227" s="216"/>
      <c r="BS227" s="216"/>
      <c r="BT227" s="216"/>
      <c r="BU227" s="216"/>
      <c r="BV227" s="216"/>
      <c r="BW227" s="216"/>
      <c r="BX227" s="216"/>
      <c r="BY227" s="216"/>
      <c r="BZ227" s="216"/>
      <c r="CA227" s="216"/>
      <c r="CB227" s="216"/>
      <c r="CC227" s="216"/>
      <c r="CD227" s="216"/>
      <c r="CE227" s="216"/>
      <c r="CF227" s="216"/>
      <c r="CG227" s="216"/>
      <c r="CH227" s="216"/>
      <c r="CI227" s="216"/>
      <c r="CJ227" s="216"/>
      <c r="CK227" s="216"/>
      <c r="CL227" s="216"/>
      <c r="CM227" s="216"/>
      <c r="CN227" s="216"/>
      <c r="CO227" s="216"/>
      <c r="CP227" s="216"/>
      <c r="CQ227" s="216"/>
    </row>
    <row r="228" spans="10:95" x14ac:dyDescent="0.25">
      <c r="J228" s="216"/>
      <c r="K228" s="217"/>
      <c r="L228" s="216"/>
      <c r="M228" s="216"/>
      <c r="N228" s="216"/>
      <c r="O228" s="216"/>
      <c r="P228" s="216"/>
      <c r="Q228" s="216"/>
      <c r="R228" s="216"/>
      <c r="S228" s="216"/>
      <c r="T228" s="216"/>
      <c r="U228" s="216"/>
      <c r="V228" s="216"/>
      <c r="W228" s="216"/>
      <c r="X228" s="216"/>
      <c r="Y228" s="216"/>
      <c r="Z228" s="216"/>
      <c r="AA228" s="216"/>
      <c r="AB228" s="216"/>
      <c r="AC228" s="216"/>
      <c r="AD228" s="216"/>
      <c r="AE228" s="216"/>
      <c r="AF228" s="216"/>
      <c r="AG228" s="216"/>
      <c r="AH228" s="216"/>
      <c r="AI228" s="216"/>
      <c r="AJ228" s="216"/>
      <c r="AK228" s="216"/>
      <c r="AL228" s="216"/>
      <c r="AM228" s="216"/>
      <c r="AN228" s="216"/>
      <c r="AO228" s="216"/>
      <c r="AP228" s="216"/>
      <c r="AQ228" s="216"/>
      <c r="AR228" s="216"/>
      <c r="AS228" s="216"/>
      <c r="AT228" s="216"/>
      <c r="AU228" s="216"/>
      <c r="AV228" s="216"/>
      <c r="AW228" s="216"/>
      <c r="AX228" s="216"/>
      <c r="AY228" s="216"/>
      <c r="AZ228" s="216"/>
      <c r="BA228" s="216"/>
      <c r="BB228" s="216"/>
      <c r="BC228" s="216"/>
      <c r="BD228" s="216"/>
      <c r="BE228" s="216"/>
      <c r="BF228" s="216"/>
      <c r="BG228" s="216"/>
      <c r="BH228" s="216"/>
      <c r="BI228" s="216"/>
      <c r="BJ228" s="216"/>
      <c r="BK228" s="216"/>
      <c r="BL228" s="216"/>
      <c r="BM228" s="216"/>
      <c r="BN228" s="216"/>
      <c r="BO228" s="216"/>
      <c r="BP228" s="216"/>
      <c r="BQ228" s="216"/>
      <c r="BR228" s="216"/>
      <c r="BS228" s="216"/>
      <c r="BT228" s="216"/>
      <c r="BU228" s="216"/>
      <c r="BV228" s="216"/>
      <c r="BW228" s="216"/>
      <c r="BX228" s="216"/>
      <c r="BY228" s="216"/>
      <c r="BZ228" s="216"/>
      <c r="CA228" s="216"/>
      <c r="CB228" s="216"/>
      <c r="CC228" s="216"/>
      <c r="CD228" s="216"/>
      <c r="CE228" s="216"/>
      <c r="CF228" s="216"/>
      <c r="CG228" s="216"/>
      <c r="CH228" s="216"/>
      <c r="CI228" s="216"/>
      <c r="CJ228" s="216"/>
      <c r="CK228" s="216"/>
      <c r="CL228" s="216"/>
      <c r="CM228" s="216"/>
      <c r="CN228" s="216"/>
      <c r="CO228" s="216"/>
      <c r="CP228" s="216"/>
      <c r="CQ228" s="216"/>
    </row>
    <row r="229" spans="10:95" x14ac:dyDescent="0.25">
      <c r="J229" s="216"/>
      <c r="K229" s="217"/>
      <c r="L229" s="216"/>
      <c r="M229" s="216"/>
      <c r="N229" s="216"/>
      <c r="O229" s="216"/>
      <c r="P229" s="216"/>
      <c r="Q229" s="216"/>
      <c r="R229" s="216"/>
      <c r="S229" s="216"/>
      <c r="T229" s="216"/>
      <c r="U229" s="216"/>
      <c r="V229" s="216"/>
      <c r="W229" s="216"/>
      <c r="X229" s="216"/>
      <c r="Y229" s="216"/>
      <c r="Z229" s="216"/>
      <c r="AA229" s="216"/>
      <c r="AB229" s="216"/>
      <c r="AC229" s="216"/>
      <c r="AD229" s="216"/>
      <c r="AE229" s="216"/>
      <c r="AF229" s="216"/>
      <c r="AG229" s="216"/>
      <c r="AH229" s="216"/>
      <c r="AI229" s="216"/>
      <c r="AJ229" s="216"/>
      <c r="AK229" s="216"/>
      <c r="AL229" s="216"/>
      <c r="AM229" s="216"/>
      <c r="AN229" s="216"/>
      <c r="AO229" s="216"/>
      <c r="AP229" s="216"/>
      <c r="AQ229" s="216"/>
      <c r="AR229" s="216"/>
      <c r="AS229" s="216"/>
      <c r="AT229" s="216"/>
      <c r="AU229" s="216"/>
      <c r="AV229" s="216"/>
      <c r="AW229" s="216"/>
      <c r="AX229" s="216"/>
      <c r="AY229" s="216"/>
      <c r="AZ229" s="216"/>
      <c r="BA229" s="216"/>
      <c r="BB229" s="216"/>
      <c r="BC229" s="216"/>
      <c r="BD229" s="216"/>
      <c r="BE229" s="216"/>
      <c r="BF229" s="216"/>
      <c r="BG229" s="216"/>
      <c r="BH229" s="216"/>
      <c r="BI229" s="216"/>
      <c r="BJ229" s="216"/>
      <c r="BK229" s="216"/>
      <c r="BL229" s="216"/>
      <c r="BM229" s="216"/>
      <c r="BN229" s="216"/>
      <c r="BO229" s="216"/>
      <c r="BP229" s="216"/>
      <c r="BQ229" s="216"/>
      <c r="BR229" s="216"/>
      <c r="BS229" s="216"/>
      <c r="BT229" s="216"/>
      <c r="BU229" s="216"/>
      <c r="BV229" s="216"/>
      <c r="BW229" s="216"/>
      <c r="BX229" s="216"/>
      <c r="BY229" s="216"/>
      <c r="BZ229" s="216"/>
      <c r="CA229" s="216"/>
      <c r="CB229" s="216"/>
      <c r="CC229" s="216"/>
      <c r="CD229" s="216"/>
      <c r="CE229" s="216"/>
      <c r="CF229" s="216"/>
      <c r="CG229" s="216"/>
      <c r="CH229" s="216"/>
      <c r="CI229" s="216"/>
      <c r="CJ229" s="216"/>
      <c r="CK229" s="216"/>
      <c r="CL229" s="216"/>
      <c r="CM229" s="216"/>
      <c r="CN229" s="216"/>
      <c r="CO229" s="216"/>
      <c r="CP229" s="216"/>
      <c r="CQ229" s="216"/>
    </row>
    <row r="230" spans="10:95" x14ac:dyDescent="0.25">
      <c r="J230" s="216"/>
      <c r="K230" s="217"/>
      <c r="L230" s="216"/>
      <c r="M230" s="216"/>
      <c r="N230" s="216"/>
      <c r="O230" s="216"/>
      <c r="P230" s="216"/>
      <c r="Q230" s="216"/>
      <c r="R230" s="216"/>
      <c r="S230" s="216"/>
      <c r="T230" s="216"/>
      <c r="U230" s="216"/>
      <c r="V230" s="216"/>
      <c r="W230" s="216"/>
      <c r="X230" s="216"/>
      <c r="Y230" s="216"/>
      <c r="Z230" s="216"/>
      <c r="AA230" s="216"/>
      <c r="AB230" s="216"/>
      <c r="AC230" s="216"/>
      <c r="AD230" s="216"/>
      <c r="AE230" s="216"/>
      <c r="AF230" s="216"/>
      <c r="AG230" s="216"/>
      <c r="AH230" s="216"/>
      <c r="AI230" s="216"/>
      <c r="AJ230" s="216"/>
      <c r="AK230" s="216"/>
      <c r="AL230" s="216"/>
      <c r="AM230" s="216"/>
      <c r="AN230" s="216"/>
      <c r="AO230" s="216"/>
      <c r="AP230" s="216"/>
      <c r="AQ230" s="216"/>
      <c r="AR230" s="216"/>
      <c r="AS230" s="216"/>
      <c r="AT230" s="216"/>
      <c r="AU230" s="216"/>
      <c r="AV230" s="216"/>
      <c r="AW230" s="216"/>
      <c r="AX230" s="216"/>
      <c r="AY230" s="216"/>
      <c r="AZ230" s="216"/>
      <c r="BA230" s="216"/>
      <c r="BB230" s="216"/>
      <c r="BC230" s="216"/>
      <c r="BD230" s="216"/>
      <c r="BE230" s="216"/>
      <c r="BF230" s="216"/>
      <c r="BG230" s="216"/>
      <c r="BH230" s="216"/>
      <c r="BI230" s="216"/>
      <c r="BJ230" s="216"/>
      <c r="BK230" s="216"/>
      <c r="BL230" s="216"/>
      <c r="BM230" s="216"/>
      <c r="BN230" s="216"/>
      <c r="BO230" s="216"/>
      <c r="BP230" s="216"/>
      <c r="BQ230" s="216"/>
      <c r="BR230" s="216"/>
      <c r="BS230" s="216"/>
      <c r="BT230" s="216"/>
      <c r="BU230" s="216"/>
      <c r="BV230" s="216"/>
      <c r="BW230" s="216"/>
      <c r="BX230" s="216"/>
      <c r="BY230" s="216"/>
      <c r="BZ230" s="216"/>
      <c r="CA230" s="216"/>
      <c r="CB230" s="216"/>
      <c r="CC230" s="216"/>
      <c r="CD230" s="216"/>
      <c r="CE230" s="216"/>
      <c r="CF230" s="216"/>
      <c r="CG230" s="216"/>
      <c r="CH230" s="216"/>
      <c r="CI230" s="216"/>
      <c r="CJ230" s="216"/>
      <c r="CK230" s="216"/>
      <c r="CL230" s="216"/>
      <c r="CM230" s="216"/>
      <c r="CN230" s="216"/>
      <c r="CO230" s="216"/>
      <c r="CP230" s="216"/>
      <c r="CQ230" s="216"/>
    </row>
    <row r="231" spans="10:95" x14ac:dyDescent="0.25">
      <c r="J231" s="216"/>
      <c r="K231" s="217"/>
      <c r="L231" s="216"/>
      <c r="M231" s="216"/>
      <c r="N231" s="216"/>
      <c r="O231" s="216"/>
      <c r="P231" s="216"/>
      <c r="Q231" s="216"/>
      <c r="R231" s="216"/>
      <c r="S231" s="216"/>
      <c r="T231" s="216"/>
      <c r="U231" s="216"/>
      <c r="V231" s="216"/>
      <c r="W231" s="216"/>
      <c r="X231" s="216"/>
      <c r="Y231" s="216"/>
      <c r="Z231" s="216"/>
      <c r="AA231" s="216"/>
      <c r="AB231" s="216"/>
      <c r="AC231" s="216"/>
      <c r="AD231" s="216"/>
      <c r="AE231" s="216"/>
      <c r="AF231" s="216"/>
      <c r="AG231" s="216"/>
      <c r="AH231" s="216"/>
      <c r="AI231" s="216"/>
      <c r="AJ231" s="216"/>
      <c r="AK231" s="216"/>
      <c r="AL231" s="216"/>
      <c r="AM231" s="216"/>
      <c r="AN231" s="216"/>
      <c r="AO231" s="216"/>
      <c r="AP231" s="216"/>
      <c r="AQ231" s="216"/>
      <c r="AR231" s="216"/>
      <c r="AS231" s="216"/>
      <c r="AT231" s="216"/>
      <c r="AU231" s="216"/>
      <c r="AV231" s="216"/>
      <c r="AW231" s="216"/>
      <c r="AX231" s="216"/>
      <c r="AY231" s="216"/>
      <c r="AZ231" s="216"/>
      <c r="BA231" s="216"/>
      <c r="BB231" s="216"/>
      <c r="BC231" s="216"/>
      <c r="BD231" s="216"/>
      <c r="BE231" s="216"/>
      <c r="BF231" s="216"/>
      <c r="BG231" s="216"/>
      <c r="BH231" s="216"/>
      <c r="BI231" s="216"/>
      <c r="BJ231" s="216"/>
      <c r="BK231" s="216"/>
      <c r="BL231" s="216"/>
      <c r="BM231" s="216"/>
      <c r="BN231" s="216"/>
      <c r="BO231" s="216"/>
      <c r="BP231" s="216"/>
      <c r="BQ231" s="216"/>
      <c r="BR231" s="216"/>
      <c r="BS231" s="216"/>
      <c r="BT231" s="216"/>
      <c r="BU231" s="216"/>
      <c r="BV231" s="216"/>
      <c r="BW231" s="216"/>
      <c r="BX231" s="216"/>
      <c r="BY231" s="216"/>
      <c r="BZ231" s="216"/>
      <c r="CA231" s="216"/>
      <c r="CB231" s="216"/>
      <c r="CC231" s="216"/>
      <c r="CD231" s="216"/>
      <c r="CE231" s="216"/>
      <c r="CF231" s="216"/>
      <c r="CG231" s="216"/>
      <c r="CH231" s="216"/>
      <c r="CI231" s="216"/>
      <c r="CJ231" s="216"/>
      <c r="CK231" s="216"/>
      <c r="CL231" s="216"/>
      <c r="CM231" s="216"/>
      <c r="CN231" s="216"/>
      <c r="CO231" s="216"/>
      <c r="CP231" s="216"/>
      <c r="CQ231" s="216"/>
    </row>
    <row r="232" spans="10:95" x14ac:dyDescent="0.25">
      <c r="J232" s="216"/>
      <c r="K232" s="217"/>
      <c r="L232" s="216"/>
      <c r="M232" s="216"/>
      <c r="N232" s="216"/>
      <c r="O232" s="216"/>
      <c r="P232" s="216"/>
      <c r="Q232" s="216"/>
      <c r="R232" s="216"/>
      <c r="S232" s="216"/>
      <c r="T232" s="216"/>
      <c r="U232" s="216"/>
      <c r="V232" s="216"/>
      <c r="W232" s="216"/>
      <c r="X232" s="216"/>
      <c r="Y232" s="216"/>
      <c r="Z232" s="216"/>
      <c r="AA232" s="216"/>
      <c r="AB232" s="216"/>
      <c r="AC232" s="216"/>
      <c r="AD232" s="216"/>
      <c r="AE232" s="216"/>
      <c r="AF232" s="216"/>
      <c r="AG232" s="216"/>
      <c r="AH232" s="216"/>
      <c r="AI232" s="216"/>
      <c r="AJ232" s="216"/>
      <c r="AK232" s="216"/>
      <c r="AL232" s="216"/>
      <c r="AM232" s="216"/>
      <c r="AN232" s="216"/>
      <c r="AO232" s="216"/>
      <c r="AP232" s="216"/>
      <c r="AQ232" s="216"/>
      <c r="AR232" s="216"/>
      <c r="AS232" s="216"/>
      <c r="AT232" s="216"/>
      <c r="AU232" s="216"/>
      <c r="AV232" s="216"/>
      <c r="AW232" s="216"/>
      <c r="AX232" s="216"/>
      <c r="AY232" s="216"/>
      <c r="AZ232" s="216"/>
      <c r="BA232" s="216"/>
      <c r="BB232" s="216"/>
      <c r="BC232" s="216"/>
      <c r="BD232" s="216"/>
      <c r="BE232" s="216"/>
      <c r="BF232" s="216"/>
      <c r="BG232" s="216"/>
      <c r="BH232" s="216"/>
      <c r="BI232" s="216"/>
      <c r="BJ232" s="216"/>
      <c r="BK232" s="216"/>
      <c r="BL232" s="216"/>
      <c r="BM232" s="216"/>
      <c r="BN232" s="216"/>
      <c r="BO232" s="216"/>
      <c r="BP232" s="216"/>
      <c r="BQ232" s="216"/>
      <c r="BR232" s="216"/>
      <c r="BS232" s="216"/>
      <c r="BT232" s="216"/>
      <c r="BU232" s="216"/>
      <c r="BV232" s="216"/>
      <c r="BW232" s="216"/>
      <c r="BX232" s="216"/>
      <c r="BY232" s="216"/>
      <c r="BZ232" s="216"/>
      <c r="CA232" s="216"/>
      <c r="CB232" s="216"/>
      <c r="CC232" s="216"/>
      <c r="CD232" s="216"/>
      <c r="CE232" s="216"/>
      <c r="CF232" s="216"/>
      <c r="CG232" s="216"/>
      <c r="CH232" s="216"/>
      <c r="CI232" s="216"/>
      <c r="CJ232" s="216"/>
      <c r="CK232" s="216"/>
      <c r="CL232" s="216"/>
      <c r="CM232" s="216"/>
      <c r="CN232" s="216"/>
      <c r="CO232" s="216"/>
      <c r="CP232" s="216"/>
      <c r="CQ232" s="216"/>
    </row>
    <row r="233" spans="10:95" x14ac:dyDescent="0.25">
      <c r="J233" s="216"/>
      <c r="K233" s="217"/>
      <c r="L233" s="216"/>
      <c r="M233" s="216"/>
      <c r="N233" s="216"/>
      <c r="O233" s="216"/>
      <c r="P233" s="216"/>
      <c r="Q233" s="216"/>
      <c r="R233" s="216"/>
      <c r="S233" s="216"/>
      <c r="T233" s="216"/>
      <c r="U233" s="216"/>
      <c r="V233" s="216"/>
      <c r="W233" s="216"/>
      <c r="X233" s="216"/>
      <c r="Y233" s="216"/>
      <c r="Z233" s="216"/>
      <c r="AA233" s="216"/>
      <c r="AB233" s="216"/>
      <c r="AC233" s="216"/>
      <c r="AD233" s="216"/>
      <c r="AE233" s="216"/>
      <c r="AF233" s="216"/>
      <c r="AG233" s="216"/>
      <c r="AH233" s="216"/>
      <c r="AI233" s="216"/>
      <c r="AJ233" s="216"/>
      <c r="AK233" s="216"/>
      <c r="AL233" s="216"/>
      <c r="AM233" s="216"/>
      <c r="AN233" s="216"/>
      <c r="AO233" s="216"/>
      <c r="AP233" s="216"/>
      <c r="AQ233" s="216"/>
      <c r="AR233" s="216"/>
      <c r="AS233" s="216"/>
      <c r="AT233" s="216"/>
      <c r="AU233" s="216"/>
      <c r="AV233" s="216"/>
      <c r="AW233" s="216"/>
      <c r="AX233" s="216"/>
      <c r="AY233" s="216"/>
      <c r="AZ233" s="216"/>
      <c r="BA233" s="216"/>
      <c r="BB233" s="216"/>
      <c r="BC233" s="216"/>
      <c r="BD233" s="216"/>
      <c r="BE233" s="216"/>
      <c r="BF233" s="216"/>
      <c r="BG233" s="216"/>
      <c r="BH233" s="216"/>
      <c r="BI233" s="216"/>
      <c r="BJ233" s="216"/>
      <c r="BK233" s="216"/>
      <c r="BL233" s="216"/>
      <c r="BM233" s="216"/>
      <c r="BN233" s="216"/>
      <c r="BO233" s="216"/>
      <c r="BP233" s="216"/>
      <c r="BQ233" s="216"/>
      <c r="BR233" s="216"/>
      <c r="BS233" s="216"/>
      <c r="BT233" s="216"/>
      <c r="BU233" s="216"/>
      <c r="BV233" s="216"/>
      <c r="BW233" s="216"/>
      <c r="BX233" s="216"/>
      <c r="BY233" s="216"/>
      <c r="BZ233" s="216"/>
      <c r="CA233" s="216"/>
      <c r="CB233" s="216"/>
      <c r="CC233" s="216"/>
      <c r="CD233" s="216"/>
      <c r="CE233" s="216"/>
      <c r="CF233" s="216"/>
      <c r="CG233" s="216"/>
      <c r="CH233" s="216"/>
      <c r="CI233" s="216"/>
      <c r="CJ233" s="216"/>
      <c r="CK233" s="216"/>
      <c r="CL233" s="216"/>
      <c r="CM233" s="216"/>
      <c r="CN233" s="216"/>
      <c r="CO233" s="216"/>
      <c r="CP233" s="216"/>
      <c r="CQ233" s="216"/>
    </row>
    <row r="234" spans="10:95" x14ac:dyDescent="0.25">
      <c r="J234" s="216"/>
      <c r="K234" s="217"/>
      <c r="L234" s="216"/>
      <c r="M234" s="216"/>
      <c r="N234" s="216"/>
      <c r="O234" s="216"/>
      <c r="P234" s="216"/>
      <c r="Q234" s="216"/>
      <c r="R234" s="216"/>
      <c r="S234" s="216"/>
      <c r="T234" s="216"/>
      <c r="U234" s="216"/>
      <c r="V234" s="216"/>
      <c r="W234" s="216"/>
      <c r="X234" s="216"/>
      <c r="Y234" s="216"/>
      <c r="Z234" s="216"/>
      <c r="AA234" s="216"/>
      <c r="AB234" s="216"/>
      <c r="AC234" s="216"/>
      <c r="AD234" s="216"/>
      <c r="AE234" s="216"/>
      <c r="AF234" s="216"/>
      <c r="AG234" s="216"/>
      <c r="AH234" s="216"/>
      <c r="AI234" s="216"/>
      <c r="AJ234" s="216"/>
      <c r="AK234" s="216"/>
      <c r="AL234" s="216"/>
      <c r="AM234" s="216"/>
      <c r="AN234" s="216"/>
      <c r="AO234" s="216"/>
      <c r="AP234" s="216"/>
      <c r="AQ234" s="216"/>
      <c r="AR234" s="216"/>
      <c r="AS234" s="216"/>
      <c r="AT234" s="216"/>
      <c r="AU234" s="216"/>
      <c r="AV234" s="216"/>
      <c r="AW234" s="216"/>
      <c r="AX234" s="216"/>
      <c r="AY234" s="216"/>
      <c r="AZ234" s="216"/>
      <c r="BA234" s="216"/>
      <c r="BB234" s="216"/>
      <c r="BC234" s="216"/>
      <c r="BD234" s="216"/>
      <c r="BE234" s="216"/>
      <c r="BF234" s="216"/>
      <c r="BG234" s="216"/>
      <c r="BH234" s="216"/>
      <c r="BI234" s="216"/>
      <c r="BJ234" s="216"/>
      <c r="BK234" s="216"/>
      <c r="BL234" s="216"/>
      <c r="BM234" s="216"/>
      <c r="BN234" s="216"/>
      <c r="BO234" s="216"/>
      <c r="BP234" s="216"/>
      <c r="BQ234" s="216"/>
      <c r="BR234" s="216"/>
      <c r="BS234" s="216"/>
      <c r="BT234" s="216"/>
      <c r="BU234" s="216"/>
      <c r="BV234" s="216"/>
      <c r="BW234" s="216"/>
      <c r="BX234" s="216"/>
      <c r="BY234" s="216"/>
      <c r="BZ234" s="216"/>
      <c r="CA234" s="216"/>
      <c r="CB234" s="216"/>
      <c r="CC234" s="216"/>
      <c r="CD234" s="216"/>
      <c r="CE234" s="216"/>
      <c r="CF234" s="216"/>
      <c r="CG234" s="216"/>
      <c r="CH234" s="216"/>
      <c r="CI234" s="216"/>
      <c r="CJ234" s="216"/>
      <c r="CK234" s="216"/>
      <c r="CL234" s="216"/>
      <c r="CM234" s="216"/>
      <c r="CN234" s="216"/>
      <c r="CO234" s="216"/>
      <c r="CP234" s="216"/>
      <c r="CQ234" s="216"/>
    </row>
    <row r="235" spans="10:95" x14ac:dyDescent="0.25">
      <c r="J235" s="216"/>
      <c r="K235" s="217"/>
      <c r="L235" s="216"/>
      <c r="M235" s="216"/>
      <c r="N235" s="216"/>
      <c r="O235" s="216"/>
      <c r="P235" s="216"/>
      <c r="Q235" s="216"/>
      <c r="R235" s="216"/>
      <c r="S235" s="216"/>
      <c r="T235" s="216"/>
      <c r="U235" s="216"/>
      <c r="V235" s="216"/>
      <c r="W235" s="216"/>
      <c r="X235" s="216"/>
      <c r="Y235" s="216"/>
      <c r="Z235" s="216"/>
      <c r="AA235" s="216"/>
      <c r="AB235" s="216"/>
      <c r="AC235" s="216"/>
      <c r="AD235" s="216"/>
      <c r="AE235" s="216"/>
      <c r="AF235" s="216"/>
      <c r="AG235" s="216"/>
      <c r="AH235" s="216"/>
      <c r="AI235" s="216"/>
      <c r="AJ235" s="216"/>
      <c r="AK235" s="216"/>
      <c r="AL235" s="216"/>
      <c r="AM235" s="216"/>
      <c r="AN235" s="216"/>
      <c r="AO235" s="216"/>
      <c r="AP235" s="216"/>
      <c r="AQ235" s="216"/>
      <c r="AR235" s="216"/>
      <c r="AS235" s="216"/>
      <c r="AT235" s="216"/>
      <c r="AU235" s="216"/>
      <c r="AV235" s="216"/>
      <c r="AW235" s="216"/>
      <c r="AX235" s="216"/>
      <c r="AY235" s="216"/>
      <c r="AZ235" s="216"/>
      <c r="BA235" s="216"/>
      <c r="BB235" s="216"/>
      <c r="BC235" s="216"/>
      <c r="BD235" s="216"/>
      <c r="BE235" s="216"/>
      <c r="BF235" s="216"/>
      <c r="BG235" s="216"/>
      <c r="BH235" s="216"/>
      <c r="BI235" s="216"/>
      <c r="BJ235" s="216"/>
      <c r="BK235" s="216"/>
      <c r="BL235" s="216"/>
      <c r="BM235" s="216"/>
      <c r="BN235" s="216"/>
      <c r="BO235" s="216"/>
      <c r="BP235" s="216"/>
      <c r="BQ235" s="216"/>
      <c r="BR235" s="216"/>
      <c r="BS235" s="216"/>
      <c r="BT235" s="216"/>
      <c r="BU235" s="216"/>
      <c r="BV235" s="216"/>
      <c r="BW235" s="216"/>
      <c r="BX235" s="216"/>
      <c r="BY235" s="216"/>
      <c r="BZ235" s="216"/>
      <c r="CA235" s="216"/>
      <c r="CB235" s="216"/>
      <c r="CC235" s="216"/>
      <c r="CD235" s="216"/>
      <c r="CE235" s="216"/>
      <c r="CF235" s="216"/>
      <c r="CG235" s="216"/>
      <c r="CH235" s="216"/>
      <c r="CI235" s="216"/>
      <c r="CJ235" s="216"/>
      <c r="CK235" s="216"/>
      <c r="CL235" s="216"/>
      <c r="CM235" s="216"/>
      <c r="CN235" s="216"/>
      <c r="CO235" s="216"/>
      <c r="CP235" s="216"/>
      <c r="CQ235" s="216"/>
    </row>
    <row r="236" spans="10:95" x14ac:dyDescent="0.25">
      <c r="J236" s="216"/>
      <c r="K236" s="217"/>
      <c r="L236" s="216"/>
      <c r="M236" s="216"/>
      <c r="N236" s="216"/>
      <c r="O236" s="216"/>
      <c r="P236" s="216"/>
      <c r="Q236" s="216"/>
      <c r="R236" s="216"/>
      <c r="S236" s="216"/>
      <c r="T236" s="216"/>
      <c r="U236" s="216"/>
      <c r="V236" s="216"/>
      <c r="W236" s="216"/>
      <c r="X236" s="216"/>
      <c r="Y236" s="216"/>
      <c r="Z236" s="216"/>
      <c r="AA236" s="216"/>
      <c r="AB236" s="216"/>
      <c r="AC236" s="216"/>
      <c r="AD236" s="216"/>
      <c r="AE236" s="216"/>
      <c r="AF236" s="216"/>
      <c r="AG236" s="216"/>
      <c r="AH236" s="216"/>
      <c r="AI236" s="216"/>
      <c r="AJ236" s="216"/>
      <c r="AK236" s="216"/>
      <c r="AL236" s="216"/>
      <c r="AM236" s="216"/>
      <c r="AN236" s="216"/>
      <c r="AO236" s="216"/>
      <c r="AP236" s="216"/>
      <c r="AQ236" s="216"/>
      <c r="AR236" s="216"/>
      <c r="AS236" s="216"/>
      <c r="AT236" s="216"/>
      <c r="AU236" s="216"/>
      <c r="AV236" s="216"/>
      <c r="AW236" s="216"/>
      <c r="AX236" s="216"/>
      <c r="AY236" s="216"/>
      <c r="AZ236" s="216"/>
      <c r="BA236" s="216"/>
      <c r="BB236" s="216"/>
      <c r="BC236" s="216"/>
      <c r="BD236" s="216"/>
      <c r="BE236" s="216"/>
      <c r="BF236" s="216"/>
      <c r="BG236" s="216"/>
      <c r="BH236" s="216"/>
      <c r="BI236" s="216"/>
      <c r="BJ236" s="216"/>
      <c r="BK236" s="216"/>
      <c r="BL236" s="216"/>
      <c r="BM236" s="216"/>
      <c r="BN236" s="216"/>
      <c r="BO236" s="216"/>
      <c r="BP236" s="216"/>
      <c r="BQ236" s="216"/>
      <c r="BR236" s="216"/>
      <c r="BS236" s="216"/>
      <c r="BT236" s="216"/>
      <c r="BU236" s="216"/>
      <c r="BV236" s="216"/>
      <c r="BW236" s="216"/>
      <c r="BX236" s="216"/>
      <c r="BY236" s="216"/>
      <c r="BZ236" s="216"/>
      <c r="CA236" s="216"/>
      <c r="CB236" s="216"/>
      <c r="CC236" s="216"/>
      <c r="CD236" s="216"/>
      <c r="CE236" s="216"/>
      <c r="CF236" s="216"/>
      <c r="CG236" s="216"/>
      <c r="CH236" s="216"/>
      <c r="CI236" s="216"/>
      <c r="CJ236" s="216"/>
      <c r="CK236" s="216"/>
      <c r="CL236" s="216"/>
      <c r="CM236" s="216"/>
      <c r="CN236" s="216"/>
      <c r="CO236" s="216"/>
      <c r="CP236" s="216"/>
      <c r="CQ236" s="216"/>
    </row>
    <row r="237" spans="10:95" x14ac:dyDescent="0.25">
      <c r="J237" s="216"/>
      <c r="K237" s="217"/>
      <c r="L237" s="216"/>
      <c r="M237" s="216"/>
      <c r="N237" s="216"/>
      <c r="O237" s="216"/>
      <c r="P237" s="216"/>
      <c r="Q237" s="216"/>
      <c r="R237" s="216"/>
      <c r="S237" s="216"/>
      <c r="T237" s="216"/>
      <c r="U237" s="216"/>
      <c r="V237" s="216"/>
      <c r="W237" s="216"/>
      <c r="X237" s="216"/>
      <c r="Y237" s="216"/>
      <c r="Z237" s="216"/>
      <c r="AA237" s="216"/>
      <c r="AB237" s="216"/>
      <c r="AC237" s="216"/>
      <c r="AD237" s="216"/>
      <c r="AE237" s="216"/>
      <c r="AF237" s="216"/>
      <c r="AG237" s="216"/>
      <c r="AH237" s="216"/>
      <c r="AI237" s="216"/>
      <c r="AJ237" s="216"/>
      <c r="AK237" s="216"/>
      <c r="AL237" s="216"/>
      <c r="AM237" s="216"/>
      <c r="AN237" s="216"/>
      <c r="AO237" s="216"/>
      <c r="AP237" s="216"/>
      <c r="AQ237" s="216"/>
      <c r="AR237" s="216"/>
      <c r="AS237" s="216"/>
      <c r="AT237" s="216"/>
      <c r="AU237" s="216"/>
      <c r="AV237" s="216"/>
      <c r="AW237" s="216"/>
      <c r="AX237" s="216"/>
      <c r="AY237" s="216"/>
      <c r="AZ237" s="216"/>
      <c r="BA237" s="216"/>
      <c r="BB237" s="216"/>
      <c r="BC237" s="216"/>
      <c r="BD237" s="216"/>
      <c r="BE237" s="216"/>
      <c r="BF237" s="216"/>
      <c r="BG237" s="216"/>
      <c r="BH237" s="216"/>
      <c r="BI237" s="216"/>
      <c r="BJ237" s="216"/>
      <c r="BK237" s="216"/>
      <c r="BL237" s="216"/>
      <c r="BM237" s="216"/>
      <c r="BN237" s="216"/>
      <c r="BO237" s="216"/>
      <c r="BP237" s="216"/>
      <c r="BQ237" s="216"/>
      <c r="BR237" s="216"/>
      <c r="BS237" s="216"/>
      <c r="BT237" s="216"/>
      <c r="BU237" s="216"/>
      <c r="BV237" s="216"/>
      <c r="BW237" s="216"/>
      <c r="BX237" s="216"/>
      <c r="BY237" s="216"/>
      <c r="BZ237" s="216"/>
      <c r="CA237" s="216"/>
      <c r="CB237" s="216"/>
      <c r="CC237" s="216"/>
      <c r="CD237" s="216"/>
      <c r="CE237" s="216"/>
      <c r="CF237" s="216"/>
      <c r="CG237" s="216"/>
      <c r="CH237" s="216"/>
      <c r="CI237" s="216"/>
      <c r="CJ237" s="216"/>
      <c r="CK237" s="216"/>
      <c r="CL237" s="216"/>
      <c r="CM237" s="216"/>
      <c r="CN237" s="216"/>
      <c r="CO237" s="216"/>
      <c r="CP237" s="216"/>
      <c r="CQ237" s="216"/>
    </row>
    <row r="238" spans="10:95" x14ac:dyDescent="0.25">
      <c r="J238" s="216"/>
      <c r="K238" s="217"/>
      <c r="L238" s="216"/>
      <c r="M238" s="216"/>
      <c r="N238" s="216"/>
      <c r="O238" s="216"/>
      <c r="P238" s="216"/>
      <c r="Q238" s="216"/>
      <c r="R238" s="216"/>
      <c r="S238" s="216"/>
      <c r="T238" s="216"/>
      <c r="U238" s="216"/>
      <c r="V238" s="216"/>
      <c r="W238" s="216"/>
      <c r="X238" s="216"/>
      <c r="Y238" s="216"/>
      <c r="Z238" s="216"/>
      <c r="AA238" s="216"/>
      <c r="AB238" s="216"/>
      <c r="AC238" s="216"/>
      <c r="AD238" s="216"/>
      <c r="AE238" s="216"/>
      <c r="AF238" s="216"/>
      <c r="AG238" s="216"/>
      <c r="AH238" s="216"/>
      <c r="AI238" s="216"/>
      <c r="AJ238" s="216"/>
      <c r="AK238" s="216"/>
      <c r="AL238" s="216"/>
      <c r="AM238" s="216"/>
      <c r="AN238" s="216"/>
      <c r="AO238" s="216"/>
      <c r="AP238" s="216"/>
      <c r="AQ238" s="216"/>
      <c r="AR238" s="216"/>
      <c r="AS238" s="216"/>
      <c r="AT238" s="216"/>
      <c r="AU238" s="216"/>
      <c r="AV238" s="216"/>
      <c r="AW238" s="216"/>
      <c r="AX238" s="216"/>
      <c r="AY238" s="216"/>
      <c r="AZ238" s="216"/>
      <c r="BA238" s="216"/>
      <c r="BB238" s="216"/>
      <c r="BC238" s="216"/>
      <c r="BD238" s="216"/>
      <c r="BE238" s="216"/>
      <c r="BF238" s="216"/>
      <c r="BG238" s="216"/>
      <c r="BH238" s="216"/>
      <c r="BI238" s="216"/>
      <c r="BJ238" s="216"/>
      <c r="BK238" s="216"/>
      <c r="BL238" s="216"/>
      <c r="BM238" s="216"/>
      <c r="BN238" s="216"/>
      <c r="BO238" s="216"/>
      <c r="BP238" s="216"/>
      <c r="BQ238" s="216"/>
      <c r="BR238" s="216"/>
      <c r="BS238" s="216"/>
      <c r="BT238" s="216"/>
      <c r="BU238" s="216"/>
      <c r="BV238" s="216"/>
      <c r="BW238" s="216"/>
      <c r="BX238" s="216"/>
      <c r="BY238" s="216"/>
      <c r="BZ238" s="216"/>
      <c r="CA238" s="216"/>
      <c r="CB238" s="216"/>
      <c r="CC238" s="216"/>
      <c r="CD238" s="216"/>
      <c r="CE238" s="216"/>
      <c r="CF238" s="216"/>
      <c r="CG238" s="216"/>
      <c r="CH238" s="216"/>
      <c r="CI238" s="216"/>
      <c r="CJ238" s="216"/>
      <c r="CK238" s="216"/>
      <c r="CL238" s="216"/>
      <c r="CM238" s="216"/>
      <c r="CN238" s="216"/>
      <c r="CO238" s="216"/>
      <c r="CP238" s="216"/>
      <c r="CQ238" s="216"/>
    </row>
    <row r="239" spans="10:95" x14ac:dyDescent="0.25">
      <c r="J239" s="216"/>
      <c r="K239" s="217"/>
      <c r="L239" s="216"/>
      <c r="M239" s="216"/>
      <c r="N239" s="216"/>
      <c r="O239" s="216"/>
      <c r="P239" s="216"/>
      <c r="Q239" s="216"/>
      <c r="R239" s="216"/>
      <c r="S239" s="216"/>
      <c r="T239" s="216"/>
      <c r="U239" s="216"/>
      <c r="V239" s="216"/>
      <c r="W239" s="216"/>
      <c r="X239" s="216"/>
      <c r="Y239" s="216"/>
      <c r="Z239" s="216"/>
      <c r="AA239" s="216"/>
      <c r="AB239" s="216"/>
      <c r="AC239" s="216"/>
      <c r="AD239" s="216"/>
      <c r="AE239" s="216"/>
      <c r="AF239" s="216"/>
      <c r="AG239" s="216"/>
      <c r="AH239" s="216"/>
      <c r="AI239" s="216"/>
      <c r="AJ239" s="216"/>
      <c r="AK239" s="216"/>
      <c r="AL239" s="216"/>
      <c r="AM239" s="216"/>
      <c r="AN239" s="216"/>
      <c r="AO239" s="216"/>
      <c r="AP239" s="216"/>
      <c r="AQ239" s="216"/>
      <c r="AR239" s="216"/>
      <c r="AS239" s="216"/>
      <c r="AT239" s="216"/>
      <c r="AU239" s="216"/>
      <c r="AV239" s="216"/>
      <c r="AW239" s="216"/>
      <c r="AX239" s="216"/>
      <c r="AY239" s="216"/>
      <c r="AZ239" s="216"/>
      <c r="BA239" s="216"/>
      <c r="BB239" s="216"/>
      <c r="BC239" s="216"/>
      <c r="BD239" s="216"/>
      <c r="BE239" s="216"/>
      <c r="BF239" s="216"/>
      <c r="BG239" s="216"/>
      <c r="BH239" s="216"/>
      <c r="BI239" s="216"/>
      <c r="BJ239" s="216"/>
      <c r="BK239" s="216"/>
      <c r="BL239" s="216"/>
      <c r="BM239" s="216"/>
      <c r="BN239" s="216"/>
      <c r="BO239" s="216"/>
      <c r="BP239" s="216"/>
      <c r="BQ239" s="216"/>
      <c r="BR239" s="216"/>
      <c r="BS239" s="216"/>
      <c r="BT239" s="216"/>
      <c r="BU239" s="216"/>
      <c r="BV239" s="216"/>
      <c r="BW239" s="216"/>
      <c r="BX239" s="216"/>
      <c r="BY239" s="216"/>
      <c r="BZ239" s="216"/>
      <c r="CA239" s="216"/>
      <c r="CB239" s="216"/>
      <c r="CC239" s="216"/>
      <c r="CD239" s="216"/>
      <c r="CE239" s="216"/>
      <c r="CF239" s="216"/>
      <c r="CG239" s="216"/>
      <c r="CH239" s="216"/>
      <c r="CI239" s="216"/>
      <c r="CJ239" s="216"/>
      <c r="CK239" s="216"/>
      <c r="CL239" s="216"/>
      <c r="CM239" s="216"/>
      <c r="CN239" s="216"/>
      <c r="CO239" s="216"/>
      <c r="CP239" s="216"/>
      <c r="CQ239" s="216"/>
    </row>
    <row r="240" spans="10:95" x14ac:dyDescent="0.25">
      <c r="J240" s="216"/>
      <c r="K240" s="217"/>
      <c r="L240" s="216"/>
      <c r="M240" s="216"/>
      <c r="N240" s="216"/>
      <c r="O240" s="216"/>
      <c r="P240" s="216"/>
      <c r="Q240" s="216"/>
      <c r="R240" s="216"/>
      <c r="S240" s="216"/>
      <c r="T240" s="216"/>
      <c r="U240" s="216"/>
      <c r="V240" s="216"/>
      <c r="W240" s="216"/>
      <c r="X240" s="216"/>
      <c r="Y240" s="216"/>
      <c r="Z240" s="216"/>
      <c r="AA240" s="216"/>
      <c r="AB240" s="216"/>
      <c r="AC240" s="216"/>
      <c r="AD240" s="216"/>
      <c r="AE240" s="216"/>
      <c r="AF240" s="216"/>
      <c r="AG240" s="216"/>
      <c r="AH240" s="216"/>
      <c r="AI240" s="216"/>
      <c r="AJ240" s="216"/>
      <c r="AK240" s="216"/>
      <c r="AL240" s="216"/>
      <c r="AM240" s="216"/>
      <c r="AN240" s="216"/>
      <c r="AO240" s="216"/>
      <c r="AP240" s="216"/>
      <c r="AQ240" s="216"/>
      <c r="AR240" s="216"/>
      <c r="AS240" s="216"/>
      <c r="AT240" s="216"/>
      <c r="AU240" s="216"/>
      <c r="AV240" s="216"/>
      <c r="AW240" s="216"/>
      <c r="AX240" s="216"/>
      <c r="AY240" s="216"/>
      <c r="AZ240" s="216"/>
      <c r="BA240" s="216"/>
      <c r="BB240" s="216"/>
      <c r="BC240" s="216"/>
      <c r="BD240" s="216"/>
      <c r="BE240" s="216"/>
      <c r="BF240" s="216"/>
      <c r="BG240" s="216"/>
      <c r="BH240" s="216"/>
      <c r="BI240" s="216"/>
      <c r="BJ240" s="216"/>
      <c r="BK240" s="216"/>
      <c r="BL240" s="216"/>
      <c r="BM240" s="216"/>
      <c r="BN240" s="216"/>
      <c r="BO240" s="216"/>
      <c r="BP240" s="216"/>
      <c r="BQ240" s="216"/>
      <c r="BR240" s="216"/>
      <c r="BS240" s="216"/>
      <c r="BT240" s="216"/>
      <c r="BU240" s="216"/>
      <c r="BV240" s="216"/>
      <c r="BW240" s="216"/>
      <c r="BX240" s="216"/>
      <c r="BY240" s="216"/>
      <c r="BZ240" s="216"/>
      <c r="CA240" s="216"/>
      <c r="CB240" s="216"/>
      <c r="CC240" s="216"/>
      <c r="CD240" s="216"/>
      <c r="CE240" s="216"/>
      <c r="CF240" s="216"/>
      <c r="CG240" s="216"/>
      <c r="CH240" s="216"/>
      <c r="CI240" s="216"/>
      <c r="CJ240" s="216"/>
      <c r="CK240" s="216"/>
      <c r="CL240" s="216"/>
      <c r="CM240" s="216"/>
      <c r="CN240" s="216"/>
      <c r="CO240" s="216"/>
      <c r="CP240" s="216"/>
      <c r="CQ240" s="216"/>
    </row>
    <row r="241" spans="10:95" x14ac:dyDescent="0.25">
      <c r="J241" s="216"/>
      <c r="K241" s="217"/>
      <c r="L241" s="216"/>
      <c r="M241" s="216"/>
      <c r="N241" s="216"/>
      <c r="O241" s="216"/>
      <c r="P241" s="216"/>
      <c r="Q241" s="216"/>
      <c r="R241" s="216"/>
      <c r="S241" s="216"/>
      <c r="T241" s="216"/>
      <c r="U241" s="216"/>
      <c r="V241" s="216"/>
      <c r="W241" s="216"/>
      <c r="X241" s="216"/>
      <c r="Y241" s="216"/>
      <c r="Z241" s="216"/>
      <c r="AA241" s="216"/>
      <c r="AB241" s="216"/>
      <c r="AC241" s="216"/>
      <c r="AD241" s="216"/>
      <c r="AE241" s="216"/>
      <c r="AF241" s="216"/>
      <c r="AG241" s="216"/>
      <c r="AH241" s="216"/>
      <c r="AI241" s="216"/>
      <c r="AJ241" s="216"/>
      <c r="AK241" s="216"/>
      <c r="AL241" s="216"/>
      <c r="AM241" s="216"/>
      <c r="AN241" s="216"/>
      <c r="AO241" s="216"/>
      <c r="AP241" s="216"/>
      <c r="AQ241" s="216"/>
      <c r="AR241" s="216"/>
      <c r="AS241" s="216"/>
      <c r="AT241" s="216"/>
      <c r="AU241" s="216"/>
      <c r="AV241" s="216"/>
      <c r="AW241" s="216"/>
      <c r="AX241" s="216"/>
      <c r="AY241" s="216"/>
      <c r="AZ241" s="216"/>
      <c r="BA241" s="216"/>
      <c r="BB241" s="216"/>
      <c r="BC241" s="216"/>
      <c r="BD241" s="216"/>
      <c r="BE241" s="216"/>
      <c r="BF241" s="216"/>
      <c r="BG241" s="216"/>
      <c r="BH241" s="216"/>
      <c r="BI241" s="216"/>
      <c r="BJ241" s="216"/>
      <c r="BK241" s="216"/>
      <c r="BL241" s="216"/>
      <c r="BM241" s="216"/>
      <c r="BN241" s="216"/>
      <c r="BO241" s="216"/>
      <c r="BP241" s="216"/>
      <c r="BQ241" s="216"/>
      <c r="BR241" s="216"/>
      <c r="BS241" s="216"/>
      <c r="BT241" s="216"/>
      <c r="BU241" s="216"/>
      <c r="BV241" s="216"/>
      <c r="BW241" s="216"/>
      <c r="BX241" s="216"/>
      <c r="BY241" s="216"/>
      <c r="BZ241" s="216"/>
      <c r="CA241" s="216"/>
      <c r="CB241" s="216"/>
      <c r="CC241" s="216"/>
      <c r="CD241" s="216"/>
      <c r="CE241" s="216"/>
      <c r="CF241" s="216"/>
      <c r="CG241" s="216"/>
      <c r="CH241" s="216"/>
      <c r="CI241" s="216"/>
      <c r="CJ241" s="216"/>
      <c r="CK241" s="216"/>
      <c r="CL241" s="216"/>
      <c r="CM241" s="216"/>
      <c r="CN241" s="216"/>
      <c r="CO241" s="216"/>
      <c r="CP241" s="216"/>
      <c r="CQ241" s="216"/>
    </row>
    <row r="242" spans="10:95" x14ac:dyDescent="0.25">
      <c r="J242" s="216"/>
      <c r="K242" s="217"/>
      <c r="L242" s="216"/>
      <c r="M242" s="216"/>
      <c r="N242" s="216"/>
      <c r="O242" s="216"/>
      <c r="P242" s="216"/>
      <c r="Q242" s="216"/>
      <c r="R242" s="216"/>
      <c r="S242" s="216"/>
      <c r="T242" s="216"/>
      <c r="U242" s="216"/>
      <c r="V242" s="216"/>
      <c r="W242" s="216"/>
      <c r="X242" s="216"/>
      <c r="Y242" s="216"/>
      <c r="Z242" s="216"/>
      <c r="AA242" s="216"/>
      <c r="AB242" s="216"/>
      <c r="AC242" s="216"/>
      <c r="AD242" s="216"/>
      <c r="AE242" s="216"/>
      <c r="AF242" s="216"/>
      <c r="AG242" s="216"/>
      <c r="AH242" s="216"/>
      <c r="AI242" s="216"/>
      <c r="AJ242" s="216"/>
      <c r="AK242" s="216"/>
      <c r="AL242" s="216"/>
      <c r="AM242" s="216"/>
      <c r="AN242" s="216"/>
      <c r="AO242" s="216"/>
      <c r="AP242" s="216"/>
      <c r="AQ242" s="216"/>
      <c r="AR242" s="216"/>
      <c r="AS242" s="216"/>
      <c r="AT242" s="216"/>
      <c r="AU242" s="216"/>
      <c r="AV242" s="216"/>
      <c r="AW242" s="216"/>
      <c r="AX242" s="216"/>
      <c r="AY242" s="216"/>
      <c r="AZ242" s="216"/>
      <c r="BA242" s="216"/>
      <c r="BB242" s="216"/>
      <c r="BC242" s="216"/>
      <c r="BD242" s="216"/>
      <c r="BE242" s="216"/>
      <c r="BF242" s="216"/>
      <c r="BG242" s="216"/>
      <c r="BH242" s="216"/>
      <c r="BI242" s="216"/>
      <c r="BJ242" s="216"/>
      <c r="BK242" s="216"/>
      <c r="BL242" s="216"/>
      <c r="BM242" s="216"/>
      <c r="BN242" s="216"/>
      <c r="BO242" s="216"/>
      <c r="BP242" s="216"/>
      <c r="BQ242" s="216"/>
      <c r="BR242" s="216"/>
      <c r="BS242" s="216"/>
      <c r="BT242" s="216"/>
      <c r="BU242" s="216"/>
      <c r="BV242" s="216"/>
      <c r="BW242" s="216"/>
      <c r="BX242" s="216"/>
      <c r="BY242" s="216"/>
      <c r="BZ242" s="216"/>
      <c r="CA242" s="216"/>
      <c r="CB242" s="216"/>
      <c r="CC242" s="216"/>
      <c r="CD242" s="216"/>
      <c r="CE242" s="216"/>
      <c r="CF242" s="216"/>
      <c r="CG242" s="216"/>
      <c r="CH242" s="216"/>
      <c r="CI242" s="216"/>
      <c r="CJ242" s="216"/>
      <c r="CK242" s="216"/>
      <c r="CL242" s="216"/>
      <c r="CM242" s="216"/>
      <c r="CN242" s="216"/>
      <c r="CO242" s="216"/>
      <c r="CP242" s="216"/>
      <c r="CQ242" s="216"/>
    </row>
    <row r="243" spans="10:95" x14ac:dyDescent="0.25">
      <c r="J243" s="216"/>
      <c r="K243" s="217"/>
      <c r="L243" s="216"/>
      <c r="M243" s="216"/>
      <c r="N243" s="216"/>
      <c r="O243" s="216"/>
      <c r="P243" s="216"/>
      <c r="Q243" s="216"/>
      <c r="R243" s="216"/>
      <c r="S243" s="216"/>
      <c r="T243" s="216"/>
      <c r="U243" s="216"/>
      <c r="V243" s="216"/>
      <c r="W243" s="216"/>
      <c r="X243" s="216"/>
      <c r="Y243" s="216"/>
      <c r="Z243" s="216"/>
      <c r="AA243" s="216"/>
      <c r="AB243" s="216"/>
      <c r="AC243" s="216"/>
      <c r="AD243" s="216"/>
      <c r="AE243" s="216"/>
      <c r="AF243" s="216"/>
      <c r="AG243" s="216"/>
      <c r="AH243" s="216"/>
      <c r="AI243" s="216"/>
      <c r="AJ243" s="216"/>
      <c r="AK243" s="216"/>
      <c r="AL243" s="216"/>
      <c r="AM243" s="216"/>
      <c r="AN243" s="216"/>
      <c r="AO243" s="216"/>
      <c r="AP243" s="216"/>
      <c r="AQ243" s="216"/>
      <c r="AR243" s="216"/>
      <c r="AS243" s="216"/>
      <c r="AT243" s="216"/>
      <c r="AU243" s="216"/>
      <c r="AV243" s="216"/>
      <c r="AW243" s="216"/>
      <c r="AX243" s="216"/>
      <c r="AY243" s="216"/>
      <c r="AZ243" s="216"/>
      <c r="BA243" s="216"/>
      <c r="BB243" s="216"/>
      <c r="BC243" s="216"/>
      <c r="BD243" s="216"/>
      <c r="BE243" s="216"/>
      <c r="BF243" s="216"/>
      <c r="BG243" s="216"/>
      <c r="BH243" s="216"/>
      <c r="BI243" s="216"/>
      <c r="BJ243" s="216"/>
      <c r="BK243" s="216"/>
      <c r="BL243" s="216"/>
      <c r="BM243" s="216"/>
      <c r="BN243" s="216"/>
      <c r="BO243" s="216"/>
      <c r="BP243" s="216"/>
      <c r="BQ243" s="216"/>
      <c r="BR243" s="216"/>
      <c r="BS243" s="216"/>
      <c r="BT243" s="216"/>
      <c r="BU243" s="216"/>
      <c r="BV243" s="216"/>
      <c r="BW243" s="216"/>
      <c r="BX243" s="216"/>
      <c r="BY243" s="216"/>
      <c r="BZ243" s="216"/>
      <c r="CA243" s="216"/>
      <c r="CB243" s="216"/>
      <c r="CC243" s="216"/>
      <c r="CD243" s="216"/>
      <c r="CE243" s="216"/>
      <c r="CF243" s="216"/>
      <c r="CG243" s="216"/>
      <c r="CH243" s="216"/>
      <c r="CI243" s="216"/>
      <c r="CJ243" s="216"/>
      <c r="CK243" s="216"/>
      <c r="CL243" s="216"/>
      <c r="CM243" s="216"/>
      <c r="CN243" s="216"/>
      <c r="CO243" s="216"/>
      <c r="CP243" s="216"/>
      <c r="CQ243" s="216"/>
    </row>
    <row r="244" spans="10:95" x14ac:dyDescent="0.25">
      <c r="J244" s="216"/>
      <c r="K244" s="217"/>
      <c r="L244" s="216"/>
      <c r="M244" s="216"/>
      <c r="N244" s="216"/>
      <c r="O244" s="216"/>
      <c r="P244" s="216"/>
      <c r="Q244" s="216"/>
      <c r="R244" s="216"/>
      <c r="S244" s="216"/>
      <c r="T244" s="216"/>
      <c r="U244" s="216"/>
      <c r="V244" s="216"/>
      <c r="W244" s="216"/>
      <c r="X244" s="216"/>
      <c r="Y244" s="216"/>
      <c r="Z244" s="216"/>
      <c r="AA244" s="216"/>
      <c r="AB244" s="216"/>
      <c r="AC244" s="216"/>
      <c r="AD244" s="216"/>
      <c r="AE244" s="216"/>
      <c r="AF244" s="216"/>
      <c r="AG244" s="216"/>
      <c r="AH244" s="216"/>
      <c r="AI244" s="216"/>
      <c r="AJ244" s="216"/>
      <c r="AK244" s="216"/>
      <c r="AL244" s="216"/>
      <c r="AM244" s="216"/>
      <c r="AN244" s="216"/>
      <c r="AO244" s="216"/>
      <c r="AP244" s="216"/>
      <c r="AQ244" s="216"/>
      <c r="AR244" s="216"/>
      <c r="AS244" s="216"/>
      <c r="AT244" s="216"/>
      <c r="AU244" s="216"/>
      <c r="AV244" s="216"/>
      <c r="AW244" s="216"/>
      <c r="AX244" s="216"/>
      <c r="AY244" s="216"/>
      <c r="AZ244" s="216"/>
      <c r="BA244" s="216"/>
      <c r="BB244" s="216"/>
      <c r="BC244" s="216"/>
      <c r="BD244" s="216"/>
      <c r="BE244" s="216"/>
      <c r="BF244" s="216"/>
      <c r="BG244" s="216"/>
      <c r="BH244" s="216"/>
      <c r="BI244" s="216"/>
      <c r="BJ244" s="216"/>
      <c r="BK244" s="216"/>
      <c r="BL244" s="216"/>
      <c r="BM244" s="216"/>
      <c r="BN244" s="216"/>
      <c r="BO244" s="216"/>
      <c r="BP244" s="216"/>
      <c r="BQ244" s="216"/>
      <c r="BR244" s="216"/>
      <c r="BS244" s="216"/>
      <c r="BT244" s="216"/>
      <c r="BU244" s="216"/>
      <c r="BV244" s="216"/>
      <c r="BW244" s="216"/>
      <c r="BX244" s="216"/>
      <c r="BY244" s="216"/>
      <c r="BZ244" s="216"/>
      <c r="CA244" s="216"/>
      <c r="CB244" s="216"/>
      <c r="CC244" s="216"/>
      <c r="CD244" s="216"/>
      <c r="CE244" s="216"/>
      <c r="CF244" s="216"/>
      <c r="CG244" s="216"/>
      <c r="CH244" s="216"/>
      <c r="CI244" s="216"/>
      <c r="CJ244" s="216"/>
      <c r="CK244" s="216"/>
      <c r="CL244" s="216"/>
      <c r="CM244" s="216"/>
      <c r="CN244" s="216"/>
      <c r="CO244" s="216"/>
      <c r="CP244" s="216"/>
      <c r="CQ244" s="216"/>
    </row>
    <row r="245" spans="10:95" x14ac:dyDescent="0.25">
      <c r="J245" s="216"/>
      <c r="K245" s="217"/>
      <c r="L245" s="216"/>
      <c r="M245" s="216"/>
      <c r="N245" s="216"/>
      <c r="O245" s="216"/>
      <c r="P245" s="216"/>
      <c r="Q245" s="216"/>
      <c r="R245" s="216"/>
      <c r="S245" s="216"/>
      <c r="T245" s="216"/>
      <c r="U245" s="216"/>
      <c r="V245" s="216"/>
      <c r="W245" s="216"/>
      <c r="X245" s="216"/>
      <c r="Y245" s="216"/>
      <c r="Z245" s="216"/>
      <c r="AA245" s="216"/>
      <c r="AB245" s="216"/>
      <c r="AC245" s="216"/>
      <c r="AD245" s="216"/>
      <c r="AE245" s="216"/>
      <c r="AF245" s="216"/>
      <c r="AG245" s="216"/>
      <c r="AH245" s="216"/>
      <c r="AI245" s="216"/>
      <c r="AJ245" s="216"/>
      <c r="AK245" s="216"/>
      <c r="AL245" s="216"/>
      <c r="AM245" s="216"/>
      <c r="AN245" s="216"/>
      <c r="AO245" s="216"/>
      <c r="AP245" s="216"/>
      <c r="AQ245" s="216"/>
      <c r="AR245" s="216"/>
      <c r="AS245" s="216"/>
      <c r="AT245" s="216"/>
      <c r="AU245" s="216"/>
      <c r="AV245" s="216"/>
      <c r="AW245" s="216"/>
      <c r="AX245" s="216"/>
      <c r="AY245" s="216"/>
      <c r="AZ245" s="216"/>
      <c r="BA245" s="216"/>
      <c r="BB245" s="216"/>
      <c r="BC245" s="216"/>
      <c r="BD245" s="216"/>
      <c r="BE245" s="216"/>
      <c r="BF245" s="216"/>
      <c r="BG245" s="216"/>
      <c r="BH245" s="216"/>
      <c r="BI245" s="216"/>
      <c r="BJ245" s="216"/>
      <c r="BK245" s="216"/>
      <c r="BL245" s="216"/>
      <c r="BM245" s="216"/>
      <c r="BN245" s="216"/>
      <c r="BO245" s="216"/>
      <c r="BP245" s="216"/>
      <c r="BQ245" s="216"/>
      <c r="BR245" s="216"/>
      <c r="BS245" s="216"/>
      <c r="BT245" s="216"/>
      <c r="BU245" s="216"/>
      <c r="BV245" s="216"/>
      <c r="BW245" s="216"/>
      <c r="BX245" s="216"/>
      <c r="BY245" s="216"/>
      <c r="BZ245" s="216"/>
      <c r="CA245" s="216"/>
      <c r="CB245" s="216"/>
      <c r="CC245" s="216"/>
      <c r="CD245" s="216"/>
      <c r="CE245" s="216"/>
      <c r="CF245" s="216"/>
      <c r="CG245" s="216"/>
      <c r="CH245" s="216"/>
      <c r="CI245" s="216"/>
      <c r="CJ245" s="216"/>
      <c r="CK245" s="216"/>
      <c r="CL245" s="216"/>
      <c r="CM245" s="216"/>
      <c r="CN245" s="216"/>
      <c r="CO245" s="216"/>
      <c r="CP245" s="216"/>
      <c r="CQ245" s="216"/>
    </row>
    <row r="246" spans="10:95" x14ac:dyDescent="0.25">
      <c r="J246" s="216"/>
      <c r="K246" s="217"/>
      <c r="L246" s="216"/>
      <c r="M246" s="216"/>
      <c r="N246" s="216"/>
      <c r="O246" s="216"/>
      <c r="P246" s="216"/>
      <c r="Q246" s="216"/>
      <c r="R246" s="216"/>
      <c r="S246" s="216"/>
      <c r="T246" s="216"/>
      <c r="U246" s="216"/>
      <c r="V246" s="216"/>
      <c r="W246" s="216"/>
      <c r="X246" s="216"/>
      <c r="Y246" s="216"/>
      <c r="Z246" s="216"/>
      <c r="AA246" s="216"/>
      <c r="AB246" s="216"/>
      <c r="AC246" s="216"/>
      <c r="AD246" s="216"/>
      <c r="AE246" s="216"/>
      <c r="AF246" s="216"/>
      <c r="AG246" s="216"/>
      <c r="AH246" s="216"/>
      <c r="AI246" s="216"/>
      <c r="AJ246" s="216"/>
      <c r="AK246" s="216"/>
      <c r="AL246" s="216"/>
      <c r="AM246" s="216"/>
      <c r="AN246" s="216"/>
      <c r="AO246" s="216"/>
      <c r="AP246" s="216"/>
      <c r="AQ246" s="216"/>
      <c r="AR246" s="216"/>
      <c r="AS246" s="216"/>
      <c r="AT246" s="216"/>
      <c r="AU246" s="216"/>
      <c r="AV246" s="216"/>
      <c r="AW246" s="216"/>
      <c r="AX246" s="216"/>
      <c r="AY246" s="216"/>
      <c r="AZ246" s="216"/>
      <c r="BA246" s="216"/>
      <c r="BB246" s="216"/>
      <c r="BC246" s="216"/>
      <c r="BD246" s="216"/>
      <c r="BE246" s="216"/>
      <c r="BF246" s="216"/>
      <c r="BG246" s="216"/>
      <c r="BH246" s="216"/>
      <c r="BI246" s="216"/>
      <c r="BJ246" s="216"/>
      <c r="BK246" s="216"/>
      <c r="BL246" s="216"/>
      <c r="BM246" s="216"/>
      <c r="BN246" s="216"/>
      <c r="BO246" s="216"/>
      <c r="BP246" s="216"/>
      <c r="BQ246" s="216"/>
      <c r="BR246" s="216"/>
      <c r="BS246" s="216"/>
      <c r="BT246" s="216"/>
      <c r="BU246" s="216"/>
      <c r="BV246" s="216"/>
      <c r="BW246" s="216"/>
      <c r="BX246" s="216"/>
      <c r="BY246" s="216"/>
      <c r="BZ246" s="216"/>
      <c r="CA246" s="216"/>
      <c r="CB246" s="216"/>
      <c r="CC246" s="216"/>
      <c r="CD246" s="216"/>
      <c r="CE246" s="216"/>
      <c r="CF246" s="216"/>
      <c r="CG246" s="216"/>
      <c r="CH246" s="216"/>
      <c r="CI246" s="216"/>
      <c r="CJ246" s="216"/>
      <c r="CK246" s="216"/>
      <c r="CL246" s="216"/>
      <c r="CM246" s="216"/>
      <c r="CN246" s="216"/>
      <c r="CO246" s="216"/>
      <c r="CP246" s="216"/>
      <c r="CQ246" s="216"/>
    </row>
    <row r="247" spans="10:95" x14ac:dyDescent="0.25">
      <c r="J247" s="216"/>
      <c r="K247" s="217"/>
      <c r="L247" s="216"/>
      <c r="M247" s="216"/>
      <c r="N247" s="216"/>
      <c r="O247" s="216"/>
      <c r="P247" s="216"/>
      <c r="Q247" s="216"/>
      <c r="R247" s="216"/>
      <c r="S247" s="216"/>
      <c r="T247" s="216"/>
      <c r="U247" s="216"/>
      <c r="V247" s="216"/>
      <c r="W247" s="216"/>
      <c r="X247" s="216"/>
      <c r="Y247" s="216"/>
      <c r="Z247" s="216"/>
      <c r="AA247" s="216"/>
      <c r="AB247" s="216"/>
      <c r="AC247" s="216"/>
      <c r="AD247" s="216"/>
      <c r="AE247" s="216"/>
      <c r="AF247" s="216"/>
      <c r="AG247" s="216"/>
      <c r="AH247" s="216"/>
      <c r="AI247" s="216"/>
      <c r="AJ247" s="216"/>
      <c r="AK247" s="216"/>
      <c r="AL247" s="216"/>
      <c r="AM247" s="216"/>
      <c r="AN247" s="216"/>
      <c r="AO247" s="216"/>
      <c r="AP247" s="216"/>
      <c r="AQ247" s="216"/>
      <c r="AR247" s="216"/>
      <c r="AS247" s="216"/>
      <c r="AT247" s="216"/>
      <c r="AU247" s="216"/>
      <c r="AV247" s="216"/>
      <c r="AW247" s="216"/>
      <c r="AX247" s="216"/>
      <c r="AY247" s="216"/>
      <c r="AZ247" s="216"/>
      <c r="BA247" s="216"/>
      <c r="BB247" s="216"/>
      <c r="BC247" s="216"/>
      <c r="BD247" s="216"/>
      <c r="BE247" s="216"/>
      <c r="BF247" s="216"/>
      <c r="BG247" s="216"/>
      <c r="BH247" s="216"/>
      <c r="BI247" s="216"/>
      <c r="BJ247" s="216"/>
      <c r="BK247" s="216"/>
      <c r="BL247" s="216"/>
      <c r="BM247" s="216"/>
      <c r="BN247" s="216"/>
      <c r="BO247" s="216"/>
      <c r="BP247" s="216"/>
      <c r="BQ247" s="216"/>
      <c r="BR247" s="216"/>
      <c r="BS247" s="216"/>
      <c r="BT247" s="216"/>
      <c r="BU247" s="216"/>
      <c r="BV247" s="216"/>
      <c r="BW247" s="216"/>
      <c r="BX247" s="216"/>
      <c r="BY247" s="216"/>
      <c r="BZ247" s="216"/>
      <c r="CA247" s="216"/>
      <c r="CB247" s="216"/>
      <c r="CC247" s="216"/>
      <c r="CD247" s="216"/>
      <c r="CE247" s="216"/>
      <c r="CF247" s="216"/>
      <c r="CG247" s="216"/>
      <c r="CH247" s="216"/>
      <c r="CI247" s="216"/>
      <c r="CJ247" s="216"/>
      <c r="CK247" s="216"/>
      <c r="CL247" s="216"/>
      <c r="CM247" s="216"/>
      <c r="CN247" s="216"/>
      <c r="CO247" s="216"/>
      <c r="CP247" s="216"/>
      <c r="CQ247" s="216"/>
    </row>
    <row r="248" spans="10:95" x14ac:dyDescent="0.25">
      <c r="J248" s="216"/>
      <c r="K248" s="217"/>
      <c r="L248" s="216"/>
      <c r="M248" s="216"/>
      <c r="N248" s="216"/>
      <c r="O248" s="216"/>
      <c r="P248" s="216"/>
      <c r="Q248" s="216"/>
      <c r="R248" s="216"/>
      <c r="S248" s="216"/>
      <c r="T248" s="216"/>
      <c r="U248" s="216"/>
      <c r="V248" s="216"/>
      <c r="W248" s="216"/>
      <c r="X248" s="216"/>
      <c r="Y248" s="216"/>
      <c r="Z248" s="216"/>
      <c r="AA248" s="216"/>
      <c r="AB248" s="216"/>
      <c r="AC248" s="216"/>
      <c r="AD248" s="216"/>
      <c r="AE248" s="216"/>
      <c r="AF248" s="216"/>
      <c r="AG248" s="216"/>
      <c r="AH248" s="216"/>
      <c r="AI248" s="216"/>
      <c r="AJ248" s="216"/>
      <c r="AK248" s="216"/>
      <c r="AL248" s="216"/>
      <c r="AM248" s="216"/>
      <c r="AN248" s="216"/>
      <c r="AO248" s="216"/>
      <c r="AP248" s="216"/>
      <c r="AQ248" s="216"/>
      <c r="AR248" s="216"/>
      <c r="AS248" s="216"/>
      <c r="AT248" s="216"/>
      <c r="AU248" s="216"/>
      <c r="AV248" s="216"/>
      <c r="AW248" s="216"/>
      <c r="AX248" s="216"/>
      <c r="AY248" s="216"/>
      <c r="AZ248" s="216"/>
      <c r="BA248" s="216"/>
      <c r="BB248" s="216"/>
      <c r="BC248" s="216"/>
      <c r="BD248" s="216"/>
      <c r="BE248" s="216"/>
      <c r="BF248" s="216"/>
      <c r="BG248" s="216"/>
      <c r="BH248" s="216"/>
      <c r="BI248" s="216"/>
      <c r="BJ248" s="216"/>
      <c r="BK248" s="216"/>
      <c r="BL248" s="216"/>
      <c r="BM248" s="216"/>
      <c r="BN248" s="216"/>
      <c r="BO248" s="216"/>
      <c r="BP248" s="216"/>
      <c r="BQ248" s="216"/>
      <c r="BR248" s="216"/>
      <c r="BS248" s="216"/>
      <c r="BT248" s="216"/>
      <c r="BU248" s="216"/>
      <c r="BV248" s="216"/>
      <c r="BW248" s="216"/>
      <c r="BX248" s="216"/>
      <c r="BY248" s="216"/>
      <c r="BZ248" s="216"/>
      <c r="CA248" s="216"/>
      <c r="CB248" s="216"/>
      <c r="CC248" s="216"/>
      <c r="CD248" s="216"/>
      <c r="CE248" s="216"/>
      <c r="CF248" s="216"/>
      <c r="CG248" s="216"/>
      <c r="CH248" s="216"/>
      <c r="CI248" s="216"/>
      <c r="CJ248" s="216"/>
      <c r="CK248" s="216"/>
      <c r="CL248" s="216"/>
      <c r="CM248" s="216"/>
      <c r="CN248" s="216"/>
      <c r="CO248" s="216"/>
      <c r="CP248" s="216"/>
      <c r="CQ248" s="216"/>
    </row>
    <row r="249" spans="10:95" x14ac:dyDescent="0.25">
      <c r="J249" s="216"/>
      <c r="K249" s="217"/>
      <c r="L249" s="216"/>
      <c r="M249" s="216"/>
      <c r="N249" s="216"/>
      <c r="O249" s="216"/>
      <c r="P249" s="216"/>
      <c r="Q249" s="216"/>
      <c r="R249" s="216"/>
      <c r="S249" s="216"/>
      <c r="T249" s="216"/>
      <c r="U249" s="216"/>
      <c r="V249" s="216"/>
      <c r="W249" s="216"/>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216"/>
      <c r="BB249" s="216"/>
      <c r="BC249" s="216"/>
      <c r="BD249" s="216"/>
      <c r="BE249" s="216"/>
      <c r="BF249" s="216"/>
      <c r="BG249" s="216"/>
      <c r="BH249" s="216"/>
      <c r="BI249" s="216"/>
      <c r="BJ249" s="216"/>
      <c r="BK249" s="216"/>
      <c r="BL249" s="216"/>
      <c r="BM249" s="216"/>
      <c r="BN249" s="216"/>
      <c r="BO249" s="216"/>
      <c r="BP249" s="216"/>
      <c r="BQ249" s="216"/>
      <c r="BR249" s="216"/>
      <c r="BS249" s="216"/>
      <c r="BT249" s="216"/>
      <c r="BU249" s="216"/>
      <c r="BV249" s="216"/>
      <c r="BW249" s="216"/>
      <c r="BX249" s="216"/>
      <c r="BY249" s="216"/>
      <c r="BZ249" s="216"/>
      <c r="CA249" s="216"/>
      <c r="CB249" s="216"/>
      <c r="CC249" s="216"/>
      <c r="CD249" s="216"/>
      <c r="CE249" s="216"/>
      <c r="CF249" s="216"/>
      <c r="CG249" s="216"/>
      <c r="CH249" s="216"/>
      <c r="CI249" s="216"/>
      <c r="CJ249" s="216"/>
      <c r="CK249" s="216"/>
      <c r="CL249" s="216"/>
      <c r="CM249" s="216"/>
      <c r="CN249" s="216"/>
      <c r="CO249" s="216"/>
      <c r="CP249" s="216"/>
      <c r="CQ249" s="216"/>
    </row>
    <row r="250" spans="10:95" x14ac:dyDescent="0.25">
      <c r="J250" s="216"/>
      <c r="K250" s="217"/>
      <c r="L250" s="216"/>
      <c r="M250" s="216"/>
      <c r="N250" s="216"/>
      <c r="O250" s="216"/>
      <c r="P250" s="216"/>
      <c r="Q250" s="216"/>
      <c r="R250" s="216"/>
      <c r="S250" s="216"/>
      <c r="T250" s="216"/>
      <c r="U250" s="216"/>
      <c r="V250" s="216"/>
      <c r="W250" s="216"/>
      <c r="X250" s="216"/>
      <c r="Y250" s="216"/>
      <c r="Z250" s="216"/>
      <c r="AA250" s="216"/>
      <c r="AB250" s="216"/>
      <c r="AC250" s="216"/>
      <c r="AD250" s="216"/>
      <c r="AE250" s="216"/>
      <c r="AF250" s="216"/>
      <c r="AG250" s="216"/>
      <c r="AH250" s="216"/>
      <c r="AI250" s="216"/>
      <c r="AJ250" s="216"/>
      <c r="AK250" s="216"/>
      <c r="AL250" s="216"/>
      <c r="AM250" s="216"/>
      <c r="AN250" s="216"/>
      <c r="AO250" s="216"/>
      <c r="AP250" s="216"/>
      <c r="AQ250" s="216"/>
      <c r="AR250" s="216"/>
      <c r="AS250" s="216"/>
      <c r="AT250" s="216"/>
      <c r="AU250" s="216"/>
      <c r="AV250" s="216"/>
      <c r="AW250" s="216"/>
      <c r="AX250" s="216"/>
      <c r="AY250" s="216"/>
      <c r="AZ250" s="216"/>
      <c r="BA250" s="216"/>
      <c r="BB250" s="216"/>
      <c r="BC250" s="216"/>
      <c r="BD250" s="216"/>
      <c r="BE250" s="216"/>
      <c r="BF250" s="216"/>
      <c r="BG250" s="216"/>
      <c r="BH250" s="216"/>
      <c r="BI250" s="216"/>
      <c r="BJ250" s="216"/>
      <c r="BK250" s="216"/>
      <c r="BL250" s="216"/>
      <c r="BM250" s="216"/>
      <c r="BN250" s="216"/>
      <c r="BO250" s="216"/>
      <c r="BP250" s="216"/>
      <c r="BQ250" s="216"/>
      <c r="BR250" s="216"/>
      <c r="BS250" s="216"/>
      <c r="BT250" s="216"/>
      <c r="BU250" s="216"/>
      <c r="BV250" s="216"/>
      <c r="BW250" s="216"/>
      <c r="BX250" s="216"/>
      <c r="BY250" s="216"/>
      <c r="BZ250" s="216"/>
      <c r="CA250" s="216"/>
      <c r="CB250" s="216"/>
      <c r="CC250" s="216"/>
      <c r="CD250" s="216"/>
      <c r="CE250" s="216"/>
      <c r="CF250" s="216"/>
      <c r="CG250" s="216"/>
      <c r="CH250" s="216"/>
      <c r="CI250" s="216"/>
      <c r="CJ250" s="216"/>
      <c r="CK250" s="216"/>
      <c r="CL250" s="216"/>
      <c r="CM250" s="216"/>
      <c r="CN250" s="216"/>
      <c r="CO250" s="216"/>
      <c r="CP250" s="216"/>
      <c r="CQ250" s="216"/>
    </row>
    <row r="251" spans="10:95" x14ac:dyDescent="0.25">
      <c r="J251" s="216"/>
      <c r="K251" s="217"/>
      <c r="L251" s="216"/>
      <c r="M251" s="216"/>
      <c r="N251" s="216"/>
      <c r="O251" s="216"/>
      <c r="P251" s="216"/>
      <c r="Q251" s="216"/>
      <c r="R251" s="216"/>
      <c r="S251" s="216"/>
      <c r="T251" s="216"/>
      <c r="U251" s="216"/>
      <c r="V251" s="216"/>
      <c r="W251" s="216"/>
      <c r="X251" s="216"/>
      <c r="Y251" s="216"/>
      <c r="Z251" s="216"/>
      <c r="AA251" s="216"/>
      <c r="AB251" s="216"/>
      <c r="AC251" s="216"/>
      <c r="AD251" s="216"/>
      <c r="AE251" s="216"/>
      <c r="AF251" s="216"/>
      <c r="AG251" s="216"/>
      <c r="AH251" s="216"/>
      <c r="AI251" s="216"/>
      <c r="AJ251" s="216"/>
      <c r="AK251" s="216"/>
      <c r="AL251" s="216"/>
      <c r="AM251" s="216"/>
      <c r="AN251" s="216"/>
      <c r="AO251" s="216"/>
      <c r="AP251" s="216"/>
      <c r="AQ251" s="216"/>
      <c r="AR251" s="216"/>
      <c r="AS251" s="216"/>
      <c r="AT251" s="216"/>
      <c r="AU251" s="216"/>
      <c r="AV251" s="216"/>
      <c r="AW251" s="216"/>
      <c r="AX251" s="216"/>
      <c r="AY251" s="216"/>
      <c r="AZ251" s="216"/>
      <c r="BA251" s="216"/>
      <c r="BB251" s="216"/>
      <c r="BC251" s="216"/>
      <c r="BD251" s="216"/>
      <c r="BE251" s="216"/>
      <c r="BF251" s="216"/>
      <c r="BG251" s="216"/>
      <c r="BH251" s="216"/>
      <c r="BI251" s="216"/>
      <c r="BJ251" s="216"/>
      <c r="BK251" s="216"/>
      <c r="BL251" s="216"/>
      <c r="BM251" s="216"/>
      <c r="BN251" s="216"/>
      <c r="BO251" s="216"/>
      <c r="BP251" s="216"/>
      <c r="BQ251" s="216"/>
      <c r="BR251" s="216"/>
      <c r="BS251" s="216"/>
      <c r="BT251" s="216"/>
      <c r="BU251" s="216"/>
      <c r="BV251" s="216"/>
      <c r="BW251" s="216"/>
      <c r="BX251" s="216"/>
      <c r="BY251" s="216"/>
      <c r="BZ251" s="216"/>
      <c r="CA251" s="216"/>
      <c r="CB251" s="216"/>
      <c r="CC251" s="216"/>
      <c r="CD251" s="216"/>
      <c r="CE251" s="216"/>
      <c r="CF251" s="216"/>
      <c r="CG251" s="216"/>
      <c r="CH251" s="216"/>
      <c r="CI251" s="216"/>
      <c r="CJ251" s="216"/>
      <c r="CK251" s="216"/>
      <c r="CL251" s="216"/>
      <c r="CM251" s="216"/>
      <c r="CN251" s="216"/>
      <c r="CO251" s="216"/>
      <c r="CP251" s="216"/>
      <c r="CQ251" s="216"/>
    </row>
    <row r="252" spans="10:95" x14ac:dyDescent="0.25">
      <c r="J252" s="216"/>
      <c r="K252" s="217"/>
      <c r="L252" s="216"/>
      <c r="M252" s="216"/>
      <c r="N252" s="216"/>
      <c r="O252" s="216"/>
      <c r="P252" s="216"/>
      <c r="Q252" s="216"/>
      <c r="R252" s="216"/>
      <c r="S252" s="216"/>
      <c r="T252" s="216"/>
      <c r="U252" s="216"/>
      <c r="V252" s="216"/>
      <c r="W252" s="216"/>
      <c r="X252" s="216"/>
      <c r="Y252" s="216"/>
      <c r="Z252" s="216"/>
      <c r="AA252" s="216"/>
      <c r="AB252" s="216"/>
      <c r="AC252" s="216"/>
      <c r="AD252" s="216"/>
      <c r="AE252" s="216"/>
      <c r="AF252" s="216"/>
      <c r="AG252" s="216"/>
      <c r="AH252" s="216"/>
      <c r="AI252" s="216"/>
      <c r="AJ252" s="216"/>
      <c r="AK252" s="216"/>
      <c r="AL252" s="216"/>
      <c r="AM252" s="216"/>
      <c r="AN252" s="216"/>
      <c r="AO252" s="216"/>
      <c r="AP252" s="216"/>
      <c r="AQ252" s="216"/>
      <c r="AR252" s="216"/>
      <c r="AS252" s="216"/>
      <c r="AT252" s="216"/>
      <c r="AU252" s="216"/>
      <c r="AV252" s="216"/>
      <c r="AW252" s="216"/>
      <c r="AX252" s="216"/>
      <c r="AY252" s="216"/>
      <c r="AZ252" s="216"/>
      <c r="BA252" s="216"/>
      <c r="BB252" s="216"/>
      <c r="BC252" s="216"/>
      <c r="BD252" s="216"/>
      <c r="BE252" s="216"/>
      <c r="BF252" s="216"/>
      <c r="BG252" s="216"/>
      <c r="BH252" s="216"/>
      <c r="BI252" s="216"/>
      <c r="BJ252" s="216"/>
      <c r="BK252" s="216"/>
      <c r="BL252" s="216"/>
      <c r="BM252" s="216"/>
      <c r="BN252" s="216"/>
      <c r="BO252" s="216"/>
      <c r="BP252" s="216"/>
      <c r="BQ252" s="216"/>
      <c r="BR252" s="216"/>
      <c r="BS252" s="216"/>
      <c r="BT252" s="216"/>
      <c r="BU252" s="216"/>
      <c r="BV252" s="216"/>
      <c r="BW252" s="216"/>
      <c r="BX252" s="216"/>
      <c r="BY252" s="216"/>
      <c r="BZ252" s="216"/>
      <c r="CA252" s="216"/>
      <c r="CB252" s="216"/>
      <c r="CC252" s="216"/>
      <c r="CD252" s="216"/>
      <c r="CE252" s="216"/>
      <c r="CF252" s="216"/>
      <c r="CG252" s="216"/>
      <c r="CH252" s="216"/>
      <c r="CI252" s="216"/>
      <c r="CJ252" s="216"/>
      <c r="CK252" s="216"/>
      <c r="CL252" s="216"/>
      <c r="CM252" s="216"/>
      <c r="CN252" s="216"/>
      <c r="CO252" s="216"/>
      <c r="CP252" s="216"/>
      <c r="CQ252" s="216"/>
    </row>
    <row r="253" spans="10:95" x14ac:dyDescent="0.25">
      <c r="J253" s="216"/>
      <c r="K253" s="217"/>
      <c r="L253" s="216"/>
      <c r="M253" s="216"/>
      <c r="N253" s="216"/>
      <c r="O253" s="216"/>
      <c r="P253" s="216"/>
      <c r="Q253" s="216"/>
      <c r="R253" s="216"/>
      <c r="S253" s="216"/>
      <c r="T253" s="216"/>
      <c r="U253" s="216"/>
      <c r="V253" s="216"/>
      <c r="W253" s="216"/>
      <c r="X253" s="216"/>
      <c r="Y253" s="216"/>
      <c r="Z253" s="216"/>
      <c r="AA253" s="216"/>
      <c r="AB253" s="216"/>
      <c r="AC253" s="216"/>
      <c r="AD253" s="216"/>
      <c r="AE253" s="216"/>
      <c r="AF253" s="216"/>
      <c r="AG253" s="216"/>
      <c r="AH253" s="216"/>
      <c r="AI253" s="216"/>
      <c r="AJ253" s="216"/>
      <c r="AK253" s="216"/>
      <c r="AL253" s="216"/>
      <c r="AM253" s="216"/>
      <c r="AN253" s="216"/>
      <c r="AO253" s="216"/>
      <c r="AP253" s="216"/>
      <c r="AQ253" s="216"/>
      <c r="AR253" s="216"/>
      <c r="AS253" s="216"/>
      <c r="AT253" s="216"/>
      <c r="AU253" s="216"/>
      <c r="AV253" s="216"/>
      <c r="AW253" s="216"/>
      <c r="AX253" s="216"/>
      <c r="AY253" s="216"/>
      <c r="AZ253" s="216"/>
      <c r="BA253" s="216"/>
      <c r="BB253" s="216"/>
      <c r="BC253" s="216"/>
      <c r="BD253" s="216"/>
      <c r="BE253" s="216"/>
      <c r="BF253" s="216"/>
      <c r="BG253" s="216"/>
      <c r="BH253" s="216"/>
      <c r="BI253" s="216"/>
      <c r="BJ253" s="216"/>
      <c r="BK253" s="216"/>
      <c r="BL253" s="216"/>
      <c r="BM253" s="216"/>
      <c r="BN253" s="216"/>
      <c r="BO253" s="216"/>
      <c r="BP253" s="216"/>
      <c r="BQ253" s="216"/>
      <c r="BR253" s="216"/>
      <c r="BS253" s="216"/>
      <c r="BT253" s="216"/>
      <c r="BU253" s="216"/>
      <c r="BV253" s="216"/>
      <c r="BW253" s="216"/>
      <c r="BX253" s="216"/>
      <c r="BY253" s="216"/>
      <c r="BZ253" s="216"/>
      <c r="CA253" s="216"/>
      <c r="CB253" s="216"/>
      <c r="CC253" s="216"/>
      <c r="CD253" s="216"/>
      <c r="CE253" s="216"/>
      <c r="CF253" s="216"/>
      <c r="CG253" s="216"/>
      <c r="CH253" s="216"/>
      <c r="CI253" s="216"/>
      <c r="CJ253" s="216"/>
      <c r="CK253" s="216"/>
      <c r="CL253" s="216"/>
      <c r="CM253" s="216"/>
      <c r="CN253" s="216"/>
      <c r="CO253" s="216"/>
      <c r="CP253" s="216"/>
      <c r="CQ253" s="216"/>
    </row>
    <row r="254" spans="10:95" x14ac:dyDescent="0.25">
      <c r="J254" s="216"/>
      <c r="K254" s="217"/>
      <c r="L254" s="216"/>
      <c r="M254" s="216"/>
      <c r="N254" s="216"/>
      <c r="O254" s="216"/>
      <c r="P254" s="216"/>
      <c r="Q254" s="216"/>
      <c r="R254" s="216"/>
      <c r="S254" s="216"/>
      <c r="T254" s="216"/>
      <c r="U254" s="216"/>
      <c r="V254" s="216"/>
      <c r="W254" s="216"/>
      <c r="X254" s="216"/>
      <c r="Y254" s="216"/>
      <c r="Z254" s="216"/>
      <c r="AA254" s="216"/>
      <c r="AB254" s="216"/>
      <c r="AC254" s="216"/>
      <c r="AD254" s="216"/>
      <c r="AE254" s="216"/>
      <c r="AF254" s="216"/>
      <c r="AG254" s="216"/>
      <c r="AH254" s="216"/>
      <c r="AI254" s="216"/>
      <c r="AJ254" s="216"/>
      <c r="AK254" s="216"/>
      <c r="AL254" s="216"/>
      <c r="AM254" s="216"/>
      <c r="AN254" s="216"/>
      <c r="AO254" s="216"/>
      <c r="AP254" s="216"/>
      <c r="AQ254" s="216"/>
      <c r="AR254" s="216"/>
      <c r="AS254" s="216"/>
      <c r="AT254" s="216"/>
      <c r="AU254" s="216"/>
      <c r="AV254" s="216"/>
      <c r="AW254" s="216"/>
      <c r="AX254" s="216"/>
      <c r="AY254" s="216"/>
      <c r="AZ254" s="216"/>
      <c r="BA254" s="216"/>
      <c r="BB254" s="216"/>
      <c r="BC254" s="216"/>
      <c r="BD254" s="216"/>
      <c r="BE254" s="216"/>
      <c r="BF254" s="216"/>
      <c r="BG254" s="216"/>
      <c r="BH254" s="216"/>
      <c r="BI254" s="216"/>
      <c r="BJ254" s="216"/>
      <c r="BK254" s="216"/>
      <c r="BL254" s="216"/>
      <c r="BM254" s="216"/>
      <c r="BN254" s="216"/>
      <c r="BO254" s="216"/>
      <c r="BP254" s="216"/>
      <c r="BQ254" s="216"/>
      <c r="BR254" s="216"/>
      <c r="BS254" s="216"/>
      <c r="BT254" s="216"/>
      <c r="BU254" s="216"/>
      <c r="BV254" s="216"/>
      <c r="BW254" s="216"/>
      <c r="BX254" s="216"/>
      <c r="BY254" s="216"/>
      <c r="BZ254" s="216"/>
      <c r="CA254" s="216"/>
      <c r="CB254" s="216"/>
      <c r="CC254" s="216"/>
      <c r="CD254" s="216"/>
      <c r="CE254" s="216"/>
      <c r="CF254" s="216"/>
      <c r="CG254" s="216"/>
      <c r="CH254" s="216"/>
      <c r="CI254" s="216"/>
      <c r="CJ254" s="216"/>
      <c r="CK254" s="216"/>
      <c r="CL254" s="216"/>
      <c r="CM254" s="216"/>
      <c r="CN254" s="216"/>
      <c r="CO254" s="216"/>
      <c r="CP254" s="216"/>
      <c r="CQ254" s="216"/>
    </row>
    <row r="255" spans="10:95" x14ac:dyDescent="0.25">
      <c r="J255" s="216"/>
      <c r="K255" s="217"/>
      <c r="L255" s="216"/>
      <c r="M255" s="216"/>
      <c r="N255" s="216"/>
      <c r="O255" s="216"/>
      <c r="P255" s="216"/>
      <c r="Q255" s="216"/>
      <c r="R255" s="216"/>
      <c r="S255" s="216"/>
      <c r="T255" s="216"/>
      <c r="U255" s="216"/>
      <c r="V255" s="216"/>
      <c r="W255" s="216"/>
      <c r="X255" s="216"/>
      <c r="Y255" s="216"/>
      <c r="Z255" s="216"/>
      <c r="AA255" s="216"/>
      <c r="AB255" s="216"/>
      <c r="AC255" s="216"/>
      <c r="AD255" s="216"/>
      <c r="AE255" s="216"/>
      <c r="AF255" s="216"/>
      <c r="AG255" s="216"/>
      <c r="AH255" s="216"/>
      <c r="AI255" s="216"/>
      <c r="AJ255" s="216"/>
      <c r="AK255" s="216"/>
      <c r="AL255" s="216"/>
      <c r="AM255" s="216"/>
      <c r="AN255" s="216"/>
      <c r="AO255" s="216"/>
      <c r="AP255" s="216"/>
      <c r="AQ255" s="216"/>
      <c r="AR255" s="216"/>
      <c r="AS255" s="216"/>
      <c r="AT255" s="216"/>
      <c r="AU255" s="216"/>
      <c r="AV255" s="216"/>
      <c r="AW255" s="216"/>
      <c r="AX255" s="216"/>
      <c r="AY255" s="216"/>
      <c r="AZ255" s="216"/>
      <c r="BA255" s="216"/>
      <c r="BB255" s="216"/>
      <c r="BC255" s="216"/>
      <c r="BD255" s="216"/>
      <c r="BE255" s="216"/>
      <c r="BF255" s="216"/>
      <c r="BG255" s="216"/>
      <c r="BH255" s="216"/>
      <c r="BI255" s="216"/>
      <c r="BJ255" s="216"/>
      <c r="BK255" s="216"/>
      <c r="BL255" s="216"/>
      <c r="BM255" s="216"/>
      <c r="BN255" s="216"/>
      <c r="BO255" s="216"/>
      <c r="BP255" s="216"/>
      <c r="BQ255" s="216"/>
      <c r="BR255" s="216"/>
      <c r="BS255" s="216"/>
      <c r="BT255" s="216"/>
      <c r="BU255" s="216"/>
      <c r="BV255" s="216"/>
      <c r="BW255" s="216"/>
      <c r="BX255" s="216"/>
      <c r="BY255" s="216"/>
      <c r="BZ255" s="216"/>
      <c r="CA255" s="216"/>
      <c r="CB255" s="216"/>
      <c r="CC255" s="216"/>
      <c r="CD255" s="216"/>
      <c r="CE255" s="216"/>
      <c r="CF255" s="216"/>
      <c r="CG255" s="216"/>
      <c r="CH255" s="216"/>
      <c r="CI255" s="216"/>
      <c r="CJ255" s="216"/>
      <c r="CK255" s="216"/>
      <c r="CL255" s="216"/>
      <c r="CM255" s="216"/>
      <c r="CN255" s="216"/>
      <c r="CO255" s="216"/>
      <c r="CP255" s="216"/>
      <c r="CQ255" s="216"/>
    </row>
    <row r="256" spans="10:95" x14ac:dyDescent="0.25">
      <c r="J256" s="216"/>
      <c r="K256" s="217"/>
      <c r="L256" s="216"/>
      <c r="M256" s="216"/>
      <c r="N256" s="216"/>
      <c r="O256" s="216"/>
      <c r="P256" s="216"/>
      <c r="Q256" s="216"/>
      <c r="R256" s="216"/>
      <c r="S256" s="216"/>
      <c r="T256" s="216"/>
      <c r="U256" s="216"/>
      <c r="V256" s="216"/>
      <c r="W256" s="216"/>
      <c r="X256" s="216"/>
      <c r="Y256" s="216"/>
      <c r="Z256" s="216"/>
      <c r="AA256" s="216"/>
      <c r="AB256" s="216"/>
      <c r="AC256" s="216"/>
      <c r="AD256" s="216"/>
      <c r="AE256" s="216"/>
      <c r="AF256" s="216"/>
      <c r="AG256" s="216"/>
      <c r="AH256" s="216"/>
      <c r="AI256" s="216"/>
      <c r="AJ256" s="216"/>
      <c r="AK256" s="216"/>
      <c r="AL256" s="216"/>
      <c r="AM256" s="216"/>
      <c r="AN256" s="216"/>
      <c r="AO256" s="216"/>
      <c r="AP256" s="216"/>
      <c r="AQ256" s="216"/>
      <c r="AR256" s="216"/>
      <c r="AS256" s="216"/>
      <c r="AT256" s="216"/>
      <c r="AU256" s="216"/>
      <c r="AV256" s="216"/>
      <c r="AW256" s="216"/>
      <c r="AX256" s="216"/>
      <c r="AY256" s="216"/>
      <c r="AZ256" s="216"/>
      <c r="BA256" s="216"/>
      <c r="BB256" s="216"/>
      <c r="BC256" s="216"/>
      <c r="BD256" s="216"/>
      <c r="BE256" s="216"/>
      <c r="BF256" s="216"/>
      <c r="BG256" s="216"/>
      <c r="BH256" s="216"/>
      <c r="BI256" s="216"/>
      <c r="BJ256" s="216"/>
      <c r="BK256" s="216"/>
      <c r="BL256" s="216"/>
      <c r="BM256" s="216"/>
      <c r="BN256" s="216"/>
      <c r="BO256" s="216"/>
      <c r="BP256" s="216"/>
      <c r="BQ256" s="216"/>
      <c r="BR256" s="216"/>
      <c r="BS256" s="216"/>
      <c r="BT256" s="216"/>
      <c r="BU256" s="216"/>
      <c r="BV256" s="216"/>
      <c r="BW256" s="216"/>
      <c r="BX256" s="216"/>
      <c r="BY256" s="216"/>
      <c r="BZ256" s="216"/>
      <c r="CA256" s="216"/>
      <c r="CB256" s="216"/>
      <c r="CC256" s="216"/>
      <c r="CD256" s="216"/>
      <c r="CE256" s="216"/>
      <c r="CF256" s="216"/>
      <c r="CG256" s="216"/>
      <c r="CH256" s="216"/>
      <c r="CI256" s="216"/>
      <c r="CJ256" s="216"/>
      <c r="CK256" s="216"/>
      <c r="CL256" s="216"/>
      <c r="CM256" s="216"/>
      <c r="CN256" s="216"/>
      <c r="CO256" s="216"/>
      <c r="CP256" s="216"/>
      <c r="CQ256" s="216"/>
    </row>
    <row r="257" spans="10:95" x14ac:dyDescent="0.25">
      <c r="J257" s="216"/>
      <c r="K257" s="217"/>
      <c r="L257" s="216"/>
      <c r="M257" s="216"/>
      <c r="N257" s="216"/>
      <c r="O257" s="216"/>
      <c r="P257" s="216"/>
      <c r="Q257" s="216"/>
      <c r="R257" s="216"/>
      <c r="S257" s="216"/>
      <c r="T257" s="216"/>
      <c r="U257" s="216"/>
      <c r="V257" s="216"/>
      <c r="W257" s="216"/>
      <c r="X257" s="216"/>
      <c r="Y257" s="216"/>
      <c r="Z257" s="216"/>
      <c r="AA257" s="216"/>
      <c r="AB257" s="216"/>
      <c r="AC257" s="216"/>
      <c r="AD257" s="216"/>
      <c r="AE257" s="216"/>
      <c r="AF257" s="216"/>
      <c r="AG257" s="216"/>
      <c r="AH257" s="216"/>
      <c r="AI257" s="216"/>
      <c r="AJ257" s="216"/>
      <c r="AK257" s="216"/>
      <c r="AL257" s="216"/>
      <c r="AM257" s="216"/>
      <c r="AN257" s="216"/>
      <c r="AO257" s="216"/>
      <c r="AP257" s="216"/>
      <c r="AQ257" s="216"/>
      <c r="AR257" s="216"/>
      <c r="AS257" s="216"/>
      <c r="AT257" s="216"/>
      <c r="AU257" s="216"/>
      <c r="AV257" s="216"/>
      <c r="AW257" s="216"/>
      <c r="AX257" s="216"/>
      <c r="AY257" s="216"/>
      <c r="AZ257" s="216"/>
      <c r="BA257" s="216"/>
      <c r="BB257" s="216"/>
      <c r="BC257" s="216"/>
      <c r="BD257" s="216"/>
      <c r="BE257" s="216"/>
      <c r="BF257" s="216"/>
      <c r="BG257" s="216"/>
      <c r="BH257" s="216"/>
      <c r="BI257" s="216"/>
      <c r="BJ257" s="216"/>
      <c r="BK257" s="216"/>
      <c r="BL257" s="216"/>
      <c r="BM257" s="216"/>
      <c r="BN257" s="216"/>
      <c r="BO257" s="216"/>
      <c r="BP257" s="216"/>
      <c r="BQ257" s="216"/>
      <c r="BR257" s="216"/>
      <c r="BS257" s="216"/>
      <c r="BT257" s="216"/>
      <c r="BU257" s="216"/>
      <c r="BV257" s="216"/>
      <c r="BW257" s="216"/>
      <c r="BX257" s="216"/>
      <c r="BY257" s="216"/>
      <c r="BZ257" s="216"/>
      <c r="CA257" s="216"/>
      <c r="CB257" s="216"/>
      <c r="CC257" s="216"/>
      <c r="CD257" s="216"/>
      <c r="CE257" s="216"/>
      <c r="CF257" s="216"/>
      <c r="CG257" s="216"/>
      <c r="CH257" s="216"/>
      <c r="CI257" s="216"/>
      <c r="CJ257" s="216"/>
      <c r="CK257" s="216"/>
      <c r="CL257" s="216"/>
      <c r="CM257" s="216"/>
      <c r="CN257" s="216"/>
      <c r="CO257" s="216"/>
      <c r="CP257" s="216"/>
      <c r="CQ257" s="216"/>
    </row>
    <row r="258" spans="10:95" x14ac:dyDescent="0.25">
      <c r="J258" s="216"/>
      <c r="K258" s="217"/>
      <c r="L258" s="216"/>
      <c r="M258" s="216"/>
      <c r="N258" s="216"/>
      <c r="O258" s="216"/>
      <c r="P258" s="216"/>
      <c r="Q258" s="216"/>
      <c r="R258" s="216"/>
      <c r="S258" s="216"/>
      <c r="T258" s="216"/>
      <c r="U258" s="216"/>
      <c r="V258" s="216"/>
      <c r="W258" s="216"/>
      <c r="X258" s="216"/>
      <c r="Y258" s="216"/>
      <c r="Z258" s="216"/>
      <c r="AA258" s="216"/>
      <c r="AB258" s="216"/>
      <c r="AC258" s="216"/>
      <c r="AD258" s="216"/>
      <c r="AE258" s="216"/>
      <c r="AF258" s="216"/>
      <c r="AG258" s="216"/>
      <c r="AH258" s="216"/>
      <c r="AI258" s="216"/>
      <c r="AJ258" s="216"/>
      <c r="AK258" s="216"/>
      <c r="AL258" s="216"/>
      <c r="AM258" s="216"/>
      <c r="AN258" s="216"/>
      <c r="AO258" s="216"/>
      <c r="AP258" s="216"/>
      <c r="AQ258" s="216"/>
      <c r="AR258" s="216"/>
      <c r="AS258" s="216"/>
      <c r="AT258" s="216"/>
      <c r="AU258" s="216"/>
      <c r="AV258" s="216"/>
      <c r="AW258" s="216"/>
      <c r="AX258" s="216"/>
      <c r="AY258" s="216"/>
      <c r="AZ258" s="216"/>
      <c r="BA258" s="216"/>
      <c r="BB258" s="216"/>
      <c r="BC258" s="216"/>
      <c r="BD258" s="216"/>
      <c r="BE258" s="216"/>
      <c r="BF258" s="216"/>
      <c r="BG258" s="216"/>
      <c r="BH258" s="216"/>
      <c r="BI258" s="216"/>
      <c r="BJ258" s="216"/>
      <c r="BK258" s="216"/>
      <c r="BL258" s="216"/>
      <c r="BM258" s="216"/>
      <c r="BN258" s="216"/>
      <c r="BO258" s="216"/>
      <c r="BP258" s="216"/>
      <c r="BQ258" s="216"/>
      <c r="BR258" s="216"/>
      <c r="BS258" s="216"/>
      <c r="BT258" s="216"/>
      <c r="BU258" s="216"/>
      <c r="BV258" s="216"/>
      <c r="BW258" s="216"/>
      <c r="BX258" s="216"/>
      <c r="BY258" s="216"/>
      <c r="BZ258" s="216"/>
      <c r="CA258" s="216"/>
      <c r="CB258" s="216"/>
      <c r="CC258" s="216"/>
      <c r="CD258" s="216"/>
      <c r="CE258" s="216"/>
      <c r="CF258" s="216"/>
      <c r="CG258" s="216"/>
      <c r="CH258" s="216"/>
      <c r="CI258" s="216"/>
      <c r="CJ258" s="216"/>
      <c r="CK258" s="216"/>
      <c r="CL258" s="216"/>
      <c r="CM258" s="216"/>
      <c r="CN258" s="216"/>
      <c r="CO258" s="216"/>
      <c r="CP258" s="216"/>
      <c r="CQ258" s="216"/>
    </row>
    <row r="259" spans="10:95" x14ac:dyDescent="0.25">
      <c r="J259" s="216"/>
      <c r="K259" s="217"/>
      <c r="L259" s="216"/>
      <c r="M259" s="216"/>
      <c r="N259" s="216"/>
      <c r="O259" s="216"/>
      <c r="P259" s="216"/>
      <c r="Q259" s="216"/>
      <c r="R259" s="216"/>
      <c r="S259" s="216"/>
      <c r="T259" s="216"/>
      <c r="U259" s="216"/>
      <c r="V259" s="216"/>
      <c r="W259" s="216"/>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6"/>
      <c r="BB259" s="216"/>
      <c r="BC259" s="216"/>
      <c r="BD259" s="216"/>
      <c r="BE259" s="216"/>
      <c r="BF259" s="216"/>
      <c r="BG259" s="216"/>
      <c r="BH259" s="216"/>
      <c r="BI259" s="216"/>
      <c r="BJ259" s="216"/>
      <c r="BK259" s="216"/>
      <c r="BL259" s="216"/>
      <c r="BM259" s="216"/>
      <c r="BN259" s="216"/>
      <c r="BO259" s="216"/>
      <c r="BP259" s="216"/>
      <c r="BQ259" s="216"/>
      <c r="BR259" s="216"/>
      <c r="BS259" s="216"/>
      <c r="BT259" s="216"/>
      <c r="BU259" s="216"/>
      <c r="BV259" s="216"/>
      <c r="BW259" s="216"/>
      <c r="BX259" s="216"/>
      <c r="BY259" s="216"/>
      <c r="BZ259" s="216"/>
      <c r="CA259" s="216"/>
      <c r="CB259" s="216"/>
      <c r="CC259" s="216"/>
      <c r="CD259" s="216"/>
      <c r="CE259" s="216"/>
      <c r="CF259" s="216"/>
      <c r="CG259" s="216"/>
      <c r="CH259" s="216"/>
      <c r="CI259" s="216"/>
      <c r="CJ259" s="216"/>
      <c r="CK259" s="216"/>
      <c r="CL259" s="216"/>
      <c r="CM259" s="216"/>
      <c r="CN259" s="216"/>
      <c r="CO259" s="216"/>
      <c r="CP259" s="216"/>
      <c r="CQ259" s="216"/>
    </row>
    <row r="260" spans="10:95" x14ac:dyDescent="0.25">
      <c r="J260" s="216"/>
      <c r="K260" s="217"/>
      <c r="L260" s="216"/>
      <c r="M260" s="216"/>
      <c r="N260" s="216"/>
      <c r="O260" s="216"/>
      <c r="P260" s="216"/>
      <c r="Q260" s="216"/>
      <c r="R260" s="216"/>
      <c r="S260" s="216"/>
      <c r="T260" s="216"/>
      <c r="U260" s="216"/>
      <c r="V260" s="216"/>
      <c r="W260" s="216"/>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16"/>
      <c r="BB260" s="216"/>
      <c r="BC260" s="216"/>
      <c r="BD260" s="216"/>
      <c r="BE260" s="216"/>
      <c r="BF260" s="216"/>
      <c r="BG260" s="216"/>
      <c r="BH260" s="216"/>
      <c r="BI260" s="216"/>
      <c r="BJ260" s="216"/>
      <c r="BK260" s="216"/>
      <c r="BL260" s="216"/>
      <c r="BM260" s="216"/>
      <c r="BN260" s="216"/>
      <c r="BO260" s="216"/>
      <c r="BP260" s="216"/>
      <c r="BQ260" s="216"/>
      <c r="BR260" s="216"/>
      <c r="BS260" s="216"/>
      <c r="BT260" s="216"/>
      <c r="BU260" s="216"/>
      <c r="BV260" s="216"/>
      <c r="BW260" s="216"/>
      <c r="BX260" s="216"/>
      <c r="BY260" s="216"/>
      <c r="BZ260" s="216"/>
      <c r="CA260" s="216"/>
      <c r="CB260" s="216"/>
      <c r="CC260" s="216"/>
      <c r="CD260" s="216"/>
      <c r="CE260" s="216"/>
      <c r="CF260" s="216"/>
      <c r="CG260" s="216"/>
      <c r="CH260" s="216"/>
      <c r="CI260" s="216"/>
      <c r="CJ260" s="216"/>
      <c r="CK260" s="216"/>
      <c r="CL260" s="216"/>
      <c r="CM260" s="216"/>
      <c r="CN260" s="216"/>
      <c r="CO260" s="216"/>
      <c r="CP260" s="216"/>
      <c r="CQ260" s="216"/>
    </row>
    <row r="261" spans="10:95" x14ac:dyDescent="0.25">
      <c r="J261" s="216"/>
      <c r="K261" s="217"/>
      <c r="L261" s="216"/>
      <c r="M261" s="216"/>
      <c r="N261" s="216"/>
      <c r="O261" s="216"/>
      <c r="P261" s="216"/>
      <c r="Q261" s="216"/>
      <c r="R261" s="216"/>
      <c r="S261" s="216"/>
      <c r="T261" s="216"/>
      <c r="U261" s="216"/>
      <c r="V261" s="216"/>
      <c r="W261" s="216"/>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16"/>
      <c r="BB261" s="216"/>
      <c r="BC261" s="216"/>
      <c r="BD261" s="216"/>
      <c r="BE261" s="216"/>
      <c r="BF261" s="216"/>
      <c r="BG261" s="216"/>
      <c r="BH261" s="216"/>
      <c r="BI261" s="216"/>
      <c r="BJ261" s="216"/>
      <c r="BK261" s="216"/>
      <c r="BL261" s="216"/>
      <c r="BM261" s="216"/>
      <c r="BN261" s="216"/>
      <c r="BO261" s="216"/>
      <c r="BP261" s="216"/>
      <c r="BQ261" s="216"/>
      <c r="BR261" s="216"/>
      <c r="BS261" s="216"/>
      <c r="BT261" s="216"/>
      <c r="BU261" s="216"/>
      <c r="BV261" s="216"/>
      <c r="BW261" s="216"/>
      <c r="BX261" s="216"/>
      <c r="BY261" s="216"/>
      <c r="BZ261" s="216"/>
      <c r="CA261" s="216"/>
      <c r="CB261" s="216"/>
      <c r="CC261" s="216"/>
      <c r="CD261" s="216"/>
      <c r="CE261" s="216"/>
      <c r="CF261" s="216"/>
      <c r="CG261" s="216"/>
      <c r="CH261" s="216"/>
      <c r="CI261" s="216"/>
      <c r="CJ261" s="216"/>
      <c r="CK261" s="216"/>
      <c r="CL261" s="216"/>
      <c r="CM261" s="216"/>
      <c r="CN261" s="216"/>
      <c r="CO261" s="216"/>
      <c r="CP261" s="216"/>
      <c r="CQ261" s="216"/>
    </row>
    <row r="262" spans="10:95" x14ac:dyDescent="0.25">
      <c r="J262" s="216"/>
      <c r="K262" s="217"/>
      <c r="L262" s="216"/>
      <c r="M262" s="216"/>
      <c r="N262" s="216"/>
      <c r="O262" s="216"/>
      <c r="P262" s="216"/>
      <c r="Q262" s="216"/>
      <c r="R262" s="216"/>
      <c r="S262" s="216"/>
      <c r="T262" s="216"/>
      <c r="U262" s="216"/>
      <c r="V262" s="216"/>
      <c r="W262" s="216"/>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16"/>
      <c r="BB262" s="216"/>
      <c r="BC262" s="216"/>
      <c r="BD262" s="216"/>
      <c r="BE262" s="216"/>
      <c r="BF262" s="216"/>
      <c r="BG262" s="216"/>
      <c r="BH262" s="216"/>
      <c r="BI262" s="216"/>
      <c r="BJ262" s="216"/>
      <c r="BK262" s="216"/>
      <c r="BL262" s="216"/>
      <c r="BM262" s="216"/>
      <c r="BN262" s="216"/>
      <c r="BO262" s="216"/>
      <c r="BP262" s="216"/>
      <c r="BQ262" s="216"/>
      <c r="BR262" s="216"/>
      <c r="BS262" s="216"/>
      <c r="BT262" s="216"/>
      <c r="BU262" s="216"/>
      <c r="BV262" s="216"/>
      <c r="BW262" s="216"/>
      <c r="BX262" s="216"/>
      <c r="BY262" s="216"/>
      <c r="BZ262" s="216"/>
      <c r="CA262" s="216"/>
      <c r="CB262" s="216"/>
      <c r="CC262" s="216"/>
      <c r="CD262" s="216"/>
      <c r="CE262" s="216"/>
      <c r="CF262" s="216"/>
      <c r="CG262" s="216"/>
      <c r="CH262" s="216"/>
      <c r="CI262" s="216"/>
      <c r="CJ262" s="216"/>
      <c r="CK262" s="216"/>
      <c r="CL262" s="216"/>
      <c r="CM262" s="216"/>
      <c r="CN262" s="216"/>
      <c r="CO262" s="216"/>
      <c r="CP262" s="216"/>
      <c r="CQ262" s="216"/>
    </row>
    <row r="263" spans="10:95" x14ac:dyDescent="0.25">
      <c r="J263" s="216"/>
      <c r="K263" s="217"/>
      <c r="L263" s="216"/>
      <c r="M263" s="216"/>
      <c r="N263" s="216"/>
      <c r="O263" s="216"/>
      <c r="P263" s="216"/>
      <c r="Q263" s="216"/>
      <c r="R263" s="216"/>
      <c r="S263" s="216"/>
      <c r="T263" s="216"/>
      <c r="U263" s="216"/>
      <c r="V263" s="216"/>
      <c r="W263" s="216"/>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16"/>
      <c r="BB263" s="216"/>
      <c r="BC263" s="216"/>
      <c r="BD263" s="216"/>
      <c r="BE263" s="216"/>
      <c r="BF263" s="216"/>
      <c r="BG263" s="216"/>
      <c r="BH263" s="216"/>
      <c r="BI263" s="216"/>
      <c r="BJ263" s="216"/>
      <c r="BK263" s="216"/>
      <c r="BL263" s="216"/>
      <c r="BM263" s="216"/>
      <c r="BN263" s="216"/>
      <c r="BO263" s="216"/>
      <c r="BP263" s="216"/>
      <c r="BQ263" s="216"/>
      <c r="BR263" s="216"/>
      <c r="BS263" s="216"/>
      <c r="BT263" s="216"/>
      <c r="BU263" s="216"/>
      <c r="BV263" s="216"/>
      <c r="BW263" s="216"/>
      <c r="BX263" s="216"/>
      <c r="BY263" s="216"/>
      <c r="BZ263" s="216"/>
      <c r="CA263" s="216"/>
      <c r="CB263" s="216"/>
      <c r="CC263" s="216"/>
      <c r="CD263" s="216"/>
      <c r="CE263" s="216"/>
      <c r="CF263" s="216"/>
      <c r="CG263" s="216"/>
      <c r="CH263" s="216"/>
      <c r="CI263" s="216"/>
      <c r="CJ263" s="216"/>
      <c r="CK263" s="216"/>
      <c r="CL263" s="216"/>
      <c r="CM263" s="216"/>
      <c r="CN263" s="216"/>
      <c r="CO263" s="216"/>
      <c r="CP263" s="216"/>
      <c r="CQ263" s="216"/>
    </row>
    <row r="264" spans="10:95" x14ac:dyDescent="0.25">
      <c r="J264" s="216"/>
      <c r="K264" s="217"/>
      <c r="L264" s="216"/>
      <c r="M264" s="216"/>
      <c r="N264" s="216"/>
      <c r="O264" s="216"/>
      <c r="P264" s="216"/>
      <c r="Q264" s="216"/>
      <c r="R264" s="216"/>
      <c r="S264" s="216"/>
      <c r="T264" s="216"/>
      <c r="U264" s="216"/>
      <c r="V264" s="216"/>
      <c r="W264" s="216"/>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16"/>
      <c r="BB264" s="216"/>
      <c r="BC264" s="216"/>
      <c r="BD264" s="216"/>
      <c r="BE264" s="216"/>
      <c r="BF264" s="216"/>
      <c r="BG264" s="216"/>
      <c r="BH264" s="216"/>
      <c r="BI264" s="216"/>
      <c r="BJ264" s="216"/>
      <c r="BK264" s="216"/>
      <c r="BL264" s="216"/>
      <c r="BM264" s="216"/>
      <c r="BN264" s="216"/>
      <c r="BO264" s="216"/>
      <c r="BP264" s="216"/>
      <c r="BQ264" s="216"/>
      <c r="BR264" s="216"/>
      <c r="BS264" s="216"/>
      <c r="BT264" s="216"/>
      <c r="BU264" s="216"/>
      <c r="BV264" s="216"/>
      <c r="BW264" s="216"/>
      <c r="BX264" s="216"/>
      <c r="BY264" s="216"/>
      <c r="BZ264" s="216"/>
      <c r="CA264" s="216"/>
      <c r="CB264" s="216"/>
      <c r="CC264" s="216"/>
      <c r="CD264" s="216"/>
      <c r="CE264" s="216"/>
      <c r="CF264" s="216"/>
      <c r="CG264" s="216"/>
      <c r="CH264" s="216"/>
      <c r="CI264" s="216"/>
      <c r="CJ264" s="216"/>
      <c r="CK264" s="216"/>
      <c r="CL264" s="216"/>
      <c r="CM264" s="216"/>
      <c r="CN264" s="216"/>
      <c r="CO264" s="216"/>
      <c r="CP264" s="216"/>
      <c r="CQ264" s="216"/>
    </row>
    <row r="265" spans="10:95" x14ac:dyDescent="0.25">
      <c r="J265" s="216"/>
      <c r="K265" s="217"/>
      <c r="L265" s="216"/>
      <c r="M265" s="216"/>
      <c r="N265" s="216"/>
      <c r="O265" s="216"/>
      <c r="P265" s="216"/>
      <c r="Q265" s="216"/>
      <c r="R265" s="216"/>
      <c r="S265" s="216"/>
      <c r="T265" s="216"/>
      <c r="U265" s="216"/>
      <c r="V265" s="216"/>
      <c r="W265" s="216"/>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16"/>
      <c r="BB265" s="216"/>
      <c r="BC265" s="216"/>
      <c r="BD265" s="216"/>
      <c r="BE265" s="216"/>
      <c r="BF265" s="216"/>
      <c r="BG265" s="216"/>
      <c r="BH265" s="216"/>
      <c r="BI265" s="216"/>
      <c r="BJ265" s="216"/>
      <c r="BK265" s="216"/>
      <c r="BL265" s="216"/>
      <c r="BM265" s="216"/>
      <c r="BN265" s="216"/>
      <c r="BO265" s="216"/>
      <c r="BP265" s="216"/>
      <c r="BQ265" s="216"/>
      <c r="BR265" s="216"/>
      <c r="BS265" s="216"/>
      <c r="BT265" s="216"/>
      <c r="BU265" s="216"/>
      <c r="BV265" s="216"/>
      <c r="BW265" s="216"/>
      <c r="BX265" s="216"/>
      <c r="BY265" s="216"/>
      <c r="BZ265" s="216"/>
      <c r="CA265" s="216"/>
      <c r="CB265" s="216"/>
      <c r="CC265" s="216"/>
      <c r="CD265" s="216"/>
      <c r="CE265" s="216"/>
      <c r="CF265" s="216"/>
      <c r="CG265" s="216"/>
      <c r="CH265" s="216"/>
      <c r="CI265" s="216"/>
      <c r="CJ265" s="216"/>
      <c r="CK265" s="216"/>
      <c r="CL265" s="216"/>
      <c r="CM265" s="216"/>
      <c r="CN265" s="216"/>
      <c r="CO265" s="216"/>
      <c r="CP265" s="216"/>
      <c r="CQ265" s="216"/>
    </row>
    <row r="266" spans="10:95" x14ac:dyDescent="0.25">
      <c r="J266" s="216"/>
      <c r="K266" s="217"/>
      <c r="L266" s="216"/>
      <c r="M266" s="216"/>
      <c r="N266" s="216"/>
      <c r="O266" s="216"/>
      <c r="P266" s="216"/>
      <c r="Q266" s="216"/>
      <c r="R266" s="216"/>
      <c r="S266" s="216"/>
      <c r="T266" s="216"/>
      <c r="U266" s="216"/>
      <c r="V266" s="216"/>
      <c r="W266" s="216"/>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16"/>
      <c r="BB266" s="216"/>
      <c r="BC266" s="216"/>
      <c r="BD266" s="216"/>
      <c r="BE266" s="216"/>
      <c r="BF266" s="216"/>
      <c r="BG266" s="216"/>
      <c r="BH266" s="216"/>
      <c r="BI266" s="216"/>
      <c r="BJ266" s="216"/>
      <c r="BK266" s="216"/>
      <c r="BL266" s="216"/>
      <c r="BM266" s="216"/>
      <c r="BN266" s="216"/>
      <c r="BO266" s="216"/>
      <c r="BP266" s="216"/>
      <c r="BQ266" s="216"/>
      <c r="BR266" s="216"/>
      <c r="BS266" s="216"/>
      <c r="BT266" s="216"/>
      <c r="BU266" s="216"/>
      <c r="BV266" s="216"/>
      <c r="BW266" s="216"/>
      <c r="BX266" s="216"/>
      <c r="BY266" s="216"/>
      <c r="BZ266" s="216"/>
      <c r="CA266" s="216"/>
      <c r="CB266" s="216"/>
      <c r="CC266" s="216"/>
      <c r="CD266" s="216"/>
      <c r="CE266" s="216"/>
      <c r="CF266" s="216"/>
      <c r="CG266" s="216"/>
      <c r="CH266" s="216"/>
      <c r="CI266" s="216"/>
      <c r="CJ266" s="216"/>
      <c r="CK266" s="216"/>
      <c r="CL266" s="216"/>
      <c r="CM266" s="216"/>
      <c r="CN266" s="216"/>
      <c r="CO266" s="216"/>
      <c r="CP266" s="216"/>
      <c r="CQ266" s="216"/>
    </row>
    <row r="267" spans="10:95" x14ac:dyDescent="0.25">
      <c r="J267" s="216"/>
      <c r="K267" s="217"/>
      <c r="L267" s="216"/>
      <c r="M267" s="216"/>
      <c r="N267" s="216"/>
      <c r="O267" s="216"/>
      <c r="P267" s="216"/>
      <c r="Q267" s="216"/>
      <c r="R267" s="216"/>
      <c r="S267" s="216"/>
      <c r="T267" s="216"/>
      <c r="U267" s="216"/>
      <c r="V267" s="216"/>
      <c r="W267" s="216"/>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16"/>
      <c r="BB267" s="216"/>
      <c r="BC267" s="216"/>
      <c r="BD267" s="216"/>
      <c r="BE267" s="216"/>
      <c r="BF267" s="216"/>
      <c r="BG267" s="216"/>
      <c r="BH267" s="216"/>
      <c r="BI267" s="216"/>
      <c r="BJ267" s="216"/>
      <c r="BK267" s="216"/>
      <c r="BL267" s="216"/>
      <c r="BM267" s="216"/>
      <c r="BN267" s="216"/>
      <c r="BO267" s="216"/>
      <c r="BP267" s="216"/>
      <c r="BQ267" s="216"/>
      <c r="BR267" s="216"/>
      <c r="BS267" s="216"/>
      <c r="BT267" s="216"/>
      <c r="BU267" s="216"/>
      <c r="BV267" s="216"/>
      <c r="BW267" s="216"/>
      <c r="BX267" s="216"/>
      <c r="BY267" s="216"/>
      <c r="BZ267" s="216"/>
      <c r="CA267" s="216"/>
      <c r="CB267" s="216"/>
      <c r="CC267" s="216"/>
      <c r="CD267" s="216"/>
      <c r="CE267" s="216"/>
      <c r="CF267" s="216"/>
      <c r="CG267" s="216"/>
      <c r="CH267" s="216"/>
      <c r="CI267" s="216"/>
      <c r="CJ267" s="216"/>
      <c r="CK267" s="216"/>
      <c r="CL267" s="216"/>
      <c r="CM267" s="216"/>
      <c r="CN267" s="216"/>
      <c r="CO267" s="216"/>
      <c r="CP267" s="216"/>
      <c r="CQ267" s="216"/>
    </row>
    <row r="268" spans="10:95" x14ac:dyDescent="0.25">
      <c r="J268" s="216"/>
      <c r="K268" s="217"/>
      <c r="L268" s="216"/>
      <c r="M268" s="216"/>
      <c r="N268" s="216"/>
      <c r="O268" s="216"/>
      <c r="P268" s="216"/>
      <c r="Q268" s="216"/>
      <c r="R268" s="216"/>
      <c r="S268" s="216"/>
      <c r="T268" s="216"/>
      <c r="U268" s="216"/>
      <c r="V268" s="216"/>
      <c r="W268" s="216"/>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16"/>
      <c r="BB268" s="216"/>
      <c r="BC268" s="216"/>
      <c r="BD268" s="216"/>
      <c r="BE268" s="216"/>
      <c r="BF268" s="216"/>
      <c r="BG268" s="216"/>
      <c r="BH268" s="216"/>
      <c r="BI268" s="216"/>
      <c r="BJ268" s="216"/>
      <c r="BK268" s="216"/>
      <c r="BL268" s="216"/>
      <c r="BM268" s="216"/>
      <c r="BN268" s="216"/>
      <c r="BO268" s="216"/>
      <c r="BP268" s="216"/>
      <c r="BQ268" s="216"/>
      <c r="BR268" s="216"/>
      <c r="BS268" s="216"/>
      <c r="BT268" s="216"/>
      <c r="BU268" s="216"/>
      <c r="BV268" s="216"/>
      <c r="BW268" s="216"/>
      <c r="BX268" s="216"/>
      <c r="BY268" s="216"/>
      <c r="BZ268" s="216"/>
      <c r="CA268" s="216"/>
      <c r="CB268" s="216"/>
      <c r="CC268" s="216"/>
      <c r="CD268" s="216"/>
      <c r="CE268" s="216"/>
      <c r="CF268" s="216"/>
      <c r="CG268" s="216"/>
      <c r="CH268" s="216"/>
      <c r="CI268" s="216"/>
      <c r="CJ268" s="216"/>
      <c r="CK268" s="216"/>
      <c r="CL268" s="216"/>
      <c r="CM268" s="216"/>
      <c r="CN268" s="216"/>
      <c r="CO268" s="216"/>
      <c r="CP268" s="216"/>
      <c r="CQ268" s="216"/>
    </row>
    <row r="269" spans="10:95" x14ac:dyDescent="0.25">
      <c r="J269" s="216"/>
      <c r="K269" s="217"/>
      <c r="L269" s="216"/>
      <c r="M269" s="216"/>
      <c r="N269" s="216"/>
      <c r="O269" s="216"/>
      <c r="P269" s="216"/>
      <c r="Q269" s="216"/>
      <c r="R269" s="216"/>
      <c r="S269" s="216"/>
      <c r="T269" s="216"/>
      <c r="U269" s="216"/>
      <c r="V269" s="216"/>
      <c r="W269" s="216"/>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16"/>
      <c r="BB269" s="216"/>
      <c r="BC269" s="216"/>
      <c r="BD269" s="216"/>
      <c r="BE269" s="216"/>
      <c r="BF269" s="216"/>
      <c r="BG269" s="216"/>
      <c r="BH269" s="216"/>
      <c r="BI269" s="216"/>
      <c r="BJ269" s="216"/>
      <c r="BK269" s="216"/>
      <c r="BL269" s="216"/>
      <c r="BM269" s="216"/>
      <c r="BN269" s="216"/>
      <c r="BO269" s="216"/>
      <c r="BP269" s="216"/>
      <c r="BQ269" s="216"/>
      <c r="BR269" s="216"/>
      <c r="BS269" s="216"/>
      <c r="BT269" s="216"/>
      <c r="BU269" s="216"/>
      <c r="BV269" s="216"/>
      <c r="BW269" s="216"/>
      <c r="BX269" s="216"/>
      <c r="BY269" s="216"/>
      <c r="BZ269" s="216"/>
      <c r="CA269" s="216"/>
      <c r="CB269" s="216"/>
      <c r="CC269" s="216"/>
      <c r="CD269" s="216"/>
      <c r="CE269" s="216"/>
      <c r="CF269" s="216"/>
      <c r="CG269" s="216"/>
      <c r="CH269" s="216"/>
      <c r="CI269" s="216"/>
      <c r="CJ269" s="216"/>
      <c r="CK269" s="216"/>
      <c r="CL269" s="216"/>
      <c r="CM269" s="216"/>
      <c r="CN269" s="216"/>
      <c r="CO269" s="216"/>
      <c r="CP269" s="216"/>
      <c r="CQ269" s="216"/>
    </row>
    <row r="270" spans="10:95" x14ac:dyDescent="0.25">
      <c r="J270" s="216"/>
      <c r="K270" s="217"/>
      <c r="L270" s="216"/>
      <c r="M270" s="216"/>
      <c r="N270" s="216"/>
      <c r="O270" s="216"/>
      <c r="P270" s="216"/>
      <c r="Q270" s="216"/>
      <c r="R270" s="216"/>
      <c r="S270" s="216"/>
      <c r="T270" s="216"/>
      <c r="U270" s="216"/>
      <c r="V270" s="216"/>
      <c r="W270" s="216"/>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16"/>
      <c r="BB270" s="216"/>
      <c r="BC270" s="216"/>
      <c r="BD270" s="216"/>
      <c r="BE270" s="216"/>
      <c r="BF270" s="216"/>
      <c r="BG270" s="216"/>
      <c r="BH270" s="216"/>
      <c r="BI270" s="216"/>
      <c r="BJ270" s="216"/>
      <c r="BK270" s="216"/>
      <c r="BL270" s="216"/>
      <c r="BM270" s="216"/>
      <c r="BN270" s="216"/>
      <c r="BO270" s="216"/>
      <c r="BP270" s="216"/>
      <c r="BQ270" s="216"/>
      <c r="BR270" s="216"/>
      <c r="BS270" s="216"/>
      <c r="BT270" s="216"/>
      <c r="BU270" s="216"/>
      <c r="BV270" s="216"/>
      <c r="BW270" s="216"/>
      <c r="BX270" s="216"/>
      <c r="BY270" s="216"/>
      <c r="BZ270" s="216"/>
      <c r="CA270" s="216"/>
      <c r="CB270" s="216"/>
      <c r="CC270" s="216"/>
      <c r="CD270" s="216"/>
      <c r="CE270" s="216"/>
      <c r="CF270" s="216"/>
      <c r="CG270" s="216"/>
      <c r="CH270" s="216"/>
      <c r="CI270" s="216"/>
      <c r="CJ270" s="216"/>
      <c r="CK270" s="216"/>
      <c r="CL270" s="216"/>
      <c r="CM270" s="216"/>
      <c r="CN270" s="216"/>
      <c r="CO270" s="216"/>
      <c r="CP270" s="216"/>
      <c r="CQ270" s="216"/>
    </row>
    <row r="271" spans="10:95" x14ac:dyDescent="0.25">
      <c r="J271" s="216"/>
      <c r="K271" s="217"/>
      <c r="L271" s="216"/>
      <c r="M271" s="216"/>
      <c r="N271" s="216"/>
      <c r="O271" s="216"/>
      <c r="P271" s="216"/>
      <c r="Q271" s="216"/>
      <c r="R271" s="216"/>
      <c r="S271" s="216"/>
      <c r="T271" s="216"/>
      <c r="U271" s="216"/>
      <c r="V271" s="216"/>
      <c r="W271" s="216"/>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16"/>
      <c r="BB271" s="216"/>
      <c r="BC271" s="216"/>
      <c r="BD271" s="216"/>
      <c r="BE271" s="216"/>
      <c r="BF271" s="216"/>
      <c r="BG271" s="216"/>
      <c r="BH271" s="216"/>
      <c r="BI271" s="216"/>
      <c r="BJ271" s="216"/>
      <c r="BK271" s="216"/>
      <c r="BL271" s="216"/>
      <c r="BM271" s="216"/>
      <c r="BN271" s="216"/>
      <c r="BO271" s="216"/>
      <c r="BP271" s="216"/>
      <c r="BQ271" s="216"/>
      <c r="BR271" s="216"/>
      <c r="BS271" s="216"/>
      <c r="BT271" s="216"/>
      <c r="BU271" s="216"/>
      <c r="BV271" s="216"/>
      <c r="BW271" s="216"/>
      <c r="BX271" s="216"/>
      <c r="BY271" s="216"/>
      <c r="BZ271" s="216"/>
      <c r="CA271" s="216"/>
      <c r="CB271" s="216"/>
      <c r="CC271" s="216"/>
      <c r="CD271" s="216"/>
      <c r="CE271" s="216"/>
      <c r="CF271" s="216"/>
      <c r="CG271" s="216"/>
      <c r="CH271" s="216"/>
      <c r="CI271" s="216"/>
      <c r="CJ271" s="216"/>
      <c r="CK271" s="216"/>
      <c r="CL271" s="216"/>
      <c r="CM271" s="216"/>
      <c r="CN271" s="216"/>
      <c r="CO271" s="216"/>
      <c r="CP271" s="216"/>
      <c r="CQ271" s="216"/>
    </row>
    <row r="272" spans="10:95" x14ac:dyDescent="0.25">
      <c r="J272" s="216"/>
      <c r="K272" s="217"/>
      <c r="L272" s="216"/>
      <c r="M272" s="216"/>
      <c r="N272" s="216"/>
      <c r="O272" s="216"/>
      <c r="P272" s="216"/>
      <c r="Q272" s="216"/>
      <c r="R272" s="216"/>
      <c r="S272" s="216"/>
      <c r="T272" s="216"/>
      <c r="U272" s="216"/>
      <c r="V272" s="216"/>
      <c r="W272" s="216"/>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16"/>
      <c r="BB272" s="216"/>
      <c r="BC272" s="216"/>
      <c r="BD272" s="216"/>
      <c r="BE272" s="216"/>
      <c r="BF272" s="216"/>
      <c r="BG272" s="216"/>
      <c r="BH272" s="216"/>
      <c r="BI272" s="216"/>
      <c r="BJ272" s="216"/>
      <c r="BK272" s="216"/>
      <c r="BL272" s="216"/>
      <c r="BM272" s="216"/>
      <c r="BN272" s="216"/>
      <c r="BO272" s="216"/>
      <c r="BP272" s="216"/>
      <c r="BQ272" s="216"/>
      <c r="BR272" s="216"/>
      <c r="BS272" s="216"/>
      <c r="BT272" s="216"/>
      <c r="BU272" s="216"/>
      <c r="BV272" s="216"/>
      <c r="BW272" s="216"/>
      <c r="BX272" s="216"/>
      <c r="BY272" s="216"/>
      <c r="BZ272" s="216"/>
      <c r="CA272" s="216"/>
      <c r="CB272" s="216"/>
      <c r="CC272" s="216"/>
      <c r="CD272" s="216"/>
      <c r="CE272" s="216"/>
      <c r="CF272" s="216"/>
      <c r="CG272" s="216"/>
      <c r="CH272" s="216"/>
      <c r="CI272" s="216"/>
      <c r="CJ272" s="216"/>
      <c r="CK272" s="216"/>
      <c r="CL272" s="216"/>
      <c r="CM272" s="216"/>
      <c r="CN272" s="216"/>
      <c r="CO272" s="216"/>
      <c r="CP272" s="216"/>
      <c r="CQ272" s="216"/>
    </row>
    <row r="273" spans="10:95" x14ac:dyDescent="0.25">
      <c r="J273" s="216"/>
      <c r="K273" s="217"/>
      <c r="L273" s="216"/>
      <c r="M273" s="216"/>
      <c r="N273" s="216"/>
      <c r="O273" s="216"/>
      <c r="P273" s="216"/>
      <c r="Q273" s="216"/>
      <c r="R273" s="216"/>
      <c r="S273" s="216"/>
      <c r="T273" s="216"/>
      <c r="U273" s="216"/>
      <c r="V273" s="216"/>
      <c r="W273" s="216"/>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16"/>
      <c r="BB273" s="216"/>
      <c r="BC273" s="216"/>
      <c r="BD273" s="216"/>
      <c r="BE273" s="216"/>
      <c r="BF273" s="216"/>
      <c r="BG273" s="216"/>
      <c r="BH273" s="216"/>
      <c r="BI273" s="216"/>
      <c r="BJ273" s="216"/>
      <c r="BK273" s="216"/>
      <c r="BL273" s="216"/>
      <c r="BM273" s="216"/>
      <c r="BN273" s="216"/>
      <c r="BO273" s="216"/>
      <c r="BP273" s="216"/>
      <c r="BQ273" s="216"/>
      <c r="BR273" s="216"/>
      <c r="BS273" s="216"/>
      <c r="BT273" s="216"/>
      <c r="BU273" s="216"/>
      <c r="BV273" s="216"/>
      <c r="BW273" s="216"/>
      <c r="BX273" s="216"/>
      <c r="BY273" s="216"/>
      <c r="BZ273" s="216"/>
      <c r="CA273" s="216"/>
      <c r="CB273" s="216"/>
      <c r="CC273" s="216"/>
      <c r="CD273" s="216"/>
      <c r="CE273" s="216"/>
      <c r="CF273" s="216"/>
      <c r="CG273" s="216"/>
      <c r="CH273" s="216"/>
      <c r="CI273" s="216"/>
      <c r="CJ273" s="216"/>
      <c r="CK273" s="216"/>
      <c r="CL273" s="216"/>
      <c r="CM273" s="216"/>
      <c r="CN273" s="216"/>
      <c r="CO273" s="216"/>
      <c r="CP273" s="216"/>
      <c r="CQ273" s="216"/>
    </row>
    <row r="274" spans="10:95" x14ac:dyDescent="0.25">
      <c r="J274" s="216"/>
      <c r="K274" s="217"/>
      <c r="L274" s="216"/>
      <c r="M274" s="216"/>
      <c r="N274" s="216"/>
      <c r="O274" s="216"/>
      <c r="P274" s="216"/>
      <c r="Q274" s="216"/>
      <c r="R274" s="216"/>
      <c r="S274" s="216"/>
      <c r="T274" s="216"/>
      <c r="U274" s="216"/>
      <c r="V274" s="216"/>
      <c r="W274" s="216"/>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16"/>
      <c r="BB274" s="216"/>
      <c r="BC274" s="216"/>
      <c r="BD274" s="216"/>
      <c r="BE274" s="216"/>
      <c r="BF274" s="216"/>
      <c r="BG274" s="216"/>
      <c r="BH274" s="216"/>
      <c r="BI274" s="216"/>
      <c r="BJ274" s="216"/>
      <c r="BK274" s="216"/>
      <c r="BL274" s="216"/>
      <c r="BM274" s="216"/>
      <c r="BN274" s="216"/>
      <c r="BO274" s="216"/>
      <c r="BP274" s="216"/>
      <c r="BQ274" s="216"/>
      <c r="BR274" s="216"/>
      <c r="BS274" s="216"/>
      <c r="BT274" s="216"/>
      <c r="BU274" s="216"/>
      <c r="BV274" s="216"/>
      <c r="BW274" s="216"/>
      <c r="BX274" s="216"/>
      <c r="BY274" s="216"/>
      <c r="BZ274" s="216"/>
      <c r="CA274" s="216"/>
      <c r="CB274" s="216"/>
      <c r="CC274" s="216"/>
      <c r="CD274" s="216"/>
      <c r="CE274" s="216"/>
      <c r="CF274" s="216"/>
      <c r="CG274" s="216"/>
      <c r="CH274" s="216"/>
      <c r="CI274" s="216"/>
      <c r="CJ274" s="216"/>
      <c r="CK274" s="216"/>
      <c r="CL274" s="216"/>
      <c r="CM274" s="216"/>
      <c r="CN274" s="216"/>
      <c r="CO274" s="216"/>
      <c r="CP274" s="216"/>
      <c r="CQ274" s="216"/>
    </row>
    <row r="275" spans="10:95" x14ac:dyDescent="0.25">
      <c r="J275" s="216"/>
      <c r="K275" s="217"/>
      <c r="L275" s="216"/>
      <c r="M275" s="216"/>
      <c r="N275" s="216"/>
      <c r="O275" s="216"/>
      <c r="P275" s="216"/>
      <c r="Q275" s="216"/>
      <c r="R275" s="216"/>
      <c r="S275" s="216"/>
      <c r="T275" s="216"/>
      <c r="U275" s="216"/>
      <c r="V275" s="216"/>
      <c r="W275" s="216"/>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16"/>
      <c r="BB275" s="216"/>
      <c r="BC275" s="216"/>
      <c r="BD275" s="216"/>
      <c r="BE275" s="216"/>
      <c r="BF275" s="216"/>
      <c r="BG275" s="216"/>
      <c r="BH275" s="216"/>
      <c r="BI275" s="216"/>
      <c r="BJ275" s="216"/>
      <c r="BK275" s="216"/>
      <c r="BL275" s="216"/>
      <c r="BM275" s="216"/>
      <c r="BN275" s="216"/>
      <c r="BO275" s="216"/>
      <c r="BP275" s="216"/>
      <c r="BQ275" s="216"/>
      <c r="BR275" s="216"/>
      <c r="BS275" s="216"/>
      <c r="BT275" s="216"/>
      <c r="BU275" s="216"/>
      <c r="BV275" s="216"/>
      <c r="BW275" s="216"/>
      <c r="BX275" s="216"/>
      <c r="BY275" s="216"/>
      <c r="BZ275" s="216"/>
      <c r="CA275" s="216"/>
      <c r="CB275" s="216"/>
      <c r="CC275" s="216"/>
      <c r="CD275" s="216"/>
      <c r="CE275" s="216"/>
      <c r="CF275" s="216"/>
      <c r="CG275" s="216"/>
      <c r="CH275" s="216"/>
      <c r="CI275" s="216"/>
      <c r="CJ275" s="216"/>
      <c r="CK275" s="216"/>
      <c r="CL275" s="216"/>
      <c r="CM275" s="216"/>
      <c r="CN275" s="216"/>
      <c r="CO275" s="216"/>
      <c r="CP275" s="216"/>
      <c r="CQ275" s="216"/>
    </row>
    <row r="276" spans="10:95" x14ac:dyDescent="0.25">
      <c r="J276" s="216"/>
      <c r="K276" s="217"/>
      <c r="L276" s="216"/>
      <c r="M276" s="216"/>
      <c r="N276" s="216"/>
      <c r="O276" s="216"/>
      <c r="P276" s="216"/>
      <c r="Q276" s="216"/>
      <c r="R276" s="216"/>
      <c r="S276" s="216"/>
      <c r="T276" s="216"/>
      <c r="U276" s="216"/>
      <c r="V276" s="216"/>
      <c r="W276" s="216"/>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16"/>
      <c r="BB276" s="216"/>
      <c r="BC276" s="216"/>
      <c r="BD276" s="216"/>
      <c r="BE276" s="216"/>
      <c r="BF276" s="216"/>
      <c r="BG276" s="216"/>
      <c r="BH276" s="216"/>
      <c r="BI276" s="216"/>
      <c r="BJ276" s="216"/>
      <c r="BK276" s="216"/>
      <c r="BL276" s="216"/>
      <c r="BM276" s="216"/>
      <c r="BN276" s="216"/>
      <c r="BO276" s="216"/>
      <c r="BP276" s="216"/>
      <c r="BQ276" s="216"/>
      <c r="BR276" s="216"/>
      <c r="BS276" s="216"/>
      <c r="BT276" s="216"/>
      <c r="BU276" s="216"/>
      <c r="BV276" s="216"/>
      <c r="BW276" s="216"/>
      <c r="BX276" s="216"/>
      <c r="BY276" s="216"/>
      <c r="BZ276" s="216"/>
      <c r="CA276" s="216"/>
      <c r="CB276" s="216"/>
      <c r="CC276" s="216"/>
      <c r="CD276" s="216"/>
      <c r="CE276" s="216"/>
      <c r="CF276" s="216"/>
      <c r="CG276" s="216"/>
      <c r="CH276" s="216"/>
      <c r="CI276" s="216"/>
      <c r="CJ276" s="216"/>
      <c r="CK276" s="216"/>
      <c r="CL276" s="216"/>
      <c r="CM276" s="216"/>
      <c r="CN276" s="216"/>
      <c r="CO276" s="216"/>
      <c r="CP276" s="216"/>
      <c r="CQ276" s="216"/>
    </row>
    <row r="277" spans="10:95" x14ac:dyDescent="0.25">
      <c r="J277" s="216"/>
      <c r="K277" s="217"/>
      <c r="L277" s="216"/>
      <c r="M277" s="216"/>
      <c r="N277" s="216"/>
      <c r="O277" s="216"/>
      <c r="P277" s="216"/>
      <c r="Q277" s="216"/>
      <c r="R277" s="216"/>
      <c r="S277" s="216"/>
      <c r="T277" s="216"/>
      <c r="U277" s="216"/>
      <c r="V277" s="216"/>
      <c r="W277" s="216"/>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16"/>
      <c r="BB277" s="216"/>
      <c r="BC277" s="216"/>
      <c r="BD277" s="216"/>
      <c r="BE277" s="216"/>
      <c r="BF277" s="216"/>
      <c r="BG277" s="216"/>
      <c r="BH277" s="216"/>
      <c r="BI277" s="216"/>
      <c r="BJ277" s="216"/>
      <c r="BK277" s="216"/>
      <c r="BL277" s="216"/>
      <c r="BM277" s="216"/>
      <c r="BN277" s="216"/>
      <c r="BO277" s="216"/>
      <c r="BP277" s="216"/>
      <c r="BQ277" s="216"/>
      <c r="BR277" s="216"/>
      <c r="BS277" s="216"/>
      <c r="BT277" s="216"/>
      <c r="BU277" s="216"/>
      <c r="BV277" s="216"/>
      <c r="BW277" s="216"/>
      <c r="BX277" s="216"/>
      <c r="BY277" s="216"/>
      <c r="BZ277" s="216"/>
      <c r="CA277" s="216"/>
      <c r="CB277" s="216"/>
      <c r="CC277" s="216"/>
      <c r="CD277" s="216"/>
      <c r="CE277" s="216"/>
      <c r="CF277" s="216"/>
      <c r="CG277" s="216"/>
      <c r="CH277" s="216"/>
      <c r="CI277" s="216"/>
      <c r="CJ277" s="216"/>
      <c r="CK277" s="216"/>
      <c r="CL277" s="216"/>
      <c r="CM277" s="216"/>
      <c r="CN277" s="216"/>
      <c r="CO277" s="216"/>
      <c r="CP277" s="216"/>
      <c r="CQ277" s="216"/>
    </row>
    <row r="278" spans="10:95" x14ac:dyDescent="0.25">
      <c r="J278" s="216"/>
      <c r="K278" s="217"/>
      <c r="L278" s="216"/>
      <c r="M278" s="216"/>
      <c r="N278" s="216"/>
      <c r="O278" s="216"/>
      <c r="P278" s="216"/>
      <c r="Q278" s="216"/>
      <c r="R278" s="216"/>
      <c r="S278" s="216"/>
      <c r="T278" s="216"/>
      <c r="U278" s="216"/>
      <c r="V278" s="216"/>
      <c r="W278" s="216"/>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16"/>
      <c r="BB278" s="216"/>
      <c r="BC278" s="216"/>
      <c r="BD278" s="216"/>
      <c r="BE278" s="216"/>
      <c r="BF278" s="216"/>
      <c r="BG278" s="216"/>
      <c r="BH278" s="216"/>
      <c r="BI278" s="216"/>
      <c r="BJ278" s="216"/>
      <c r="BK278" s="216"/>
      <c r="BL278" s="216"/>
      <c r="BM278" s="216"/>
      <c r="BN278" s="216"/>
      <c r="BO278" s="216"/>
      <c r="BP278" s="216"/>
      <c r="BQ278" s="216"/>
      <c r="BR278" s="216"/>
      <c r="BS278" s="216"/>
      <c r="BT278" s="216"/>
      <c r="BU278" s="216"/>
      <c r="BV278" s="216"/>
      <c r="BW278" s="216"/>
      <c r="BX278" s="216"/>
      <c r="BY278" s="216"/>
      <c r="BZ278" s="216"/>
      <c r="CA278" s="216"/>
      <c r="CB278" s="216"/>
      <c r="CC278" s="216"/>
      <c r="CD278" s="216"/>
      <c r="CE278" s="216"/>
      <c r="CF278" s="216"/>
      <c r="CG278" s="216"/>
      <c r="CH278" s="216"/>
      <c r="CI278" s="216"/>
      <c r="CJ278" s="216"/>
      <c r="CK278" s="216"/>
      <c r="CL278" s="216"/>
      <c r="CM278" s="216"/>
      <c r="CN278" s="216"/>
      <c r="CO278" s="216"/>
      <c r="CP278" s="216"/>
      <c r="CQ278" s="216"/>
    </row>
    <row r="279" spans="10:95" x14ac:dyDescent="0.25">
      <c r="J279" s="216"/>
      <c r="K279" s="217"/>
      <c r="L279" s="216"/>
      <c r="M279" s="216"/>
      <c r="N279" s="216"/>
      <c r="O279" s="216"/>
      <c r="P279" s="216"/>
      <c r="Q279" s="216"/>
      <c r="R279" s="216"/>
      <c r="S279" s="216"/>
      <c r="T279" s="216"/>
      <c r="U279" s="216"/>
      <c r="V279" s="216"/>
      <c r="W279" s="216"/>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16"/>
      <c r="BB279" s="216"/>
      <c r="BC279" s="216"/>
      <c r="BD279" s="216"/>
      <c r="BE279" s="216"/>
      <c r="BF279" s="216"/>
      <c r="BG279" s="216"/>
      <c r="BH279" s="216"/>
      <c r="BI279" s="216"/>
      <c r="BJ279" s="216"/>
      <c r="BK279" s="216"/>
      <c r="BL279" s="216"/>
      <c r="BM279" s="216"/>
      <c r="BN279" s="216"/>
      <c r="BO279" s="216"/>
      <c r="BP279" s="216"/>
      <c r="BQ279" s="216"/>
      <c r="BR279" s="216"/>
      <c r="BS279" s="216"/>
      <c r="BT279" s="216"/>
      <c r="BU279" s="216"/>
      <c r="BV279" s="216"/>
      <c r="BW279" s="216"/>
      <c r="BX279" s="216"/>
      <c r="BY279" s="216"/>
      <c r="BZ279" s="216"/>
      <c r="CA279" s="216"/>
      <c r="CB279" s="216"/>
      <c r="CC279" s="216"/>
      <c r="CD279" s="216"/>
      <c r="CE279" s="216"/>
      <c r="CF279" s="216"/>
      <c r="CG279" s="216"/>
      <c r="CH279" s="216"/>
      <c r="CI279" s="216"/>
      <c r="CJ279" s="216"/>
      <c r="CK279" s="216"/>
      <c r="CL279" s="216"/>
      <c r="CM279" s="216"/>
      <c r="CN279" s="216"/>
      <c r="CO279" s="216"/>
      <c r="CP279" s="216"/>
      <c r="CQ279" s="216"/>
    </row>
    <row r="280" spans="10:95" x14ac:dyDescent="0.25">
      <c r="J280" s="216"/>
      <c r="K280" s="217"/>
      <c r="L280" s="216"/>
      <c r="M280" s="216"/>
      <c r="N280" s="216"/>
      <c r="O280" s="216"/>
      <c r="P280" s="216"/>
      <c r="Q280" s="216"/>
      <c r="R280" s="216"/>
      <c r="S280" s="216"/>
      <c r="T280" s="216"/>
      <c r="U280" s="216"/>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16"/>
      <c r="BB280" s="216"/>
      <c r="BC280" s="216"/>
      <c r="BD280" s="216"/>
      <c r="BE280" s="216"/>
      <c r="BF280" s="216"/>
      <c r="BG280" s="216"/>
      <c r="BH280" s="216"/>
      <c r="BI280" s="216"/>
      <c r="BJ280" s="216"/>
      <c r="BK280" s="216"/>
      <c r="BL280" s="216"/>
      <c r="BM280" s="216"/>
      <c r="BN280" s="216"/>
      <c r="BO280" s="216"/>
      <c r="BP280" s="216"/>
      <c r="BQ280" s="216"/>
      <c r="BR280" s="216"/>
      <c r="BS280" s="216"/>
      <c r="BT280" s="216"/>
      <c r="BU280" s="216"/>
      <c r="BV280" s="216"/>
      <c r="BW280" s="216"/>
      <c r="BX280" s="216"/>
      <c r="BY280" s="216"/>
      <c r="BZ280" s="216"/>
      <c r="CA280" s="216"/>
      <c r="CB280" s="216"/>
      <c r="CC280" s="216"/>
      <c r="CD280" s="216"/>
      <c r="CE280" s="216"/>
      <c r="CF280" s="216"/>
      <c r="CG280" s="216"/>
      <c r="CH280" s="216"/>
      <c r="CI280" s="216"/>
      <c r="CJ280" s="216"/>
      <c r="CK280" s="216"/>
      <c r="CL280" s="216"/>
      <c r="CM280" s="216"/>
      <c r="CN280" s="216"/>
      <c r="CO280" s="216"/>
      <c r="CP280" s="216"/>
      <c r="CQ280" s="216"/>
    </row>
    <row r="281" spans="10:95" x14ac:dyDescent="0.25">
      <c r="J281" s="216"/>
      <c r="K281" s="217"/>
      <c r="L281" s="216"/>
      <c r="M281" s="216"/>
      <c r="N281" s="216"/>
      <c r="O281" s="216"/>
      <c r="P281" s="216"/>
      <c r="Q281" s="216"/>
      <c r="R281" s="216"/>
      <c r="S281" s="216"/>
      <c r="T281" s="216"/>
      <c r="U281" s="216"/>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16"/>
      <c r="BB281" s="216"/>
      <c r="BC281" s="216"/>
      <c r="BD281" s="216"/>
      <c r="BE281" s="216"/>
      <c r="BF281" s="216"/>
      <c r="BG281" s="216"/>
      <c r="BH281" s="216"/>
      <c r="BI281" s="216"/>
      <c r="BJ281" s="216"/>
      <c r="BK281" s="216"/>
      <c r="BL281" s="216"/>
      <c r="BM281" s="216"/>
      <c r="BN281" s="216"/>
      <c r="BO281" s="216"/>
      <c r="BP281" s="216"/>
      <c r="BQ281" s="216"/>
      <c r="BR281" s="216"/>
      <c r="BS281" s="216"/>
      <c r="BT281" s="216"/>
      <c r="BU281" s="216"/>
      <c r="BV281" s="216"/>
      <c r="BW281" s="216"/>
      <c r="BX281" s="216"/>
      <c r="BY281" s="216"/>
      <c r="BZ281" s="216"/>
      <c r="CA281" s="216"/>
      <c r="CB281" s="216"/>
      <c r="CC281" s="216"/>
      <c r="CD281" s="216"/>
      <c r="CE281" s="216"/>
      <c r="CF281" s="216"/>
      <c r="CG281" s="216"/>
      <c r="CH281" s="216"/>
      <c r="CI281" s="216"/>
      <c r="CJ281" s="216"/>
      <c r="CK281" s="216"/>
      <c r="CL281" s="216"/>
      <c r="CM281" s="216"/>
      <c r="CN281" s="216"/>
      <c r="CO281" s="216"/>
      <c r="CP281" s="216"/>
      <c r="CQ281" s="216"/>
    </row>
    <row r="282" spans="10:95" x14ac:dyDescent="0.25">
      <c r="J282" s="216"/>
      <c r="K282" s="217"/>
      <c r="L282" s="216"/>
      <c r="M282" s="216"/>
      <c r="N282" s="216"/>
      <c r="O282" s="216"/>
      <c r="P282" s="216"/>
      <c r="Q282" s="216"/>
      <c r="R282" s="216"/>
      <c r="S282" s="216"/>
      <c r="T282" s="216"/>
      <c r="U282" s="216"/>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16"/>
      <c r="BB282" s="216"/>
      <c r="BC282" s="216"/>
      <c r="BD282" s="216"/>
      <c r="BE282" s="216"/>
      <c r="BF282" s="216"/>
      <c r="BG282" s="216"/>
      <c r="BH282" s="216"/>
      <c r="BI282" s="216"/>
      <c r="BJ282" s="216"/>
      <c r="BK282" s="216"/>
      <c r="BL282" s="216"/>
      <c r="BM282" s="216"/>
      <c r="BN282" s="216"/>
      <c r="BO282" s="216"/>
      <c r="BP282" s="216"/>
      <c r="BQ282" s="216"/>
      <c r="BR282" s="216"/>
      <c r="BS282" s="216"/>
      <c r="BT282" s="216"/>
      <c r="BU282" s="216"/>
      <c r="BV282" s="216"/>
      <c r="BW282" s="216"/>
      <c r="BX282" s="216"/>
      <c r="BY282" s="216"/>
      <c r="BZ282" s="216"/>
      <c r="CA282" s="216"/>
      <c r="CB282" s="216"/>
      <c r="CC282" s="216"/>
      <c r="CD282" s="216"/>
      <c r="CE282" s="216"/>
      <c r="CF282" s="216"/>
      <c r="CG282" s="216"/>
      <c r="CH282" s="216"/>
      <c r="CI282" s="216"/>
      <c r="CJ282" s="216"/>
      <c r="CK282" s="216"/>
      <c r="CL282" s="216"/>
      <c r="CM282" s="216"/>
      <c r="CN282" s="216"/>
      <c r="CO282" s="216"/>
      <c r="CP282" s="216"/>
      <c r="CQ282" s="216"/>
    </row>
    <row r="283" spans="10:95" x14ac:dyDescent="0.25">
      <c r="J283" s="216"/>
      <c r="K283" s="217"/>
      <c r="L283" s="216"/>
      <c r="M283" s="216"/>
      <c r="N283" s="216"/>
      <c r="O283" s="216"/>
      <c r="P283" s="216"/>
      <c r="Q283" s="216"/>
      <c r="R283" s="216"/>
      <c r="S283" s="216"/>
      <c r="T283" s="216"/>
      <c r="U283" s="216"/>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16"/>
      <c r="BB283" s="216"/>
      <c r="BC283" s="216"/>
      <c r="BD283" s="216"/>
      <c r="BE283" s="216"/>
      <c r="BF283" s="216"/>
      <c r="BG283" s="216"/>
      <c r="BH283" s="216"/>
      <c r="BI283" s="216"/>
      <c r="BJ283" s="216"/>
      <c r="BK283" s="216"/>
      <c r="BL283" s="216"/>
      <c r="BM283" s="216"/>
      <c r="BN283" s="216"/>
      <c r="BO283" s="216"/>
      <c r="BP283" s="216"/>
      <c r="BQ283" s="216"/>
      <c r="BR283" s="216"/>
      <c r="BS283" s="216"/>
      <c r="BT283" s="216"/>
      <c r="BU283" s="216"/>
      <c r="BV283" s="216"/>
      <c r="BW283" s="216"/>
      <c r="BX283" s="216"/>
      <c r="BY283" s="216"/>
      <c r="BZ283" s="216"/>
      <c r="CA283" s="216"/>
      <c r="CB283" s="216"/>
      <c r="CC283" s="216"/>
      <c r="CD283" s="216"/>
      <c r="CE283" s="216"/>
      <c r="CF283" s="216"/>
      <c r="CG283" s="216"/>
      <c r="CH283" s="216"/>
      <c r="CI283" s="216"/>
      <c r="CJ283" s="216"/>
      <c r="CK283" s="216"/>
      <c r="CL283" s="216"/>
      <c r="CM283" s="216"/>
      <c r="CN283" s="216"/>
      <c r="CO283" s="216"/>
      <c r="CP283" s="216"/>
      <c r="CQ283" s="216"/>
    </row>
    <row r="284" spans="10:95" x14ac:dyDescent="0.25">
      <c r="J284" s="216"/>
      <c r="K284" s="217"/>
      <c r="L284" s="216"/>
      <c r="M284" s="216"/>
      <c r="N284" s="216"/>
      <c r="O284" s="216"/>
      <c r="P284" s="216"/>
      <c r="Q284" s="216"/>
      <c r="R284" s="216"/>
      <c r="S284" s="216"/>
      <c r="T284" s="216"/>
      <c r="U284" s="216"/>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16"/>
      <c r="BB284" s="216"/>
      <c r="BC284" s="216"/>
      <c r="BD284" s="216"/>
      <c r="BE284" s="216"/>
      <c r="BF284" s="216"/>
      <c r="BG284" s="216"/>
      <c r="BH284" s="216"/>
      <c r="BI284" s="216"/>
      <c r="BJ284" s="216"/>
      <c r="BK284" s="216"/>
      <c r="BL284" s="216"/>
      <c r="BM284" s="216"/>
      <c r="BN284" s="216"/>
      <c r="BO284" s="216"/>
      <c r="BP284" s="216"/>
      <c r="BQ284" s="216"/>
      <c r="BR284" s="216"/>
      <c r="BS284" s="216"/>
      <c r="BT284" s="216"/>
      <c r="BU284" s="216"/>
      <c r="BV284" s="216"/>
      <c r="BW284" s="216"/>
      <c r="BX284" s="216"/>
      <c r="BY284" s="216"/>
      <c r="BZ284" s="216"/>
      <c r="CA284" s="216"/>
      <c r="CB284" s="216"/>
      <c r="CC284" s="216"/>
      <c r="CD284" s="216"/>
      <c r="CE284" s="216"/>
      <c r="CF284" s="216"/>
      <c r="CG284" s="216"/>
      <c r="CH284" s="216"/>
      <c r="CI284" s="216"/>
      <c r="CJ284" s="216"/>
      <c r="CK284" s="216"/>
      <c r="CL284" s="216"/>
      <c r="CM284" s="216"/>
      <c r="CN284" s="216"/>
      <c r="CO284" s="216"/>
      <c r="CP284" s="216"/>
      <c r="CQ284" s="216"/>
    </row>
    <row r="285" spans="10:95" x14ac:dyDescent="0.25">
      <c r="J285" s="216"/>
      <c r="K285" s="217"/>
      <c r="L285" s="216"/>
      <c r="M285" s="216"/>
      <c r="N285" s="216"/>
      <c r="O285" s="216"/>
      <c r="P285" s="216"/>
      <c r="Q285" s="216"/>
      <c r="R285" s="216"/>
      <c r="S285" s="216"/>
      <c r="T285" s="216"/>
      <c r="U285" s="216"/>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216"/>
      <c r="BB285" s="216"/>
      <c r="BC285" s="216"/>
      <c r="BD285" s="216"/>
      <c r="BE285" s="216"/>
      <c r="BF285" s="216"/>
      <c r="BG285" s="216"/>
      <c r="BH285" s="216"/>
      <c r="BI285" s="216"/>
      <c r="BJ285" s="216"/>
      <c r="BK285" s="216"/>
      <c r="BL285" s="216"/>
      <c r="BM285" s="216"/>
      <c r="BN285" s="216"/>
      <c r="BO285" s="216"/>
      <c r="BP285" s="216"/>
      <c r="BQ285" s="216"/>
      <c r="BR285" s="216"/>
      <c r="BS285" s="216"/>
      <c r="BT285" s="216"/>
      <c r="BU285" s="216"/>
      <c r="BV285" s="216"/>
      <c r="BW285" s="216"/>
      <c r="BX285" s="216"/>
      <c r="BY285" s="216"/>
      <c r="BZ285" s="216"/>
      <c r="CA285" s="216"/>
      <c r="CB285" s="216"/>
      <c r="CC285" s="216"/>
      <c r="CD285" s="216"/>
      <c r="CE285" s="216"/>
      <c r="CF285" s="216"/>
      <c r="CG285" s="216"/>
      <c r="CH285" s="216"/>
      <c r="CI285" s="216"/>
      <c r="CJ285" s="216"/>
      <c r="CK285" s="216"/>
      <c r="CL285" s="216"/>
      <c r="CM285" s="216"/>
      <c r="CN285" s="216"/>
      <c r="CO285" s="216"/>
      <c r="CP285" s="216"/>
      <c r="CQ285" s="216"/>
    </row>
    <row r="286" spans="10:95" x14ac:dyDescent="0.25">
      <c r="J286" s="216"/>
      <c r="K286" s="217"/>
      <c r="L286" s="216"/>
      <c r="M286" s="216"/>
      <c r="N286" s="216"/>
      <c r="O286" s="216"/>
      <c r="P286" s="216"/>
      <c r="Q286" s="216"/>
      <c r="R286" s="216"/>
      <c r="S286" s="216"/>
      <c r="T286" s="216"/>
      <c r="U286" s="216"/>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216"/>
      <c r="BB286" s="216"/>
      <c r="BC286" s="216"/>
      <c r="BD286" s="216"/>
      <c r="BE286" s="216"/>
      <c r="BF286" s="216"/>
      <c r="BG286" s="216"/>
      <c r="BH286" s="216"/>
      <c r="BI286" s="216"/>
      <c r="BJ286" s="216"/>
      <c r="BK286" s="216"/>
      <c r="BL286" s="216"/>
      <c r="BM286" s="216"/>
      <c r="BN286" s="216"/>
      <c r="BO286" s="216"/>
      <c r="BP286" s="216"/>
      <c r="BQ286" s="216"/>
      <c r="BR286" s="216"/>
      <c r="BS286" s="216"/>
      <c r="BT286" s="216"/>
      <c r="BU286" s="216"/>
      <c r="BV286" s="216"/>
      <c r="BW286" s="216"/>
      <c r="BX286" s="216"/>
      <c r="BY286" s="216"/>
      <c r="BZ286" s="216"/>
      <c r="CA286" s="216"/>
      <c r="CB286" s="216"/>
      <c r="CC286" s="216"/>
      <c r="CD286" s="216"/>
      <c r="CE286" s="216"/>
      <c r="CF286" s="216"/>
      <c r="CG286" s="216"/>
      <c r="CH286" s="216"/>
      <c r="CI286" s="216"/>
      <c r="CJ286" s="216"/>
      <c r="CK286" s="216"/>
      <c r="CL286" s="216"/>
      <c r="CM286" s="216"/>
      <c r="CN286" s="216"/>
      <c r="CO286" s="216"/>
      <c r="CP286" s="216"/>
      <c r="CQ286" s="216"/>
    </row>
    <row r="287" spans="10:95" x14ac:dyDescent="0.25">
      <c r="J287" s="216"/>
      <c r="K287" s="217"/>
      <c r="L287" s="216"/>
      <c r="M287" s="216"/>
      <c r="N287" s="216"/>
      <c r="O287" s="216"/>
      <c r="P287" s="216"/>
      <c r="Q287" s="216"/>
      <c r="R287" s="216"/>
      <c r="S287" s="216"/>
      <c r="T287" s="216"/>
      <c r="U287" s="216"/>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216"/>
      <c r="BB287" s="216"/>
      <c r="BC287" s="216"/>
      <c r="BD287" s="216"/>
      <c r="BE287" s="216"/>
      <c r="BF287" s="216"/>
      <c r="BG287" s="216"/>
      <c r="BH287" s="216"/>
      <c r="BI287" s="216"/>
      <c r="BJ287" s="216"/>
      <c r="BK287" s="216"/>
      <c r="BL287" s="216"/>
      <c r="BM287" s="216"/>
      <c r="BN287" s="216"/>
      <c r="BO287" s="216"/>
      <c r="BP287" s="216"/>
      <c r="BQ287" s="216"/>
      <c r="BR287" s="216"/>
      <c r="BS287" s="216"/>
      <c r="BT287" s="216"/>
      <c r="BU287" s="216"/>
      <c r="BV287" s="216"/>
      <c r="BW287" s="216"/>
      <c r="BX287" s="216"/>
      <c r="BY287" s="216"/>
      <c r="BZ287" s="216"/>
      <c r="CA287" s="216"/>
      <c r="CB287" s="216"/>
      <c r="CC287" s="216"/>
      <c r="CD287" s="216"/>
      <c r="CE287" s="216"/>
      <c r="CF287" s="216"/>
      <c r="CG287" s="216"/>
      <c r="CH287" s="216"/>
      <c r="CI287" s="216"/>
      <c r="CJ287" s="216"/>
      <c r="CK287" s="216"/>
      <c r="CL287" s="216"/>
      <c r="CM287" s="216"/>
      <c r="CN287" s="216"/>
      <c r="CO287" s="216"/>
      <c r="CP287" s="216"/>
      <c r="CQ287" s="216"/>
    </row>
    <row r="288" spans="10:95" x14ac:dyDescent="0.25">
      <c r="J288" s="216"/>
      <c r="K288" s="217"/>
      <c r="L288" s="216"/>
      <c r="M288" s="216"/>
      <c r="N288" s="216"/>
      <c r="O288" s="216"/>
      <c r="P288" s="216"/>
      <c r="Q288" s="216"/>
      <c r="R288" s="216"/>
      <c r="S288" s="216"/>
      <c r="T288" s="216"/>
      <c r="U288" s="216"/>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216"/>
      <c r="BB288" s="216"/>
      <c r="BC288" s="216"/>
      <c r="BD288" s="216"/>
      <c r="BE288" s="216"/>
      <c r="BF288" s="216"/>
      <c r="BG288" s="216"/>
      <c r="BH288" s="216"/>
      <c r="BI288" s="216"/>
      <c r="BJ288" s="216"/>
      <c r="BK288" s="216"/>
      <c r="BL288" s="216"/>
      <c r="BM288" s="216"/>
      <c r="BN288" s="216"/>
      <c r="BO288" s="216"/>
      <c r="BP288" s="216"/>
      <c r="BQ288" s="216"/>
      <c r="BR288" s="216"/>
      <c r="BS288" s="216"/>
      <c r="BT288" s="216"/>
      <c r="BU288" s="216"/>
      <c r="BV288" s="216"/>
      <c r="BW288" s="216"/>
      <c r="BX288" s="216"/>
      <c r="BY288" s="216"/>
      <c r="BZ288" s="216"/>
      <c r="CA288" s="216"/>
      <c r="CB288" s="216"/>
      <c r="CC288" s="216"/>
      <c r="CD288" s="216"/>
      <c r="CE288" s="216"/>
      <c r="CF288" s="216"/>
      <c r="CG288" s="216"/>
      <c r="CH288" s="216"/>
      <c r="CI288" s="216"/>
      <c r="CJ288" s="216"/>
      <c r="CK288" s="216"/>
      <c r="CL288" s="216"/>
      <c r="CM288" s="216"/>
      <c r="CN288" s="216"/>
      <c r="CO288" s="216"/>
      <c r="CP288" s="216"/>
      <c r="CQ288" s="216"/>
    </row>
    <row r="289" spans="10:95" x14ac:dyDescent="0.25">
      <c r="J289" s="216"/>
      <c r="K289" s="217"/>
      <c r="L289" s="216"/>
      <c r="M289" s="216"/>
      <c r="N289" s="216"/>
      <c r="O289" s="216"/>
      <c r="P289" s="216"/>
      <c r="Q289" s="216"/>
      <c r="R289" s="216"/>
      <c r="S289" s="216"/>
      <c r="T289" s="216"/>
      <c r="U289" s="216"/>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216"/>
      <c r="BB289" s="216"/>
      <c r="BC289" s="216"/>
      <c r="BD289" s="216"/>
      <c r="BE289" s="216"/>
      <c r="BF289" s="216"/>
      <c r="BG289" s="216"/>
      <c r="BH289" s="216"/>
      <c r="BI289" s="216"/>
      <c r="BJ289" s="216"/>
      <c r="BK289" s="216"/>
      <c r="BL289" s="216"/>
      <c r="BM289" s="216"/>
      <c r="BN289" s="216"/>
      <c r="BO289" s="216"/>
      <c r="BP289" s="216"/>
      <c r="BQ289" s="216"/>
      <c r="BR289" s="216"/>
      <c r="BS289" s="216"/>
      <c r="BT289" s="216"/>
      <c r="BU289" s="216"/>
      <c r="BV289" s="216"/>
      <c r="BW289" s="216"/>
      <c r="BX289" s="216"/>
      <c r="BY289" s="216"/>
      <c r="BZ289" s="216"/>
      <c r="CA289" s="216"/>
      <c r="CB289" s="216"/>
      <c r="CC289" s="216"/>
      <c r="CD289" s="216"/>
      <c r="CE289" s="216"/>
      <c r="CF289" s="216"/>
      <c r="CG289" s="216"/>
      <c r="CH289" s="216"/>
      <c r="CI289" s="216"/>
      <c r="CJ289" s="216"/>
      <c r="CK289" s="216"/>
      <c r="CL289" s="216"/>
      <c r="CM289" s="216"/>
      <c r="CN289" s="216"/>
      <c r="CO289" s="216"/>
      <c r="CP289" s="216"/>
      <c r="CQ289" s="216"/>
    </row>
    <row r="290" spans="10:95" x14ac:dyDescent="0.25">
      <c r="J290" s="216"/>
      <c r="K290" s="217"/>
      <c r="L290" s="216"/>
      <c r="M290" s="216"/>
      <c r="N290" s="216"/>
      <c r="O290" s="216"/>
      <c r="P290" s="216"/>
      <c r="Q290" s="216"/>
      <c r="R290" s="216"/>
      <c r="S290" s="216"/>
      <c r="T290" s="216"/>
      <c r="U290" s="216"/>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216"/>
      <c r="BB290" s="216"/>
      <c r="BC290" s="216"/>
      <c r="BD290" s="216"/>
      <c r="BE290" s="216"/>
      <c r="BF290" s="216"/>
      <c r="BG290" s="216"/>
      <c r="BH290" s="216"/>
      <c r="BI290" s="216"/>
      <c r="BJ290" s="216"/>
      <c r="BK290" s="216"/>
      <c r="BL290" s="216"/>
      <c r="BM290" s="216"/>
      <c r="BN290" s="216"/>
      <c r="BO290" s="216"/>
      <c r="BP290" s="216"/>
      <c r="BQ290" s="216"/>
      <c r="BR290" s="216"/>
      <c r="BS290" s="216"/>
      <c r="BT290" s="216"/>
      <c r="BU290" s="216"/>
      <c r="BV290" s="216"/>
      <c r="BW290" s="216"/>
      <c r="BX290" s="216"/>
      <c r="BY290" s="216"/>
      <c r="BZ290" s="216"/>
      <c r="CA290" s="216"/>
      <c r="CB290" s="216"/>
      <c r="CC290" s="216"/>
      <c r="CD290" s="216"/>
      <c r="CE290" s="216"/>
      <c r="CF290" s="216"/>
      <c r="CG290" s="216"/>
      <c r="CH290" s="216"/>
      <c r="CI290" s="216"/>
      <c r="CJ290" s="216"/>
      <c r="CK290" s="216"/>
      <c r="CL290" s="216"/>
      <c r="CM290" s="216"/>
      <c r="CN290" s="216"/>
      <c r="CO290" s="216"/>
      <c r="CP290" s="216"/>
      <c r="CQ290" s="216"/>
    </row>
    <row r="291" spans="10:95" x14ac:dyDescent="0.25">
      <c r="J291" s="216"/>
      <c r="K291" s="217"/>
      <c r="L291" s="216"/>
      <c r="M291" s="216"/>
      <c r="N291" s="216"/>
      <c r="O291" s="216"/>
      <c r="P291" s="216"/>
      <c r="Q291" s="216"/>
      <c r="R291" s="216"/>
      <c r="S291" s="216"/>
      <c r="T291" s="216"/>
      <c r="U291" s="216"/>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216"/>
      <c r="BB291" s="216"/>
      <c r="BC291" s="216"/>
      <c r="BD291" s="216"/>
      <c r="BE291" s="216"/>
      <c r="BF291" s="216"/>
      <c r="BG291" s="216"/>
      <c r="BH291" s="216"/>
      <c r="BI291" s="216"/>
      <c r="BJ291" s="216"/>
      <c r="BK291" s="216"/>
      <c r="BL291" s="216"/>
      <c r="BM291" s="216"/>
      <c r="BN291" s="216"/>
      <c r="BO291" s="216"/>
      <c r="BP291" s="216"/>
      <c r="BQ291" s="216"/>
      <c r="BR291" s="216"/>
      <c r="BS291" s="216"/>
      <c r="BT291" s="216"/>
      <c r="BU291" s="216"/>
      <c r="BV291" s="216"/>
      <c r="BW291" s="216"/>
      <c r="BX291" s="216"/>
      <c r="BY291" s="216"/>
      <c r="BZ291" s="216"/>
      <c r="CA291" s="216"/>
      <c r="CB291" s="216"/>
      <c r="CC291" s="216"/>
      <c r="CD291" s="216"/>
      <c r="CE291" s="216"/>
      <c r="CF291" s="216"/>
      <c r="CG291" s="216"/>
      <c r="CH291" s="216"/>
      <c r="CI291" s="216"/>
      <c r="CJ291" s="216"/>
      <c r="CK291" s="216"/>
      <c r="CL291" s="216"/>
      <c r="CM291" s="216"/>
      <c r="CN291" s="216"/>
      <c r="CO291" s="216"/>
      <c r="CP291" s="216"/>
      <c r="CQ291" s="216"/>
    </row>
    <row r="292" spans="10:95" x14ac:dyDescent="0.25">
      <c r="J292" s="216"/>
      <c r="K292" s="217"/>
      <c r="L292" s="216"/>
      <c r="M292" s="216"/>
      <c r="N292" s="216"/>
      <c r="O292" s="216"/>
      <c r="P292" s="216"/>
      <c r="Q292" s="216"/>
      <c r="R292" s="216"/>
      <c r="S292" s="216"/>
      <c r="T292" s="216"/>
      <c r="U292" s="21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216"/>
      <c r="BB292" s="216"/>
      <c r="BC292" s="216"/>
      <c r="BD292" s="216"/>
      <c r="BE292" s="216"/>
      <c r="BF292" s="216"/>
      <c r="BG292" s="216"/>
      <c r="BH292" s="216"/>
      <c r="BI292" s="216"/>
      <c r="BJ292" s="216"/>
      <c r="BK292" s="216"/>
      <c r="BL292" s="216"/>
      <c r="BM292" s="216"/>
      <c r="BN292" s="216"/>
      <c r="BO292" s="216"/>
      <c r="BP292" s="216"/>
      <c r="BQ292" s="216"/>
      <c r="BR292" s="216"/>
      <c r="BS292" s="216"/>
      <c r="BT292" s="216"/>
      <c r="BU292" s="216"/>
      <c r="BV292" s="216"/>
      <c r="BW292" s="216"/>
      <c r="BX292" s="216"/>
      <c r="BY292" s="216"/>
      <c r="BZ292" s="216"/>
      <c r="CA292" s="216"/>
      <c r="CB292" s="216"/>
      <c r="CC292" s="216"/>
      <c r="CD292" s="216"/>
      <c r="CE292" s="216"/>
      <c r="CF292" s="216"/>
      <c r="CG292" s="216"/>
      <c r="CH292" s="216"/>
      <c r="CI292" s="216"/>
      <c r="CJ292" s="216"/>
      <c r="CK292" s="216"/>
      <c r="CL292" s="216"/>
      <c r="CM292" s="216"/>
      <c r="CN292" s="216"/>
      <c r="CO292" s="216"/>
      <c r="CP292" s="216"/>
      <c r="CQ292" s="216"/>
    </row>
    <row r="293" spans="10:95" x14ac:dyDescent="0.25">
      <c r="J293" s="216"/>
      <c r="K293" s="217"/>
      <c r="L293" s="216"/>
      <c r="M293" s="216"/>
      <c r="N293" s="216"/>
      <c r="O293" s="216"/>
      <c r="P293" s="216"/>
      <c r="Q293" s="216"/>
      <c r="R293" s="216"/>
      <c r="S293" s="216"/>
      <c r="T293" s="216"/>
      <c r="U293" s="216"/>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216"/>
      <c r="BB293" s="216"/>
      <c r="BC293" s="216"/>
      <c r="BD293" s="216"/>
      <c r="BE293" s="216"/>
      <c r="BF293" s="216"/>
      <c r="BG293" s="216"/>
      <c r="BH293" s="216"/>
      <c r="BI293" s="216"/>
      <c r="BJ293" s="216"/>
      <c r="BK293" s="216"/>
      <c r="BL293" s="216"/>
      <c r="BM293" s="216"/>
      <c r="BN293" s="216"/>
      <c r="BO293" s="216"/>
      <c r="BP293" s="216"/>
      <c r="BQ293" s="216"/>
      <c r="BR293" s="216"/>
      <c r="BS293" s="216"/>
      <c r="BT293" s="216"/>
      <c r="BU293" s="216"/>
      <c r="BV293" s="216"/>
      <c r="BW293" s="216"/>
      <c r="BX293" s="216"/>
      <c r="BY293" s="216"/>
      <c r="BZ293" s="216"/>
      <c r="CA293" s="216"/>
      <c r="CB293" s="216"/>
      <c r="CC293" s="216"/>
      <c r="CD293" s="216"/>
      <c r="CE293" s="216"/>
      <c r="CF293" s="216"/>
      <c r="CG293" s="216"/>
      <c r="CH293" s="216"/>
      <c r="CI293" s="216"/>
      <c r="CJ293" s="216"/>
      <c r="CK293" s="216"/>
      <c r="CL293" s="216"/>
      <c r="CM293" s="216"/>
      <c r="CN293" s="216"/>
      <c r="CO293" s="216"/>
      <c r="CP293" s="216"/>
      <c r="CQ293" s="216"/>
    </row>
    <row r="294" spans="10:95" x14ac:dyDescent="0.25">
      <c r="J294" s="216"/>
      <c r="K294" s="217"/>
      <c r="L294" s="216"/>
      <c r="M294" s="216"/>
      <c r="N294" s="216"/>
      <c r="O294" s="216"/>
      <c r="P294" s="216"/>
      <c r="Q294" s="216"/>
      <c r="R294" s="216"/>
      <c r="S294" s="216"/>
      <c r="T294" s="216"/>
      <c r="U294" s="216"/>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216"/>
      <c r="BB294" s="216"/>
      <c r="BC294" s="216"/>
      <c r="BD294" s="216"/>
      <c r="BE294" s="216"/>
      <c r="BF294" s="216"/>
      <c r="BG294" s="216"/>
      <c r="BH294" s="216"/>
      <c r="BI294" s="216"/>
      <c r="BJ294" s="216"/>
      <c r="BK294" s="216"/>
      <c r="BL294" s="216"/>
      <c r="BM294" s="216"/>
      <c r="BN294" s="216"/>
      <c r="BO294" s="216"/>
      <c r="BP294" s="216"/>
      <c r="BQ294" s="216"/>
      <c r="BR294" s="216"/>
      <c r="BS294" s="216"/>
      <c r="BT294" s="216"/>
      <c r="BU294" s="216"/>
      <c r="BV294" s="216"/>
      <c r="BW294" s="216"/>
      <c r="BX294" s="216"/>
      <c r="BY294" s="216"/>
      <c r="BZ294" s="216"/>
      <c r="CA294" s="216"/>
      <c r="CB294" s="216"/>
      <c r="CC294" s="216"/>
      <c r="CD294" s="216"/>
      <c r="CE294" s="216"/>
      <c r="CF294" s="216"/>
      <c r="CG294" s="216"/>
      <c r="CH294" s="216"/>
      <c r="CI294" s="216"/>
      <c r="CJ294" s="216"/>
      <c r="CK294" s="216"/>
      <c r="CL294" s="216"/>
      <c r="CM294" s="216"/>
      <c r="CN294" s="216"/>
      <c r="CO294" s="216"/>
      <c r="CP294" s="216"/>
      <c r="CQ294" s="216"/>
    </row>
    <row r="295" spans="10:95" x14ac:dyDescent="0.25">
      <c r="J295" s="216"/>
      <c r="K295" s="217"/>
      <c r="L295" s="216"/>
      <c r="M295" s="216"/>
      <c r="N295" s="216"/>
      <c r="O295" s="216"/>
      <c r="P295" s="216"/>
      <c r="Q295" s="216"/>
      <c r="R295" s="216"/>
      <c r="S295" s="216"/>
      <c r="T295" s="216"/>
      <c r="U295" s="216"/>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216"/>
      <c r="BB295" s="216"/>
      <c r="BC295" s="216"/>
      <c r="BD295" s="216"/>
      <c r="BE295" s="216"/>
      <c r="BF295" s="216"/>
      <c r="BG295" s="216"/>
      <c r="BH295" s="216"/>
      <c r="BI295" s="216"/>
      <c r="BJ295" s="216"/>
      <c r="BK295" s="216"/>
      <c r="BL295" s="216"/>
      <c r="BM295" s="216"/>
      <c r="BN295" s="216"/>
      <c r="BO295" s="216"/>
      <c r="BP295" s="216"/>
      <c r="BQ295" s="216"/>
      <c r="BR295" s="216"/>
      <c r="BS295" s="216"/>
      <c r="BT295" s="216"/>
      <c r="BU295" s="216"/>
      <c r="BV295" s="216"/>
      <c r="BW295" s="216"/>
      <c r="BX295" s="216"/>
      <c r="BY295" s="216"/>
      <c r="BZ295" s="216"/>
      <c r="CA295" s="216"/>
      <c r="CB295" s="216"/>
      <c r="CC295" s="216"/>
      <c r="CD295" s="216"/>
      <c r="CE295" s="216"/>
      <c r="CF295" s="216"/>
      <c r="CG295" s="216"/>
      <c r="CH295" s="216"/>
      <c r="CI295" s="216"/>
      <c r="CJ295" s="216"/>
      <c r="CK295" s="216"/>
      <c r="CL295" s="216"/>
      <c r="CM295" s="216"/>
      <c r="CN295" s="216"/>
      <c r="CO295" s="216"/>
      <c r="CP295" s="216"/>
      <c r="CQ295" s="216"/>
    </row>
    <row r="296" spans="10:95" x14ac:dyDescent="0.25">
      <c r="J296" s="216"/>
      <c r="K296" s="217"/>
      <c r="L296" s="216"/>
      <c r="M296" s="216"/>
      <c r="N296" s="216"/>
      <c r="O296" s="216"/>
      <c r="P296" s="216"/>
      <c r="Q296" s="216"/>
      <c r="R296" s="216"/>
      <c r="S296" s="216"/>
      <c r="T296" s="216"/>
      <c r="U296" s="216"/>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216"/>
      <c r="BB296" s="216"/>
      <c r="BC296" s="216"/>
      <c r="BD296" s="216"/>
      <c r="BE296" s="216"/>
      <c r="BF296" s="216"/>
      <c r="BG296" s="216"/>
      <c r="BH296" s="216"/>
      <c r="BI296" s="216"/>
      <c r="BJ296" s="216"/>
      <c r="BK296" s="216"/>
      <c r="BL296" s="216"/>
      <c r="BM296" s="216"/>
      <c r="BN296" s="216"/>
      <c r="BO296" s="216"/>
      <c r="BP296" s="216"/>
      <c r="BQ296" s="216"/>
      <c r="BR296" s="216"/>
      <c r="BS296" s="216"/>
      <c r="BT296" s="216"/>
      <c r="BU296" s="216"/>
      <c r="BV296" s="216"/>
      <c r="BW296" s="216"/>
      <c r="BX296" s="216"/>
      <c r="BY296" s="216"/>
      <c r="BZ296" s="216"/>
      <c r="CA296" s="216"/>
      <c r="CB296" s="216"/>
      <c r="CC296" s="216"/>
      <c r="CD296" s="216"/>
      <c r="CE296" s="216"/>
      <c r="CF296" s="216"/>
      <c r="CG296" s="216"/>
      <c r="CH296" s="216"/>
      <c r="CI296" s="216"/>
      <c r="CJ296" s="216"/>
      <c r="CK296" s="216"/>
      <c r="CL296" s="216"/>
      <c r="CM296" s="216"/>
      <c r="CN296" s="216"/>
      <c r="CO296" s="216"/>
      <c r="CP296" s="216"/>
      <c r="CQ296" s="216"/>
    </row>
    <row r="297" spans="10:95" x14ac:dyDescent="0.25">
      <c r="J297" s="216"/>
      <c r="K297" s="217"/>
      <c r="L297" s="216"/>
      <c r="M297" s="216"/>
      <c r="N297" s="216"/>
      <c r="O297" s="216"/>
      <c r="P297" s="216"/>
      <c r="Q297" s="216"/>
      <c r="R297" s="216"/>
      <c r="S297" s="216"/>
      <c r="T297" s="216"/>
      <c r="U297" s="21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216"/>
      <c r="BB297" s="216"/>
      <c r="BC297" s="216"/>
      <c r="BD297" s="216"/>
      <c r="BE297" s="216"/>
      <c r="BF297" s="216"/>
      <c r="BG297" s="216"/>
      <c r="BH297" s="216"/>
      <c r="BI297" s="216"/>
      <c r="BJ297" s="216"/>
      <c r="BK297" s="216"/>
      <c r="BL297" s="216"/>
      <c r="BM297" s="216"/>
      <c r="BN297" s="216"/>
      <c r="BO297" s="216"/>
      <c r="BP297" s="216"/>
      <c r="BQ297" s="216"/>
      <c r="BR297" s="216"/>
      <c r="BS297" s="216"/>
      <c r="BT297" s="216"/>
      <c r="BU297" s="216"/>
      <c r="BV297" s="216"/>
      <c r="BW297" s="216"/>
      <c r="BX297" s="216"/>
      <c r="BY297" s="216"/>
      <c r="BZ297" s="216"/>
      <c r="CA297" s="216"/>
      <c r="CB297" s="216"/>
      <c r="CC297" s="216"/>
      <c r="CD297" s="216"/>
      <c r="CE297" s="216"/>
      <c r="CF297" s="216"/>
      <c r="CG297" s="216"/>
      <c r="CH297" s="216"/>
      <c r="CI297" s="216"/>
      <c r="CJ297" s="216"/>
      <c r="CK297" s="216"/>
      <c r="CL297" s="216"/>
      <c r="CM297" s="216"/>
      <c r="CN297" s="216"/>
      <c r="CO297" s="216"/>
      <c r="CP297" s="216"/>
      <c r="CQ297" s="216"/>
    </row>
    <row r="298" spans="10:95" x14ac:dyDescent="0.25">
      <c r="J298" s="216"/>
      <c r="K298" s="217"/>
      <c r="L298" s="216"/>
      <c r="M298" s="216"/>
      <c r="N298" s="216"/>
      <c r="O298" s="216"/>
      <c r="P298" s="216"/>
      <c r="Q298" s="216"/>
      <c r="R298" s="216"/>
      <c r="S298" s="216"/>
      <c r="T298" s="216"/>
      <c r="U298" s="216"/>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216"/>
      <c r="BB298" s="216"/>
      <c r="BC298" s="216"/>
      <c r="BD298" s="216"/>
      <c r="BE298" s="216"/>
      <c r="BF298" s="216"/>
      <c r="BG298" s="216"/>
      <c r="BH298" s="216"/>
      <c r="BI298" s="216"/>
      <c r="BJ298" s="216"/>
      <c r="BK298" s="216"/>
      <c r="BL298" s="216"/>
      <c r="BM298" s="216"/>
      <c r="BN298" s="216"/>
      <c r="BO298" s="216"/>
      <c r="BP298" s="216"/>
      <c r="BQ298" s="216"/>
      <c r="BR298" s="216"/>
      <c r="BS298" s="216"/>
      <c r="BT298" s="216"/>
      <c r="BU298" s="216"/>
      <c r="BV298" s="216"/>
      <c r="BW298" s="216"/>
      <c r="BX298" s="216"/>
      <c r="BY298" s="216"/>
      <c r="BZ298" s="216"/>
      <c r="CA298" s="216"/>
      <c r="CB298" s="216"/>
      <c r="CC298" s="216"/>
      <c r="CD298" s="216"/>
      <c r="CE298" s="216"/>
      <c r="CF298" s="216"/>
      <c r="CG298" s="216"/>
      <c r="CH298" s="216"/>
      <c r="CI298" s="216"/>
      <c r="CJ298" s="216"/>
      <c r="CK298" s="216"/>
      <c r="CL298" s="216"/>
      <c r="CM298" s="216"/>
      <c r="CN298" s="216"/>
      <c r="CO298" s="216"/>
      <c r="CP298" s="216"/>
      <c r="CQ298" s="216"/>
    </row>
    <row r="299" spans="10:95" x14ac:dyDescent="0.25">
      <c r="J299" s="216"/>
      <c r="K299" s="217"/>
      <c r="L299" s="216"/>
      <c r="M299" s="216"/>
      <c r="N299" s="216"/>
      <c r="O299" s="216"/>
      <c r="P299" s="216"/>
      <c r="Q299" s="216"/>
      <c r="R299" s="216"/>
      <c r="S299" s="216"/>
      <c r="T299" s="216"/>
      <c r="U299" s="216"/>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216"/>
      <c r="BB299" s="216"/>
      <c r="BC299" s="216"/>
      <c r="BD299" s="216"/>
      <c r="BE299" s="216"/>
      <c r="BF299" s="216"/>
      <c r="BG299" s="216"/>
      <c r="BH299" s="216"/>
      <c r="BI299" s="216"/>
      <c r="BJ299" s="216"/>
      <c r="BK299" s="216"/>
      <c r="BL299" s="216"/>
      <c r="BM299" s="216"/>
      <c r="BN299" s="216"/>
      <c r="BO299" s="216"/>
      <c r="BP299" s="216"/>
      <c r="BQ299" s="216"/>
      <c r="BR299" s="216"/>
      <c r="BS299" s="216"/>
      <c r="BT299" s="216"/>
      <c r="BU299" s="216"/>
      <c r="BV299" s="216"/>
      <c r="BW299" s="216"/>
      <c r="BX299" s="216"/>
      <c r="BY299" s="216"/>
      <c r="BZ299" s="216"/>
      <c r="CA299" s="216"/>
      <c r="CB299" s="216"/>
      <c r="CC299" s="216"/>
      <c r="CD299" s="216"/>
      <c r="CE299" s="216"/>
      <c r="CF299" s="216"/>
      <c r="CG299" s="216"/>
      <c r="CH299" s="216"/>
      <c r="CI299" s="216"/>
      <c r="CJ299" s="216"/>
      <c r="CK299" s="216"/>
      <c r="CL299" s="216"/>
      <c r="CM299" s="216"/>
      <c r="CN299" s="216"/>
      <c r="CO299" s="216"/>
      <c r="CP299" s="216"/>
      <c r="CQ299" s="216"/>
    </row>
    <row r="300" spans="10:95" x14ac:dyDescent="0.25">
      <c r="J300" s="216"/>
      <c r="K300" s="217"/>
      <c r="L300" s="216"/>
      <c r="M300" s="216"/>
      <c r="N300" s="216"/>
      <c r="O300" s="216"/>
      <c r="P300" s="216"/>
      <c r="Q300" s="216"/>
      <c r="R300" s="216"/>
      <c r="S300" s="216"/>
      <c r="T300" s="216"/>
      <c r="U300" s="216"/>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216"/>
      <c r="BB300" s="216"/>
      <c r="BC300" s="216"/>
      <c r="BD300" s="216"/>
      <c r="BE300" s="216"/>
      <c r="BF300" s="216"/>
      <c r="BG300" s="216"/>
      <c r="BH300" s="216"/>
      <c r="BI300" s="216"/>
      <c r="BJ300" s="216"/>
      <c r="BK300" s="216"/>
      <c r="BL300" s="216"/>
      <c r="BM300" s="216"/>
      <c r="BN300" s="216"/>
      <c r="BO300" s="216"/>
      <c r="BP300" s="216"/>
      <c r="BQ300" s="216"/>
      <c r="BR300" s="216"/>
      <c r="BS300" s="216"/>
      <c r="BT300" s="216"/>
      <c r="BU300" s="216"/>
      <c r="BV300" s="216"/>
      <c r="BW300" s="216"/>
      <c r="BX300" s="216"/>
      <c r="BY300" s="216"/>
      <c r="BZ300" s="216"/>
      <c r="CA300" s="216"/>
      <c r="CB300" s="216"/>
      <c r="CC300" s="216"/>
      <c r="CD300" s="216"/>
      <c r="CE300" s="216"/>
      <c r="CF300" s="216"/>
      <c r="CG300" s="216"/>
      <c r="CH300" s="216"/>
      <c r="CI300" s="216"/>
      <c r="CJ300" s="216"/>
      <c r="CK300" s="216"/>
      <c r="CL300" s="216"/>
      <c r="CM300" s="216"/>
      <c r="CN300" s="216"/>
      <c r="CO300" s="216"/>
      <c r="CP300" s="216"/>
      <c r="CQ300" s="216"/>
    </row>
    <row r="301" spans="10:95" x14ac:dyDescent="0.25">
      <c r="J301" s="216"/>
      <c r="K301" s="217"/>
      <c r="L301" s="216"/>
      <c r="M301" s="216"/>
      <c r="N301" s="216"/>
      <c r="O301" s="216"/>
      <c r="P301" s="216"/>
      <c r="Q301" s="216"/>
      <c r="R301" s="216"/>
      <c r="S301" s="216"/>
      <c r="T301" s="216"/>
      <c r="U301" s="216"/>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216"/>
      <c r="BB301" s="216"/>
      <c r="BC301" s="216"/>
      <c r="BD301" s="216"/>
      <c r="BE301" s="216"/>
      <c r="BF301" s="216"/>
      <c r="BG301" s="216"/>
      <c r="BH301" s="216"/>
      <c r="BI301" s="216"/>
      <c r="BJ301" s="216"/>
      <c r="BK301" s="216"/>
      <c r="BL301" s="216"/>
      <c r="BM301" s="216"/>
      <c r="BN301" s="216"/>
      <c r="BO301" s="216"/>
      <c r="BP301" s="216"/>
      <c r="BQ301" s="216"/>
      <c r="BR301" s="216"/>
      <c r="BS301" s="216"/>
      <c r="BT301" s="216"/>
      <c r="BU301" s="216"/>
      <c r="BV301" s="216"/>
      <c r="BW301" s="216"/>
      <c r="BX301" s="216"/>
      <c r="BY301" s="216"/>
      <c r="BZ301" s="216"/>
      <c r="CA301" s="216"/>
      <c r="CB301" s="216"/>
      <c r="CC301" s="216"/>
      <c r="CD301" s="216"/>
      <c r="CE301" s="216"/>
      <c r="CF301" s="216"/>
      <c r="CG301" s="216"/>
      <c r="CH301" s="216"/>
      <c r="CI301" s="216"/>
      <c r="CJ301" s="216"/>
      <c r="CK301" s="216"/>
      <c r="CL301" s="216"/>
      <c r="CM301" s="216"/>
      <c r="CN301" s="216"/>
      <c r="CO301" s="216"/>
      <c r="CP301" s="216"/>
      <c r="CQ301" s="216"/>
    </row>
    <row r="302" spans="10:95" x14ac:dyDescent="0.25">
      <c r="J302" s="216"/>
      <c r="K302" s="217"/>
      <c r="L302" s="216"/>
      <c r="M302" s="216"/>
      <c r="N302" s="216"/>
      <c r="O302" s="216"/>
      <c r="P302" s="216"/>
      <c r="Q302" s="216"/>
      <c r="R302" s="216"/>
      <c r="S302" s="216"/>
      <c r="T302" s="216"/>
      <c r="U302" s="216"/>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216"/>
      <c r="BB302" s="216"/>
      <c r="BC302" s="216"/>
      <c r="BD302" s="216"/>
      <c r="BE302" s="216"/>
      <c r="BF302" s="216"/>
      <c r="BG302" s="216"/>
      <c r="BH302" s="216"/>
      <c r="BI302" s="216"/>
      <c r="BJ302" s="216"/>
      <c r="BK302" s="216"/>
      <c r="BL302" s="216"/>
      <c r="BM302" s="216"/>
      <c r="BN302" s="216"/>
      <c r="BO302" s="216"/>
      <c r="BP302" s="216"/>
      <c r="BQ302" s="216"/>
      <c r="BR302" s="216"/>
      <c r="BS302" s="216"/>
      <c r="BT302" s="216"/>
      <c r="BU302" s="216"/>
      <c r="BV302" s="216"/>
      <c r="BW302" s="216"/>
      <c r="BX302" s="216"/>
      <c r="BY302" s="216"/>
      <c r="BZ302" s="216"/>
      <c r="CA302" s="216"/>
      <c r="CB302" s="216"/>
      <c r="CC302" s="216"/>
      <c r="CD302" s="216"/>
      <c r="CE302" s="216"/>
      <c r="CF302" s="216"/>
      <c r="CG302" s="216"/>
      <c r="CH302" s="216"/>
      <c r="CI302" s="216"/>
      <c r="CJ302" s="216"/>
      <c r="CK302" s="216"/>
      <c r="CL302" s="216"/>
      <c r="CM302" s="216"/>
      <c r="CN302" s="216"/>
      <c r="CO302" s="216"/>
      <c r="CP302" s="216"/>
      <c r="CQ302" s="216"/>
    </row>
    <row r="303" spans="10:95" x14ac:dyDescent="0.25">
      <c r="J303" s="216"/>
      <c r="K303" s="217"/>
      <c r="L303" s="216"/>
      <c r="M303" s="216"/>
      <c r="N303" s="216"/>
      <c r="O303" s="216"/>
      <c r="P303" s="216"/>
      <c r="Q303" s="216"/>
      <c r="R303" s="216"/>
      <c r="S303" s="216"/>
      <c r="T303" s="216"/>
      <c r="U303" s="216"/>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216"/>
      <c r="BB303" s="216"/>
      <c r="BC303" s="216"/>
      <c r="BD303" s="216"/>
      <c r="BE303" s="216"/>
      <c r="BF303" s="216"/>
      <c r="BG303" s="216"/>
      <c r="BH303" s="216"/>
      <c r="BI303" s="216"/>
      <c r="BJ303" s="216"/>
      <c r="BK303" s="216"/>
      <c r="BL303" s="216"/>
      <c r="BM303" s="216"/>
      <c r="BN303" s="216"/>
      <c r="BO303" s="216"/>
      <c r="BP303" s="216"/>
      <c r="BQ303" s="216"/>
      <c r="BR303" s="216"/>
      <c r="BS303" s="216"/>
      <c r="BT303" s="216"/>
      <c r="BU303" s="216"/>
      <c r="BV303" s="216"/>
      <c r="BW303" s="216"/>
      <c r="BX303" s="216"/>
      <c r="BY303" s="216"/>
      <c r="BZ303" s="216"/>
      <c r="CA303" s="216"/>
      <c r="CB303" s="216"/>
      <c r="CC303" s="216"/>
      <c r="CD303" s="216"/>
      <c r="CE303" s="216"/>
      <c r="CF303" s="216"/>
      <c r="CG303" s="216"/>
      <c r="CH303" s="216"/>
      <c r="CI303" s="216"/>
      <c r="CJ303" s="216"/>
      <c r="CK303" s="216"/>
      <c r="CL303" s="216"/>
      <c r="CM303" s="216"/>
      <c r="CN303" s="216"/>
      <c r="CO303" s="216"/>
      <c r="CP303" s="216"/>
      <c r="CQ303" s="216"/>
    </row>
    <row r="304" spans="10:95" x14ac:dyDescent="0.25">
      <c r="J304" s="216"/>
      <c r="K304" s="217"/>
      <c r="L304" s="216"/>
      <c r="M304" s="216"/>
      <c r="N304" s="216"/>
      <c r="O304" s="216"/>
      <c r="P304" s="216"/>
      <c r="Q304" s="216"/>
      <c r="R304" s="216"/>
      <c r="S304" s="216"/>
      <c r="T304" s="216"/>
      <c r="U304" s="21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216"/>
      <c r="BB304" s="216"/>
      <c r="BC304" s="216"/>
      <c r="BD304" s="216"/>
      <c r="BE304" s="216"/>
      <c r="BF304" s="216"/>
      <c r="BG304" s="216"/>
      <c r="BH304" s="216"/>
      <c r="BI304" s="216"/>
      <c r="BJ304" s="216"/>
      <c r="BK304" s="216"/>
      <c r="BL304" s="216"/>
      <c r="BM304" s="216"/>
      <c r="BN304" s="216"/>
      <c r="BO304" s="216"/>
      <c r="BP304" s="216"/>
      <c r="BQ304" s="216"/>
      <c r="BR304" s="216"/>
      <c r="BS304" s="216"/>
      <c r="BT304" s="216"/>
      <c r="BU304" s="216"/>
      <c r="BV304" s="216"/>
      <c r="BW304" s="216"/>
      <c r="BX304" s="216"/>
      <c r="BY304" s="216"/>
      <c r="BZ304" s="216"/>
      <c r="CA304" s="216"/>
      <c r="CB304" s="216"/>
      <c r="CC304" s="216"/>
      <c r="CD304" s="216"/>
      <c r="CE304" s="216"/>
      <c r="CF304" s="216"/>
      <c r="CG304" s="216"/>
      <c r="CH304" s="216"/>
      <c r="CI304" s="216"/>
      <c r="CJ304" s="216"/>
      <c r="CK304" s="216"/>
      <c r="CL304" s="216"/>
      <c r="CM304" s="216"/>
      <c r="CN304" s="216"/>
      <c r="CO304" s="216"/>
      <c r="CP304" s="216"/>
      <c r="CQ304" s="216"/>
    </row>
    <row r="305" spans="10:95" x14ac:dyDescent="0.25">
      <c r="J305" s="216"/>
      <c r="K305" s="217"/>
      <c r="L305" s="216"/>
      <c r="M305" s="216"/>
      <c r="N305" s="216"/>
      <c r="O305" s="216"/>
      <c r="P305" s="216"/>
      <c r="Q305" s="216"/>
      <c r="R305" s="216"/>
      <c r="S305" s="216"/>
      <c r="T305" s="216"/>
      <c r="U305" s="216"/>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216"/>
      <c r="BB305" s="216"/>
      <c r="BC305" s="216"/>
      <c r="BD305" s="216"/>
      <c r="BE305" s="216"/>
      <c r="BF305" s="216"/>
      <c r="BG305" s="216"/>
      <c r="BH305" s="216"/>
      <c r="BI305" s="216"/>
      <c r="BJ305" s="216"/>
      <c r="BK305" s="216"/>
      <c r="BL305" s="216"/>
      <c r="BM305" s="216"/>
      <c r="BN305" s="216"/>
      <c r="BO305" s="216"/>
      <c r="BP305" s="216"/>
      <c r="BQ305" s="216"/>
      <c r="BR305" s="216"/>
      <c r="BS305" s="216"/>
      <c r="BT305" s="216"/>
      <c r="BU305" s="216"/>
      <c r="BV305" s="216"/>
      <c r="BW305" s="216"/>
      <c r="BX305" s="216"/>
      <c r="BY305" s="216"/>
      <c r="BZ305" s="216"/>
      <c r="CA305" s="216"/>
      <c r="CB305" s="216"/>
      <c r="CC305" s="216"/>
      <c r="CD305" s="216"/>
      <c r="CE305" s="216"/>
      <c r="CF305" s="216"/>
      <c r="CG305" s="216"/>
      <c r="CH305" s="216"/>
      <c r="CI305" s="216"/>
      <c r="CJ305" s="216"/>
      <c r="CK305" s="216"/>
      <c r="CL305" s="216"/>
      <c r="CM305" s="216"/>
      <c r="CN305" s="216"/>
      <c r="CO305" s="216"/>
      <c r="CP305" s="216"/>
      <c r="CQ305" s="216"/>
    </row>
    <row r="306" spans="10:95" x14ac:dyDescent="0.25">
      <c r="J306" s="216"/>
      <c r="K306" s="217"/>
      <c r="L306" s="216"/>
      <c r="M306" s="216"/>
      <c r="N306" s="216"/>
      <c r="O306" s="216"/>
      <c r="P306" s="216"/>
      <c r="Q306" s="216"/>
      <c r="R306" s="216"/>
      <c r="S306" s="216"/>
      <c r="T306" s="216"/>
      <c r="U306" s="216"/>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216"/>
      <c r="BB306" s="216"/>
      <c r="BC306" s="216"/>
      <c r="BD306" s="216"/>
      <c r="BE306" s="216"/>
      <c r="BF306" s="216"/>
      <c r="BG306" s="216"/>
      <c r="BH306" s="216"/>
      <c r="BI306" s="216"/>
      <c r="BJ306" s="216"/>
      <c r="BK306" s="216"/>
      <c r="BL306" s="216"/>
      <c r="BM306" s="216"/>
      <c r="BN306" s="216"/>
      <c r="BO306" s="216"/>
      <c r="BP306" s="216"/>
      <c r="BQ306" s="216"/>
      <c r="BR306" s="216"/>
      <c r="BS306" s="216"/>
      <c r="BT306" s="216"/>
      <c r="BU306" s="216"/>
      <c r="BV306" s="216"/>
      <c r="BW306" s="216"/>
      <c r="BX306" s="216"/>
      <c r="BY306" s="216"/>
      <c r="BZ306" s="216"/>
      <c r="CA306" s="216"/>
      <c r="CB306" s="216"/>
      <c r="CC306" s="216"/>
      <c r="CD306" s="216"/>
      <c r="CE306" s="216"/>
      <c r="CF306" s="216"/>
      <c r="CG306" s="216"/>
      <c r="CH306" s="216"/>
      <c r="CI306" s="216"/>
      <c r="CJ306" s="216"/>
      <c r="CK306" s="216"/>
      <c r="CL306" s="216"/>
      <c r="CM306" s="216"/>
      <c r="CN306" s="216"/>
      <c r="CO306" s="216"/>
      <c r="CP306" s="216"/>
      <c r="CQ306" s="216"/>
    </row>
    <row r="307" spans="10:95" x14ac:dyDescent="0.25">
      <c r="J307" s="216"/>
      <c r="K307" s="217"/>
      <c r="L307" s="216"/>
      <c r="M307" s="216"/>
      <c r="N307" s="216"/>
      <c r="O307" s="216"/>
      <c r="P307" s="216"/>
      <c r="Q307" s="216"/>
      <c r="R307" s="216"/>
      <c r="S307" s="216"/>
      <c r="T307" s="216"/>
      <c r="U307" s="216"/>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216"/>
      <c r="BB307" s="216"/>
      <c r="BC307" s="216"/>
      <c r="BD307" s="216"/>
      <c r="BE307" s="216"/>
      <c r="BF307" s="216"/>
      <c r="BG307" s="216"/>
      <c r="BH307" s="216"/>
      <c r="BI307" s="216"/>
      <c r="BJ307" s="216"/>
      <c r="BK307" s="216"/>
      <c r="BL307" s="216"/>
      <c r="BM307" s="216"/>
      <c r="BN307" s="216"/>
      <c r="BO307" s="216"/>
      <c r="BP307" s="216"/>
      <c r="BQ307" s="216"/>
      <c r="BR307" s="216"/>
      <c r="BS307" s="216"/>
      <c r="BT307" s="216"/>
      <c r="BU307" s="216"/>
      <c r="BV307" s="216"/>
      <c r="BW307" s="216"/>
      <c r="BX307" s="216"/>
      <c r="BY307" s="216"/>
      <c r="BZ307" s="216"/>
      <c r="CA307" s="216"/>
      <c r="CB307" s="216"/>
      <c r="CC307" s="216"/>
      <c r="CD307" s="216"/>
      <c r="CE307" s="216"/>
      <c r="CF307" s="216"/>
      <c r="CG307" s="216"/>
      <c r="CH307" s="216"/>
      <c r="CI307" s="216"/>
      <c r="CJ307" s="216"/>
      <c r="CK307" s="216"/>
      <c r="CL307" s="216"/>
      <c r="CM307" s="216"/>
      <c r="CN307" s="216"/>
      <c r="CO307" s="216"/>
      <c r="CP307" s="216"/>
      <c r="CQ307" s="216"/>
    </row>
    <row r="308" spans="10:95" x14ac:dyDescent="0.25">
      <c r="J308" s="216"/>
      <c r="K308" s="217"/>
      <c r="L308" s="216"/>
      <c r="M308" s="216"/>
      <c r="N308" s="216"/>
      <c r="O308" s="216"/>
      <c r="P308" s="216"/>
      <c r="Q308" s="216"/>
      <c r="R308" s="216"/>
      <c r="S308" s="216"/>
      <c r="T308" s="216"/>
      <c r="U308" s="216"/>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216"/>
      <c r="BB308" s="216"/>
      <c r="BC308" s="216"/>
      <c r="BD308" s="216"/>
      <c r="BE308" s="216"/>
      <c r="BF308" s="216"/>
      <c r="BG308" s="216"/>
      <c r="BH308" s="216"/>
      <c r="BI308" s="216"/>
      <c r="BJ308" s="216"/>
      <c r="BK308" s="216"/>
      <c r="BL308" s="216"/>
      <c r="BM308" s="216"/>
      <c r="BN308" s="216"/>
      <c r="BO308" s="216"/>
      <c r="BP308" s="216"/>
      <c r="BQ308" s="216"/>
      <c r="BR308" s="216"/>
      <c r="BS308" s="216"/>
      <c r="BT308" s="216"/>
      <c r="BU308" s="216"/>
      <c r="BV308" s="216"/>
      <c r="BW308" s="216"/>
      <c r="BX308" s="216"/>
      <c r="BY308" s="216"/>
      <c r="BZ308" s="216"/>
      <c r="CA308" s="216"/>
      <c r="CB308" s="216"/>
      <c r="CC308" s="216"/>
      <c r="CD308" s="216"/>
      <c r="CE308" s="216"/>
      <c r="CF308" s="216"/>
      <c r="CG308" s="216"/>
      <c r="CH308" s="216"/>
      <c r="CI308" s="216"/>
      <c r="CJ308" s="216"/>
      <c r="CK308" s="216"/>
      <c r="CL308" s="216"/>
      <c r="CM308" s="216"/>
      <c r="CN308" s="216"/>
      <c r="CO308" s="216"/>
      <c r="CP308" s="216"/>
      <c r="CQ308" s="216"/>
    </row>
    <row r="309" spans="10:95" x14ac:dyDescent="0.25">
      <c r="J309" s="216"/>
      <c r="K309" s="217"/>
      <c r="L309" s="216"/>
      <c r="M309" s="216"/>
      <c r="N309" s="216"/>
      <c r="O309" s="216"/>
      <c r="P309" s="216"/>
      <c r="Q309" s="216"/>
      <c r="R309" s="216"/>
      <c r="S309" s="216"/>
      <c r="T309" s="216"/>
      <c r="U309" s="216"/>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216"/>
      <c r="BB309" s="216"/>
      <c r="BC309" s="216"/>
      <c r="BD309" s="216"/>
      <c r="BE309" s="216"/>
      <c r="BF309" s="216"/>
      <c r="BG309" s="216"/>
      <c r="BH309" s="216"/>
      <c r="BI309" s="216"/>
      <c r="BJ309" s="216"/>
      <c r="BK309" s="216"/>
      <c r="BL309" s="216"/>
      <c r="BM309" s="216"/>
      <c r="BN309" s="216"/>
      <c r="BO309" s="216"/>
      <c r="BP309" s="216"/>
      <c r="BQ309" s="216"/>
      <c r="BR309" s="216"/>
      <c r="BS309" s="216"/>
      <c r="BT309" s="216"/>
      <c r="BU309" s="216"/>
      <c r="BV309" s="216"/>
      <c r="BW309" s="216"/>
      <c r="BX309" s="216"/>
      <c r="BY309" s="216"/>
      <c r="BZ309" s="216"/>
      <c r="CA309" s="216"/>
      <c r="CB309" s="216"/>
      <c r="CC309" s="216"/>
      <c r="CD309" s="216"/>
      <c r="CE309" s="216"/>
      <c r="CF309" s="216"/>
      <c r="CG309" s="216"/>
      <c r="CH309" s="216"/>
      <c r="CI309" s="216"/>
      <c r="CJ309" s="216"/>
      <c r="CK309" s="216"/>
      <c r="CL309" s="216"/>
      <c r="CM309" s="216"/>
      <c r="CN309" s="216"/>
      <c r="CO309" s="216"/>
      <c r="CP309" s="216"/>
      <c r="CQ309" s="216"/>
    </row>
    <row r="310" spans="10:95" x14ac:dyDescent="0.25">
      <c r="J310" s="216"/>
      <c r="K310" s="217"/>
      <c r="L310" s="216"/>
      <c r="M310" s="216"/>
      <c r="N310" s="216"/>
      <c r="O310" s="216"/>
      <c r="P310" s="216"/>
      <c r="Q310" s="216"/>
      <c r="R310" s="216"/>
      <c r="S310" s="216"/>
      <c r="T310" s="216"/>
      <c r="U310" s="216"/>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216"/>
      <c r="BB310" s="216"/>
      <c r="BC310" s="216"/>
      <c r="BD310" s="216"/>
      <c r="BE310" s="216"/>
      <c r="BF310" s="216"/>
      <c r="BG310" s="216"/>
      <c r="BH310" s="216"/>
      <c r="BI310" s="216"/>
      <c r="BJ310" s="216"/>
      <c r="BK310" s="216"/>
      <c r="BL310" s="216"/>
      <c r="BM310" s="216"/>
      <c r="BN310" s="216"/>
      <c r="BO310" s="216"/>
      <c r="BP310" s="216"/>
      <c r="BQ310" s="216"/>
      <c r="BR310" s="216"/>
      <c r="BS310" s="216"/>
      <c r="BT310" s="216"/>
      <c r="BU310" s="216"/>
      <c r="BV310" s="216"/>
      <c r="BW310" s="216"/>
      <c r="BX310" s="216"/>
      <c r="BY310" s="216"/>
      <c r="BZ310" s="216"/>
      <c r="CA310" s="216"/>
      <c r="CB310" s="216"/>
      <c r="CC310" s="216"/>
      <c r="CD310" s="216"/>
      <c r="CE310" s="216"/>
      <c r="CF310" s="216"/>
      <c r="CG310" s="216"/>
      <c r="CH310" s="216"/>
      <c r="CI310" s="216"/>
      <c r="CJ310" s="216"/>
      <c r="CK310" s="216"/>
      <c r="CL310" s="216"/>
      <c r="CM310" s="216"/>
      <c r="CN310" s="216"/>
      <c r="CO310" s="216"/>
      <c r="CP310" s="216"/>
      <c r="CQ310" s="216"/>
    </row>
    <row r="311" spans="10:95" x14ac:dyDescent="0.25">
      <c r="J311" s="216"/>
      <c r="K311" s="217"/>
      <c r="L311" s="216"/>
      <c r="M311" s="216"/>
      <c r="N311" s="216"/>
      <c r="O311" s="216"/>
      <c r="P311" s="216"/>
      <c r="Q311" s="216"/>
      <c r="R311" s="216"/>
      <c r="S311" s="216"/>
      <c r="T311" s="216"/>
      <c r="U311" s="216"/>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216"/>
      <c r="BB311" s="216"/>
      <c r="BC311" s="216"/>
      <c r="BD311" s="216"/>
      <c r="BE311" s="216"/>
      <c r="BF311" s="216"/>
      <c r="BG311" s="216"/>
      <c r="BH311" s="216"/>
      <c r="BI311" s="216"/>
      <c r="BJ311" s="216"/>
      <c r="BK311" s="216"/>
      <c r="BL311" s="216"/>
      <c r="BM311" s="216"/>
      <c r="BN311" s="216"/>
      <c r="BO311" s="216"/>
      <c r="BP311" s="216"/>
      <c r="BQ311" s="216"/>
      <c r="BR311" s="216"/>
      <c r="BS311" s="216"/>
      <c r="BT311" s="216"/>
      <c r="BU311" s="216"/>
      <c r="BV311" s="216"/>
      <c r="BW311" s="216"/>
      <c r="BX311" s="216"/>
      <c r="BY311" s="216"/>
      <c r="BZ311" s="216"/>
      <c r="CA311" s="216"/>
      <c r="CB311" s="216"/>
      <c r="CC311" s="216"/>
      <c r="CD311" s="216"/>
      <c r="CE311" s="216"/>
      <c r="CF311" s="216"/>
      <c r="CG311" s="216"/>
      <c r="CH311" s="216"/>
      <c r="CI311" s="216"/>
      <c r="CJ311" s="216"/>
      <c r="CK311" s="216"/>
      <c r="CL311" s="216"/>
      <c r="CM311" s="216"/>
      <c r="CN311" s="216"/>
      <c r="CO311" s="216"/>
      <c r="CP311" s="216"/>
      <c r="CQ311" s="216"/>
    </row>
    <row r="312" spans="10:95" x14ac:dyDescent="0.25">
      <c r="J312" s="216"/>
      <c r="K312" s="217"/>
      <c r="L312" s="216"/>
      <c r="M312" s="216"/>
      <c r="N312" s="216"/>
      <c r="O312" s="216"/>
      <c r="P312" s="216"/>
      <c r="Q312" s="216"/>
      <c r="R312" s="216"/>
      <c r="S312" s="216"/>
      <c r="T312" s="216"/>
      <c r="U312" s="216"/>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216"/>
      <c r="BB312" s="216"/>
      <c r="BC312" s="216"/>
      <c r="BD312" s="216"/>
      <c r="BE312" s="216"/>
      <c r="BF312" s="216"/>
      <c r="BG312" s="216"/>
      <c r="BH312" s="216"/>
      <c r="BI312" s="216"/>
      <c r="BJ312" s="216"/>
      <c r="BK312" s="216"/>
      <c r="BL312" s="216"/>
      <c r="BM312" s="216"/>
      <c r="BN312" s="216"/>
      <c r="BO312" s="216"/>
      <c r="BP312" s="216"/>
      <c r="BQ312" s="216"/>
      <c r="BR312" s="216"/>
      <c r="BS312" s="216"/>
      <c r="BT312" s="216"/>
      <c r="BU312" s="216"/>
      <c r="BV312" s="216"/>
      <c r="BW312" s="216"/>
      <c r="BX312" s="216"/>
      <c r="BY312" s="216"/>
      <c r="BZ312" s="216"/>
      <c r="CA312" s="216"/>
      <c r="CB312" s="216"/>
      <c r="CC312" s="216"/>
      <c r="CD312" s="216"/>
      <c r="CE312" s="216"/>
      <c r="CF312" s="216"/>
      <c r="CG312" s="216"/>
      <c r="CH312" s="216"/>
      <c r="CI312" s="216"/>
      <c r="CJ312" s="216"/>
      <c r="CK312" s="216"/>
      <c r="CL312" s="216"/>
      <c r="CM312" s="216"/>
      <c r="CN312" s="216"/>
      <c r="CO312" s="216"/>
      <c r="CP312" s="216"/>
      <c r="CQ312" s="216"/>
    </row>
    <row r="313" spans="10:95" x14ac:dyDescent="0.25">
      <c r="J313" s="216"/>
      <c r="K313" s="217"/>
      <c r="L313" s="216"/>
      <c r="M313" s="216"/>
      <c r="N313" s="216"/>
      <c r="O313" s="216"/>
      <c r="P313" s="216"/>
      <c r="Q313" s="216"/>
      <c r="R313" s="216"/>
      <c r="S313" s="216"/>
      <c r="T313" s="216"/>
      <c r="U313" s="216"/>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216"/>
      <c r="BB313" s="216"/>
      <c r="BC313" s="216"/>
      <c r="BD313" s="216"/>
      <c r="BE313" s="216"/>
      <c r="BF313" s="216"/>
      <c r="BG313" s="216"/>
      <c r="BH313" s="216"/>
      <c r="BI313" s="216"/>
      <c r="BJ313" s="216"/>
      <c r="BK313" s="216"/>
      <c r="BL313" s="216"/>
      <c r="BM313" s="216"/>
      <c r="BN313" s="216"/>
      <c r="BO313" s="216"/>
      <c r="BP313" s="216"/>
      <c r="BQ313" s="216"/>
      <c r="BR313" s="216"/>
      <c r="BS313" s="216"/>
      <c r="BT313" s="216"/>
      <c r="BU313" s="216"/>
      <c r="BV313" s="216"/>
      <c r="BW313" s="216"/>
      <c r="BX313" s="216"/>
      <c r="BY313" s="216"/>
      <c r="BZ313" s="216"/>
      <c r="CA313" s="216"/>
      <c r="CB313" s="216"/>
      <c r="CC313" s="216"/>
      <c r="CD313" s="216"/>
      <c r="CE313" s="216"/>
      <c r="CF313" s="216"/>
      <c r="CG313" s="216"/>
      <c r="CH313" s="216"/>
      <c r="CI313" s="216"/>
      <c r="CJ313" s="216"/>
      <c r="CK313" s="216"/>
      <c r="CL313" s="216"/>
      <c r="CM313" s="216"/>
      <c r="CN313" s="216"/>
      <c r="CO313" s="216"/>
      <c r="CP313" s="216"/>
      <c r="CQ313" s="216"/>
    </row>
    <row r="314" spans="10:95" x14ac:dyDescent="0.25">
      <c r="J314" s="216"/>
      <c r="K314" s="217"/>
      <c r="L314" s="216"/>
      <c r="M314" s="216"/>
      <c r="N314" s="216"/>
      <c r="O314" s="216"/>
      <c r="P314" s="216"/>
      <c r="Q314" s="216"/>
      <c r="R314" s="216"/>
      <c r="S314" s="216"/>
      <c r="T314" s="216"/>
      <c r="U314" s="216"/>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216"/>
      <c r="BB314" s="216"/>
      <c r="BC314" s="216"/>
      <c r="BD314" s="216"/>
      <c r="BE314" s="216"/>
      <c r="BF314" s="216"/>
      <c r="BG314" s="216"/>
      <c r="BH314" s="216"/>
      <c r="BI314" s="216"/>
      <c r="BJ314" s="216"/>
      <c r="BK314" s="216"/>
      <c r="BL314" s="216"/>
      <c r="BM314" s="216"/>
      <c r="BN314" s="216"/>
      <c r="BO314" s="216"/>
      <c r="BP314" s="216"/>
      <c r="BQ314" s="216"/>
      <c r="BR314" s="216"/>
      <c r="BS314" s="216"/>
      <c r="BT314" s="216"/>
      <c r="BU314" s="216"/>
      <c r="BV314" s="216"/>
      <c r="BW314" s="216"/>
      <c r="BX314" s="216"/>
      <c r="BY314" s="216"/>
      <c r="BZ314" s="216"/>
      <c r="CA314" s="216"/>
      <c r="CB314" s="216"/>
      <c r="CC314" s="216"/>
      <c r="CD314" s="216"/>
      <c r="CE314" s="216"/>
      <c r="CF314" s="216"/>
      <c r="CG314" s="216"/>
      <c r="CH314" s="216"/>
      <c r="CI314" s="216"/>
      <c r="CJ314" s="216"/>
      <c r="CK314" s="216"/>
      <c r="CL314" s="216"/>
      <c r="CM314" s="216"/>
      <c r="CN314" s="216"/>
      <c r="CO314" s="216"/>
      <c r="CP314" s="216"/>
      <c r="CQ314" s="216"/>
    </row>
    <row r="315" spans="10:95" x14ac:dyDescent="0.25">
      <c r="J315" s="216"/>
      <c r="K315" s="217"/>
      <c r="L315" s="216"/>
      <c r="M315" s="216"/>
      <c r="N315" s="216"/>
      <c r="O315" s="216"/>
      <c r="P315" s="216"/>
      <c r="Q315" s="216"/>
      <c r="R315" s="216"/>
      <c r="S315" s="216"/>
      <c r="T315" s="216"/>
      <c r="U315" s="216"/>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216"/>
      <c r="BB315" s="216"/>
      <c r="BC315" s="216"/>
      <c r="BD315" s="216"/>
      <c r="BE315" s="216"/>
      <c r="BF315" s="216"/>
      <c r="BG315" s="216"/>
      <c r="BH315" s="216"/>
      <c r="BI315" s="216"/>
      <c r="BJ315" s="216"/>
      <c r="BK315" s="216"/>
      <c r="BL315" s="216"/>
      <c r="BM315" s="216"/>
      <c r="BN315" s="216"/>
      <c r="BO315" s="216"/>
      <c r="BP315" s="216"/>
      <c r="BQ315" s="216"/>
      <c r="BR315" s="216"/>
      <c r="BS315" s="216"/>
      <c r="BT315" s="216"/>
      <c r="BU315" s="216"/>
      <c r="BV315" s="216"/>
      <c r="BW315" s="216"/>
      <c r="BX315" s="216"/>
      <c r="BY315" s="216"/>
      <c r="BZ315" s="216"/>
      <c r="CA315" s="216"/>
      <c r="CB315" s="216"/>
      <c r="CC315" s="216"/>
      <c r="CD315" s="216"/>
      <c r="CE315" s="216"/>
      <c r="CF315" s="216"/>
      <c r="CG315" s="216"/>
      <c r="CH315" s="216"/>
      <c r="CI315" s="216"/>
      <c r="CJ315" s="216"/>
      <c r="CK315" s="216"/>
      <c r="CL315" s="216"/>
      <c r="CM315" s="216"/>
      <c r="CN315" s="216"/>
      <c r="CO315" s="216"/>
      <c r="CP315" s="216"/>
      <c r="CQ315" s="216"/>
    </row>
    <row r="316" spans="10:95" x14ac:dyDescent="0.25">
      <c r="J316" s="216"/>
      <c r="K316" s="217"/>
      <c r="L316" s="216"/>
      <c r="M316" s="216"/>
      <c r="N316" s="216"/>
      <c r="O316" s="216"/>
      <c r="P316" s="216"/>
      <c r="Q316" s="216"/>
      <c r="R316" s="216"/>
      <c r="S316" s="216"/>
      <c r="T316" s="216"/>
      <c r="U316" s="216"/>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216"/>
      <c r="BB316" s="216"/>
      <c r="BC316" s="216"/>
      <c r="BD316" s="216"/>
      <c r="BE316" s="216"/>
      <c r="BF316" s="216"/>
      <c r="BG316" s="216"/>
      <c r="BH316" s="216"/>
      <c r="BI316" s="216"/>
      <c r="BJ316" s="216"/>
      <c r="BK316" s="216"/>
      <c r="BL316" s="216"/>
      <c r="BM316" s="216"/>
      <c r="BN316" s="216"/>
      <c r="BO316" s="216"/>
      <c r="BP316" s="216"/>
      <c r="BQ316" s="216"/>
      <c r="BR316" s="216"/>
      <c r="BS316" s="216"/>
      <c r="BT316" s="216"/>
      <c r="BU316" s="216"/>
      <c r="BV316" s="216"/>
      <c r="BW316" s="216"/>
      <c r="BX316" s="216"/>
      <c r="BY316" s="216"/>
      <c r="BZ316" s="216"/>
      <c r="CA316" s="216"/>
      <c r="CB316" s="216"/>
      <c r="CC316" s="216"/>
      <c r="CD316" s="216"/>
      <c r="CE316" s="216"/>
      <c r="CF316" s="216"/>
      <c r="CG316" s="216"/>
      <c r="CH316" s="216"/>
      <c r="CI316" s="216"/>
      <c r="CJ316" s="216"/>
      <c r="CK316" s="216"/>
      <c r="CL316" s="216"/>
      <c r="CM316" s="216"/>
      <c r="CN316" s="216"/>
      <c r="CO316" s="216"/>
      <c r="CP316" s="216"/>
      <c r="CQ316" s="216"/>
    </row>
    <row r="317" spans="10:95" x14ac:dyDescent="0.25">
      <c r="J317" s="216"/>
      <c r="K317" s="217"/>
      <c r="L317" s="216"/>
      <c r="M317" s="216"/>
      <c r="N317" s="216"/>
      <c r="O317" s="216"/>
      <c r="P317" s="216"/>
      <c r="Q317" s="216"/>
      <c r="R317" s="216"/>
      <c r="S317" s="216"/>
      <c r="T317" s="216"/>
      <c r="U317" s="216"/>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216"/>
      <c r="BB317" s="216"/>
      <c r="BC317" s="216"/>
      <c r="BD317" s="216"/>
      <c r="BE317" s="216"/>
      <c r="BF317" s="216"/>
      <c r="BG317" s="216"/>
      <c r="BH317" s="216"/>
      <c r="BI317" s="216"/>
      <c r="BJ317" s="216"/>
      <c r="BK317" s="216"/>
      <c r="BL317" s="216"/>
      <c r="BM317" s="216"/>
      <c r="BN317" s="216"/>
      <c r="BO317" s="216"/>
      <c r="BP317" s="216"/>
      <c r="BQ317" s="216"/>
      <c r="BR317" s="216"/>
      <c r="BS317" s="216"/>
      <c r="BT317" s="216"/>
      <c r="BU317" s="216"/>
      <c r="BV317" s="216"/>
      <c r="BW317" s="216"/>
      <c r="BX317" s="216"/>
      <c r="BY317" s="216"/>
      <c r="BZ317" s="216"/>
      <c r="CA317" s="216"/>
      <c r="CB317" s="216"/>
      <c r="CC317" s="216"/>
      <c r="CD317" s="216"/>
      <c r="CE317" s="216"/>
      <c r="CF317" s="216"/>
      <c r="CG317" s="216"/>
      <c r="CH317" s="216"/>
      <c r="CI317" s="216"/>
      <c r="CJ317" s="216"/>
      <c r="CK317" s="216"/>
      <c r="CL317" s="216"/>
      <c r="CM317" s="216"/>
      <c r="CN317" s="216"/>
      <c r="CO317" s="216"/>
      <c r="CP317" s="216"/>
      <c r="CQ317" s="216"/>
    </row>
    <row r="318" spans="10:95" x14ac:dyDescent="0.25">
      <c r="J318" s="216"/>
      <c r="K318" s="217"/>
      <c r="L318" s="216"/>
      <c r="M318" s="216"/>
      <c r="N318" s="216"/>
      <c r="O318" s="216"/>
      <c r="P318" s="216"/>
      <c r="Q318" s="216"/>
      <c r="R318" s="216"/>
      <c r="S318" s="216"/>
      <c r="T318" s="216"/>
      <c r="U318" s="216"/>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216"/>
      <c r="BB318" s="216"/>
      <c r="BC318" s="216"/>
      <c r="BD318" s="216"/>
      <c r="BE318" s="216"/>
      <c r="BF318" s="216"/>
      <c r="BG318" s="216"/>
      <c r="BH318" s="216"/>
      <c r="BI318" s="216"/>
      <c r="BJ318" s="216"/>
      <c r="BK318" s="216"/>
      <c r="BL318" s="216"/>
      <c r="BM318" s="216"/>
      <c r="BN318" s="216"/>
      <c r="BO318" s="216"/>
      <c r="BP318" s="216"/>
      <c r="BQ318" s="216"/>
      <c r="BR318" s="216"/>
      <c r="BS318" s="216"/>
      <c r="BT318" s="216"/>
      <c r="BU318" s="216"/>
      <c r="BV318" s="216"/>
      <c r="BW318" s="216"/>
      <c r="BX318" s="216"/>
      <c r="BY318" s="216"/>
      <c r="BZ318" s="216"/>
      <c r="CA318" s="216"/>
      <c r="CB318" s="216"/>
      <c r="CC318" s="216"/>
      <c r="CD318" s="216"/>
      <c r="CE318" s="216"/>
      <c r="CF318" s="216"/>
      <c r="CG318" s="216"/>
      <c r="CH318" s="216"/>
      <c r="CI318" s="216"/>
      <c r="CJ318" s="216"/>
      <c r="CK318" s="216"/>
      <c r="CL318" s="216"/>
      <c r="CM318" s="216"/>
      <c r="CN318" s="216"/>
      <c r="CO318" s="216"/>
      <c r="CP318" s="216"/>
      <c r="CQ318" s="216"/>
    </row>
    <row r="319" spans="10:95" x14ac:dyDescent="0.25">
      <c r="J319" s="216"/>
      <c r="K319" s="217"/>
      <c r="L319" s="216"/>
      <c r="M319" s="216"/>
      <c r="N319" s="216"/>
      <c r="O319" s="216"/>
      <c r="P319" s="216"/>
      <c r="Q319" s="216"/>
      <c r="R319" s="216"/>
      <c r="S319" s="216"/>
      <c r="T319" s="216"/>
      <c r="U319" s="216"/>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216"/>
      <c r="BB319" s="216"/>
      <c r="BC319" s="216"/>
      <c r="BD319" s="216"/>
      <c r="BE319" s="216"/>
      <c r="BF319" s="216"/>
      <c r="BG319" s="216"/>
      <c r="BH319" s="216"/>
      <c r="BI319" s="216"/>
      <c r="BJ319" s="216"/>
      <c r="BK319" s="216"/>
      <c r="BL319" s="216"/>
      <c r="BM319" s="216"/>
      <c r="BN319" s="216"/>
      <c r="BO319" s="216"/>
      <c r="BP319" s="216"/>
      <c r="BQ319" s="216"/>
      <c r="BR319" s="216"/>
      <c r="BS319" s="216"/>
      <c r="BT319" s="216"/>
      <c r="BU319" s="216"/>
      <c r="BV319" s="216"/>
      <c r="BW319" s="216"/>
      <c r="BX319" s="216"/>
      <c r="BY319" s="216"/>
      <c r="BZ319" s="216"/>
      <c r="CA319" s="216"/>
      <c r="CB319" s="216"/>
      <c r="CC319" s="216"/>
      <c r="CD319" s="216"/>
      <c r="CE319" s="216"/>
      <c r="CF319" s="216"/>
      <c r="CG319" s="216"/>
      <c r="CH319" s="216"/>
      <c r="CI319" s="216"/>
      <c r="CJ319" s="216"/>
      <c r="CK319" s="216"/>
      <c r="CL319" s="216"/>
      <c r="CM319" s="216"/>
      <c r="CN319" s="216"/>
      <c r="CO319" s="216"/>
      <c r="CP319" s="216"/>
      <c r="CQ319" s="216"/>
    </row>
    <row r="320" spans="10:95" x14ac:dyDescent="0.25">
      <c r="J320" s="216"/>
      <c r="K320" s="217"/>
      <c r="L320" s="216"/>
      <c r="M320" s="216"/>
      <c r="N320" s="216"/>
      <c r="O320" s="216"/>
      <c r="P320" s="216"/>
      <c r="Q320" s="216"/>
      <c r="R320" s="216"/>
      <c r="S320" s="216"/>
      <c r="T320" s="216"/>
      <c r="U320" s="216"/>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216"/>
      <c r="BB320" s="216"/>
      <c r="BC320" s="216"/>
      <c r="BD320" s="216"/>
      <c r="BE320" s="216"/>
      <c r="BF320" s="216"/>
      <c r="BG320" s="216"/>
      <c r="BH320" s="216"/>
      <c r="BI320" s="216"/>
      <c r="BJ320" s="216"/>
      <c r="BK320" s="216"/>
      <c r="BL320" s="216"/>
      <c r="BM320" s="216"/>
      <c r="BN320" s="216"/>
      <c r="BO320" s="216"/>
      <c r="BP320" s="216"/>
      <c r="BQ320" s="216"/>
      <c r="BR320" s="216"/>
      <c r="BS320" s="216"/>
      <c r="BT320" s="216"/>
      <c r="BU320" s="216"/>
      <c r="BV320" s="216"/>
      <c r="BW320" s="216"/>
      <c r="BX320" s="216"/>
      <c r="BY320" s="216"/>
      <c r="BZ320" s="216"/>
      <c r="CA320" s="216"/>
      <c r="CB320" s="216"/>
      <c r="CC320" s="216"/>
      <c r="CD320" s="216"/>
      <c r="CE320" s="216"/>
      <c r="CF320" s="216"/>
      <c r="CG320" s="216"/>
      <c r="CH320" s="216"/>
      <c r="CI320" s="216"/>
      <c r="CJ320" s="216"/>
      <c r="CK320" s="216"/>
      <c r="CL320" s="216"/>
      <c r="CM320" s="216"/>
      <c r="CN320" s="216"/>
      <c r="CO320" s="216"/>
      <c r="CP320" s="216"/>
      <c r="CQ320" s="216"/>
    </row>
    <row r="321" spans="10:95" x14ac:dyDescent="0.25">
      <c r="J321" s="216"/>
      <c r="K321" s="217"/>
      <c r="L321" s="216"/>
      <c r="M321" s="216"/>
      <c r="N321" s="216"/>
      <c r="O321" s="216"/>
      <c r="P321" s="216"/>
      <c r="Q321" s="216"/>
      <c r="R321" s="216"/>
      <c r="S321" s="216"/>
      <c r="T321" s="216"/>
      <c r="U321" s="216"/>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216"/>
      <c r="BB321" s="216"/>
      <c r="BC321" s="216"/>
      <c r="BD321" s="216"/>
      <c r="BE321" s="216"/>
      <c r="BF321" s="216"/>
      <c r="BG321" s="216"/>
      <c r="BH321" s="216"/>
      <c r="BI321" s="216"/>
      <c r="BJ321" s="216"/>
      <c r="BK321" s="216"/>
      <c r="BL321" s="216"/>
      <c r="BM321" s="216"/>
      <c r="BN321" s="216"/>
      <c r="BO321" s="216"/>
      <c r="BP321" s="216"/>
      <c r="BQ321" s="216"/>
      <c r="BR321" s="216"/>
      <c r="BS321" s="216"/>
      <c r="BT321" s="216"/>
      <c r="BU321" s="216"/>
      <c r="BV321" s="216"/>
      <c r="BW321" s="216"/>
      <c r="BX321" s="216"/>
      <c r="BY321" s="216"/>
      <c r="BZ321" s="216"/>
      <c r="CA321" s="216"/>
      <c r="CB321" s="216"/>
      <c r="CC321" s="216"/>
      <c r="CD321" s="216"/>
      <c r="CE321" s="216"/>
      <c r="CF321" s="216"/>
      <c r="CG321" s="216"/>
      <c r="CH321" s="216"/>
      <c r="CI321" s="216"/>
      <c r="CJ321" s="216"/>
      <c r="CK321" s="216"/>
      <c r="CL321" s="216"/>
      <c r="CM321" s="216"/>
      <c r="CN321" s="216"/>
      <c r="CO321" s="216"/>
      <c r="CP321" s="216"/>
      <c r="CQ321" s="216"/>
    </row>
    <row r="322" spans="10:95" x14ac:dyDescent="0.25">
      <c r="J322" s="216"/>
      <c r="K322" s="217"/>
      <c r="L322" s="216"/>
      <c r="M322" s="216"/>
      <c r="N322" s="216"/>
      <c r="O322" s="216"/>
      <c r="P322" s="216"/>
      <c r="Q322" s="216"/>
      <c r="R322" s="216"/>
      <c r="S322" s="216"/>
      <c r="T322" s="216"/>
      <c r="U322" s="216"/>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216"/>
      <c r="BB322" s="216"/>
      <c r="BC322" s="216"/>
      <c r="BD322" s="216"/>
      <c r="BE322" s="216"/>
      <c r="BF322" s="216"/>
      <c r="BG322" s="216"/>
      <c r="BH322" s="216"/>
      <c r="BI322" s="216"/>
      <c r="BJ322" s="216"/>
      <c r="BK322" s="216"/>
      <c r="BL322" s="216"/>
      <c r="BM322" s="216"/>
      <c r="BN322" s="216"/>
      <c r="BO322" s="216"/>
      <c r="BP322" s="216"/>
      <c r="BQ322" s="216"/>
      <c r="BR322" s="216"/>
      <c r="BS322" s="216"/>
      <c r="BT322" s="216"/>
      <c r="BU322" s="216"/>
      <c r="BV322" s="216"/>
      <c r="BW322" s="216"/>
      <c r="BX322" s="216"/>
      <c r="BY322" s="216"/>
      <c r="BZ322" s="216"/>
      <c r="CA322" s="216"/>
      <c r="CB322" s="216"/>
      <c r="CC322" s="216"/>
      <c r="CD322" s="216"/>
      <c r="CE322" s="216"/>
      <c r="CF322" s="216"/>
      <c r="CG322" s="216"/>
      <c r="CH322" s="216"/>
      <c r="CI322" s="216"/>
      <c r="CJ322" s="216"/>
      <c r="CK322" s="216"/>
      <c r="CL322" s="216"/>
      <c r="CM322" s="216"/>
      <c r="CN322" s="216"/>
      <c r="CO322" s="216"/>
      <c r="CP322" s="216"/>
      <c r="CQ322" s="216"/>
    </row>
    <row r="323" spans="10:95" x14ac:dyDescent="0.25">
      <c r="J323" s="216"/>
      <c r="K323" s="217"/>
      <c r="L323" s="216"/>
      <c r="M323" s="216"/>
      <c r="N323" s="216"/>
      <c r="O323" s="216"/>
      <c r="P323" s="216"/>
      <c r="Q323" s="216"/>
      <c r="R323" s="216"/>
      <c r="S323" s="216"/>
      <c r="T323" s="216"/>
      <c r="U323" s="216"/>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216"/>
      <c r="BB323" s="216"/>
      <c r="BC323" s="216"/>
      <c r="BD323" s="216"/>
      <c r="BE323" s="216"/>
      <c r="BF323" s="216"/>
      <c r="BG323" s="216"/>
      <c r="BH323" s="216"/>
      <c r="BI323" s="216"/>
      <c r="BJ323" s="216"/>
      <c r="BK323" s="216"/>
      <c r="BL323" s="216"/>
      <c r="BM323" s="216"/>
      <c r="BN323" s="216"/>
      <c r="BO323" s="216"/>
      <c r="BP323" s="216"/>
      <c r="BQ323" s="216"/>
      <c r="BR323" s="216"/>
      <c r="BS323" s="216"/>
      <c r="BT323" s="216"/>
      <c r="BU323" s="216"/>
      <c r="BV323" s="216"/>
      <c r="BW323" s="216"/>
      <c r="BX323" s="216"/>
      <c r="BY323" s="216"/>
      <c r="BZ323" s="216"/>
      <c r="CA323" s="216"/>
      <c r="CB323" s="216"/>
      <c r="CC323" s="216"/>
      <c r="CD323" s="216"/>
      <c r="CE323" s="216"/>
      <c r="CF323" s="216"/>
      <c r="CG323" s="216"/>
      <c r="CH323" s="216"/>
      <c r="CI323" s="216"/>
      <c r="CJ323" s="216"/>
      <c r="CK323" s="216"/>
      <c r="CL323" s="216"/>
      <c r="CM323" s="216"/>
      <c r="CN323" s="216"/>
      <c r="CO323" s="216"/>
      <c r="CP323" s="216"/>
      <c r="CQ323" s="216"/>
    </row>
    <row r="324" spans="10:95" x14ac:dyDescent="0.25">
      <c r="J324" s="216"/>
      <c r="K324" s="217"/>
      <c r="L324" s="216"/>
      <c r="M324" s="216"/>
      <c r="N324" s="216"/>
      <c r="O324" s="216"/>
      <c r="P324" s="216"/>
      <c r="Q324" s="216"/>
      <c r="R324" s="216"/>
      <c r="S324" s="216"/>
      <c r="T324" s="216"/>
      <c r="U324" s="216"/>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216"/>
      <c r="BB324" s="216"/>
      <c r="BC324" s="216"/>
      <c r="BD324" s="216"/>
      <c r="BE324" s="216"/>
      <c r="BF324" s="216"/>
      <c r="BG324" s="216"/>
      <c r="BH324" s="216"/>
      <c r="BI324" s="216"/>
      <c r="BJ324" s="216"/>
      <c r="BK324" s="216"/>
      <c r="BL324" s="216"/>
      <c r="BM324" s="216"/>
      <c r="BN324" s="216"/>
      <c r="BO324" s="216"/>
      <c r="BP324" s="216"/>
      <c r="BQ324" s="216"/>
      <c r="BR324" s="216"/>
      <c r="BS324" s="216"/>
      <c r="BT324" s="216"/>
      <c r="BU324" s="216"/>
      <c r="BV324" s="216"/>
      <c r="BW324" s="216"/>
      <c r="BX324" s="216"/>
      <c r="BY324" s="216"/>
      <c r="BZ324" s="216"/>
      <c r="CA324" s="216"/>
      <c r="CB324" s="216"/>
      <c r="CC324" s="216"/>
      <c r="CD324" s="216"/>
      <c r="CE324" s="216"/>
      <c r="CF324" s="216"/>
      <c r="CG324" s="216"/>
      <c r="CH324" s="216"/>
      <c r="CI324" s="216"/>
      <c r="CJ324" s="216"/>
      <c r="CK324" s="216"/>
      <c r="CL324" s="216"/>
      <c r="CM324" s="216"/>
      <c r="CN324" s="216"/>
      <c r="CO324" s="216"/>
      <c r="CP324" s="216"/>
      <c r="CQ324" s="216"/>
    </row>
    <row r="325" spans="10:95" x14ac:dyDescent="0.25">
      <c r="J325" s="216"/>
      <c r="K325" s="217"/>
      <c r="L325" s="216"/>
      <c r="M325" s="216"/>
      <c r="N325" s="216"/>
      <c r="O325" s="216"/>
      <c r="P325" s="216"/>
      <c r="Q325" s="216"/>
      <c r="R325" s="216"/>
      <c r="S325" s="216"/>
      <c r="T325" s="216"/>
      <c r="U325" s="216"/>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216"/>
      <c r="BB325" s="216"/>
      <c r="BC325" s="216"/>
      <c r="BD325" s="216"/>
      <c r="BE325" s="216"/>
      <c r="BF325" s="216"/>
      <c r="BG325" s="216"/>
      <c r="BH325" s="216"/>
      <c r="BI325" s="216"/>
      <c r="BJ325" s="216"/>
      <c r="BK325" s="216"/>
      <c r="BL325" s="216"/>
      <c r="BM325" s="216"/>
      <c r="BN325" s="216"/>
      <c r="BO325" s="216"/>
      <c r="BP325" s="216"/>
      <c r="BQ325" s="216"/>
      <c r="BR325" s="216"/>
      <c r="BS325" s="216"/>
      <c r="BT325" s="216"/>
      <c r="BU325" s="216"/>
      <c r="BV325" s="216"/>
      <c r="BW325" s="216"/>
      <c r="BX325" s="216"/>
      <c r="BY325" s="216"/>
      <c r="BZ325" s="216"/>
      <c r="CA325" s="216"/>
      <c r="CB325" s="216"/>
      <c r="CC325" s="216"/>
      <c r="CD325" s="216"/>
      <c r="CE325" s="216"/>
      <c r="CF325" s="216"/>
      <c r="CG325" s="216"/>
      <c r="CH325" s="216"/>
      <c r="CI325" s="216"/>
      <c r="CJ325" s="216"/>
      <c r="CK325" s="216"/>
      <c r="CL325" s="216"/>
      <c r="CM325" s="216"/>
      <c r="CN325" s="216"/>
      <c r="CO325" s="216"/>
      <c r="CP325" s="216"/>
      <c r="CQ325" s="216"/>
    </row>
    <row r="326" spans="10:95" x14ac:dyDescent="0.25">
      <c r="J326" s="216"/>
      <c r="K326" s="217"/>
      <c r="L326" s="216"/>
      <c r="M326" s="216"/>
      <c r="N326" s="216"/>
      <c r="O326" s="216"/>
      <c r="P326" s="216"/>
      <c r="Q326" s="216"/>
      <c r="R326" s="216"/>
      <c r="S326" s="216"/>
      <c r="T326" s="216"/>
      <c r="U326" s="216"/>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216"/>
      <c r="BB326" s="216"/>
      <c r="BC326" s="216"/>
      <c r="BD326" s="216"/>
      <c r="BE326" s="216"/>
      <c r="BF326" s="216"/>
      <c r="BG326" s="216"/>
      <c r="BH326" s="216"/>
      <c r="BI326" s="216"/>
      <c r="BJ326" s="216"/>
      <c r="BK326" s="216"/>
      <c r="BL326" s="216"/>
      <c r="BM326" s="216"/>
      <c r="BN326" s="216"/>
      <c r="BO326" s="216"/>
      <c r="BP326" s="216"/>
      <c r="BQ326" s="216"/>
      <c r="BR326" s="216"/>
      <c r="BS326" s="216"/>
      <c r="BT326" s="216"/>
      <c r="BU326" s="216"/>
      <c r="BV326" s="216"/>
      <c r="BW326" s="216"/>
      <c r="BX326" s="216"/>
      <c r="BY326" s="216"/>
      <c r="BZ326" s="216"/>
      <c r="CA326" s="216"/>
      <c r="CB326" s="216"/>
      <c r="CC326" s="216"/>
      <c r="CD326" s="216"/>
      <c r="CE326" s="216"/>
      <c r="CF326" s="216"/>
      <c r="CG326" s="216"/>
      <c r="CH326" s="216"/>
      <c r="CI326" s="216"/>
      <c r="CJ326" s="216"/>
      <c r="CK326" s="216"/>
      <c r="CL326" s="216"/>
      <c r="CM326" s="216"/>
      <c r="CN326" s="216"/>
      <c r="CO326" s="216"/>
      <c r="CP326" s="216"/>
      <c r="CQ326" s="216"/>
    </row>
    <row r="327" spans="10:95" x14ac:dyDescent="0.25">
      <c r="J327" s="216"/>
      <c r="K327" s="217"/>
      <c r="L327" s="216"/>
      <c r="M327" s="216"/>
      <c r="N327" s="216"/>
      <c r="O327" s="216"/>
      <c r="P327" s="216"/>
      <c r="Q327" s="216"/>
      <c r="R327" s="216"/>
      <c r="S327" s="216"/>
      <c r="T327" s="216"/>
      <c r="U327" s="216"/>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216"/>
      <c r="BB327" s="216"/>
      <c r="BC327" s="216"/>
      <c r="BD327" s="216"/>
      <c r="BE327" s="216"/>
      <c r="BF327" s="216"/>
      <c r="BG327" s="216"/>
      <c r="BH327" s="216"/>
      <c r="BI327" s="216"/>
      <c r="BJ327" s="216"/>
      <c r="BK327" s="216"/>
      <c r="BL327" s="216"/>
      <c r="BM327" s="216"/>
      <c r="BN327" s="216"/>
      <c r="BO327" s="216"/>
      <c r="BP327" s="216"/>
      <c r="BQ327" s="216"/>
      <c r="BR327" s="216"/>
      <c r="BS327" s="216"/>
      <c r="BT327" s="216"/>
      <c r="BU327" s="216"/>
      <c r="BV327" s="216"/>
      <c r="BW327" s="216"/>
      <c r="BX327" s="216"/>
      <c r="BY327" s="216"/>
      <c r="BZ327" s="216"/>
      <c r="CA327" s="216"/>
      <c r="CB327" s="216"/>
      <c r="CC327" s="216"/>
      <c r="CD327" s="216"/>
      <c r="CE327" s="216"/>
      <c r="CF327" s="216"/>
      <c r="CG327" s="216"/>
      <c r="CH327" s="216"/>
      <c r="CI327" s="216"/>
      <c r="CJ327" s="216"/>
      <c r="CK327" s="216"/>
      <c r="CL327" s="216"/>
      <c r="CM327" s="216"/>
      <c r="CN327" s="216"/>
      <c r="CO327" s="216"/>
      <c r="CP327" s="216"/>
      <c r="CQ327" s="216"/>
    </row>
    <row r="328" spans="10:95" x14ac:dyDescent="0.25">
      <c r="J328" s="216"/>
      <c r="K328" s="217"/>
      <c r="L328" s="216"/>
      <c r="M328" s="216"/>
      <c r="N328" s="216"/>
      <c r="O328" s="216"/>
      <c r="P328" s="216"/>
      <c r="Q328" s="216"/>
      <c r="R328" s="216"/>
      <c r="S328" s="216"/>
      <c r="T328" s="216"/>
      <c r="U328" s="216"/>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216"/>
      <c r="BB328" s="216"/>
      <c r="BC328" s="216"/>
      <c r="BD328" s="216"/>
      <c r="BE328" s="216"/>
      <c r="BF328" s="216"/>
      <c r="BG328" s="216"/>
      <c r="BH328" s="216"/>
      <c r="BI328" s="216"/>
      <c r="BJ328" s="216"/>
      <c r="BK328" s="216"/>
      <c r="BL328" s="216"/>
      <c r="BM328" s="216"/>
      <c r="BN328" s="216"/>
      <c r="BO328" s="216"/>
      <c r="BP328" s="216"/>
      <c r="BQ328" s="216"/>
      <c r="BR328" s="216"/>
      <c r="BS328" s="216"/>
      <c r="BT328" s="216"/>
      <c r="BU328" s="216"/>
      <c r="BV328" s="216"/>
      <c r="BW328" s="216"/>
      <c r="BX328" s="216"/>
      <c r="BY328" s="216"/>
      <c r="BZ328" s="216"/>
      <c r="CA328" s="216"/>
      <c r="CB328" s="216"/>
      <c r="CC328" s="216"/>
      <c r="CD328" s="216"/>
      <c r="CE328" s="216"/>
      <c r="CF328" s="216"/>
      <c r="CG328" s="216"/>
      <c r="CH328" s="216"/>
      <c r="CI328" s="216"/>
      <c r="CJ328" s="216"/>
      <c r="CK328" s="216"/>
      <c r="CL328" s="216"/>
      <c r="CM328" s="216"/>
      <c r="CN328" s="216"/>
      <c r="CO328" s="216"/>
      <c r="CP328" s="216"/>
      <c r="CQ328" s="216"/>
    </row>
    <row r="329" spans="10:95" x14ac:dyDescent="0.25">
      <c r="J329" s="216"/>
      <c r="K329" s="217"/>
      <c r="L329" s="216"/>
      <c r="M329" s="216"/>
      <c r="N329" s="216"/>
      <c r="O329" s="216"/>
      <c r="P329" s="216"/>
      <c r="Q329" s="216"/>
      <c r="R329" s="216"/>
      <c r="S329" s="216"/>
      <c r="T329" s="216"/>
      <c r="U329" s="216"/>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216"/>
      <c r="BB329" s="216"/>
      <c r="BC329" s="216"/>
      <c r="BD329" s="216"/>
      <c r="BE329" s="216"/>
      <c r="BF329" s="216"/>
      <c r="BG329" s="216"/>
      <c r="BH329" s="216"/>
      <c r="BI329" s="216"/>
      <c r="BJ329" s="216"/>
      <c r="BK329" s="216"/>
      <c r="BL329" s="216"/>
      <c r="BM329" s="216"/>
      <c r="BN329" s="216"/>
      <c r="BO329" s="216"/>
      <c r="BP329" s="216"/>
      <c r="BQ329" s="216"/>
      <c r="BR329" s="216"/>
      <c r="BS329" s="216"/>
      <c r="BT329" s="216"/>
      <c r="BU329" s="216"/>
      <c r="BV329" s="216"/>
      <c r="BW329" s="216"/>
      <c r="BX329" s="216"/>
      <c r="BY329" s="216"/>
      <c r="BZ329" s="216"/>
      <c r="CA329" s="216"/>
      <c r="CB329" s="216"/>
      <c r="CC329" s="216"/>
      <c r="CD329" s="216"/>
      <c r="CE329" s="216"/>
      <c r="CF329" s="216"/>
      <c r="CG329" s="216"/>
      <c r="CH329" s="216"/>
      <c r="CI329" s="216"/>
      <c r="CJ329" s="216"/>
      <c r="CK329" s="216"/>
      <c r="CL329" s="216"/>
      <c r="CM329" s="216"/>
      <c r="CN329" s="216"/>
      <c r="CO329" s="216"/>
      <c r="CP329" s="216"/>
      <c r="CQ329" s="216"/>
    </row>
    <row r="330" spans="10:95" x14ac:dyDescent="0.25">
      <c r="J330" s="216"/>
      <c r="K330" s="217"/>
      <c r="L330" s="216"/>
      <c r="M330" s="216"/>
      <c r="N330" s="216"/>
      <c r="O330" s="216"/>
      <c r="P330" s="216"/>
      <c r="Q330" s="216"/>
      <c r="R330" s="216"/>
      <c r="S330" s="216"/>
      <c r="T330" s="216"/>
      <c r="U330" s="216"/>
      <c r="V330" s="216"/>
      <c r="W330" s="216"/>
      <c r="X330" s="216"/>
      <c r="Y330" s="216"/>
      <c r="Z330" s="216"/>
      <c r="AA330" s="216"/>
      <c r="AB330" s="216"/>
      <c r="AC330" s="216"/>
      <c r="AD330" s="216"/>
      <c r="AE330" s="216"/>
      <c r="AF330" s="216"/>
      <c r="AG330" s="216"/>
      <c r="AH330" s="216"/>
      <c r="AI330" s="216"/>
      <c r="AJ330" s="216"/>
      <c r="AK330" s="216"/>
      <c r="AL330" s="216"/>
      <c r="AM330" s="216"/>
      <c r="AN330" s="216"/>
      <c r="AO330" s="216"/>
      <c r="AP330" s="216"/>
      <c r="AQ330" s="216"/>
      <c r="AR330" s="216"/>
      <c r="AS330" s="216"/>
      <c r="AT330" s="216"/>
      <c r="AU330" s="216"/>
      <c r="AV330" s="216"/>
      <c r="AW330" s="216"/>
      <c r="AX330" s="216"/>
      <c r="AY330" s="216"/>
      <c r="AZ330" s="216"/>
      <c r="BA330" s="216"/>
      <c r="BB330" s="216"/>
      <c r="BC330" s="216"/>
      <c r="BD330" s="216"/>
      <c r="BE330" s="216"/>
      <c r="BF330" s="216"/>
      <c r="BG330" s="216"/>
      <c r="BH330" s="216"/>
      <c r="BI330" s="216"/>
      <c r="BJ330" s="216"/>
      <c r="BK330" s="216"/>
      <c r="BL330" s="216"/>
      <c r="BM330" s="216"/>
      <c r="BN330" s="216"/>
      <c r="BO330" s="216"/>
      <c r="BP330" s="216"/>
      <c r="BQ330" s="216"/>
      <c r="BR330" s="216"/>
      <c r="BS330" s="216"/>
      <c r="BT330" s="216"/>
      <c r="BU330" s="216"/>
      <c r="BV330" s="216"/>
      <c r="BW330" s="216"/>
      <c r="BX330" s="216"/>
      <c r="BY330" s="216"/>
      <c r="BZ330" s="216"/>
      <c r="CA330" s="216"/>
      <c r="CB330" s="216"/>
      <c r="CC330" s="216"/>
      <c r="CD330" s="216"/>
      <c r="CE330" s="216"/>
      <c r="CF330" s="216"/>
      <c r="CG330" s="216"/>
      <c r="CH330" s="216"/>
      <c r="CI330" s="216"/>
      <c r="CJ330" s="216"/>
      <c r="CK330" s="216"/>
      <c r="CL330" s="216"/>
      <c r="CM330" s="216"/>
      <c r="CN330" s="216"/>
      <c r="CO330" s="216"/>
      <c r="CP330" s="216"/>
      <c r="CQ330" s="216"/>
    </row>
    <row r="331" spans="10:95" x14ac:dyDescent="0.25">
      <c r="J331" s="216"/>
      <c r="K331" s="217"/>
      <c r="L331" s="216"/>
      <c r="M331" s="216"/>
      <c r="N331" s="216"/>
      <c r="O331" s="216"/>
      <c r="P331" s="216"/>
      <c r="Q331" s="216"/>
      <c r="R331" s="216"/>
      <c r="S331" s="216"/>
      <c r="T331" s="216"/>
      <c r="U331" s="216"/>
      <c r="V331" s="216"/>
      <c r="W331" s="216"/>
      <c r="X331" s="216"/>
      <c r="Y331" s="216"/>
      <c r="Z331" s="216"/>
      <c r="AA331" s="216"/>
      <c r="AB331" s="216"/>
      <c r="AC331" s="216"/>
      <c r="AD331" s="216"/>
      <c r="AE331" s="216"/>
      <c r="AF331" s="216"/>
      <c r="AG331" s="216"/>
      <c r="AH331" s="216"/>
      <c r="AI331" s="216"/>
      <c r="AJ331" s="216"/>
      <c r="AK331" s="216"/>
      <c r="AL331" s="216"/>
      <c r="AM331" s="216"/>
      <c r="AN331" s="216"/>
      <c r="AO331" s="216"/>
      <c r="AP331" s="216"/>
      <c r="AQ331" s="216"/>
      <c r="AR331" s="216"/>
      <c r="AS331" s="216"/>
      <c r="AT331" s="216"/>
      <c r="AU331" s="216"/>
      <c r="AV331" s="216"/>
      <c r="AW331" s="216"/>
      <c r="AX331" s="216"/>
      <c r="AY331" s="216"/>
      <c r="AZ331" s="216"/>
      <c r="BA331" s="216"/>
      <c r="BB331" s="216"/>
      <c r="BC331" s="216"/>
      <c r="BD331" s="216"/>
      <c r="BE331" s="216"/>
      <c r="BF331" s="216"/>
      <c r="BG331" s="216"/>
      <c r="BH331" s="216"/>
      <c r="BI331" s="216"/>
      <c r="BJ331" s="216"/>
      <c r="BK331" s="216"/>
      <c r="BL331" s="216"/>
      <c r="BM331" s="216"/>
      <c r="BN331" s="216"/>
      <c r="BO331" s="216"/>
      <c r="BP331" s="216"/>
      <c r="BQ331" s="216"/>
      <c r="BR331" s="216"/>
      <c r="BS331" s="216"/>
      <c r="BT331" s="216"/>
      <c r="BU331" s="216"/>
      <c r="BV331" s="216"/>
      <c r="BW331" s="216"/>
      <c r="BX331" s="216"/>
      <c r="BY331" s="216"/>
      <c r="BZ331" s="216"/>
      <c r="CA331" s="216"/>
      <c r="CB331" s="216"/>
      <c r="CC331" s="216"/>
      <c r="CD331" s="216"/>
      <c r="CE331" s="216"/>
      <c r="CF331" s="216"/>
      <c r="CG331" s="216"/>
      <c r="CH331" s="216"/>
      <c r="CI331" s="216"/>
      <c r="CJ331" s="216"/>
      <c r="CK331" s="216"/>
      <c r="CL331" s="216"/>
      <c r="CM331" s="216"/>
      <c r="CN331" s="216"/>
      <c r="CO331" s="216"/>
      <c r="CP331" s="216"/>
      <c r="CQ331" s="216"/>
    </row>
    <row r="332" spans="10:95" x14ac:dyDescent="0.25">
      <c r="J332" s="216"/>
      <c r="K332" s="217"/>
      <c r="L332" s="216"/>
      <c r="M332" s="216"/>
      <c r="N332" s="216"/>
      <c r="O332" s="216"/>
      <c r="P332" s="216"/>
      <c r="Q332" s="216"/>
      <c r="R332" s="216"/>
      <c r="S332" s="216"/>
      <c r="T332" s="216"/>
      <c r="U332" s="216"/>
      <c r="V332" s="216"/>
      <c r="W332" s="216"/>
      <c r="X332" s="216"/>
      <c r="Y332" s="216"/>
      <c r="Z332" s="216"/>
      <c r="AA332" s="216"/>
      <c r="AB332" s="216"/>
      <c r="AC332" s="216"/>
      <c r="AD332" s="216"/>
      <c r="AE332" s="216"/>
      <c r="AF332" s="216"/>
      <c r="AG332" s="216"/>
      <c r="AH332" s="216"/>
      <c r="AI332" s="216"/>
      <c r="AJ332" s="216"/>
      <c r="AK332" s="216"/>
      <c r="AL332" s="216"/>
      <c r="AM332" s="216"/>
      <c r="AN332" s="216"/>
      <c r="AO332" s="216"/>
      <c r="AP332" s="216"/>
      <c r="AQ332" s="216"/>
      <c r="AR332" s="216"/>
      <c r="AS332" s="216"/>
      <c r="AT332" s="216"/>
      <c r="AU332" s="216"/>
      <c r="AV332" s="216"/>
      <c r="AW332" s="216"/>
      <c r="AX332" s="216"/>
      <c r="AY332" s="216"/>
      <c r="AZ332" s="216"/>
      <c r="BA332" s="216"/>
      <c r="BB332" s="216"/>
      <c r="BC332" s="216"/>
      <c r="BD332" s="216"/>
      <c r="BE332" s="216"/>
      <c r="BF332" s="216"/>
      <c r="BG332" s="216"/>
      <c r="BH332" s="216"/>
      <c r="BI332" s="216"/>
      <c r="BJ332" s="216"/>
      <c r="BK332" s="216"/>
      <c r="BL332" s="216"/>
      <c r="BM332" s="216"/>
      <c r="BN332" s="216"/>
      <c r="BO332" s="216"/>
      <c r="BP332" s="216"/>
      <c r="BQ332" s="216"/>
      <c r="BR332" s="216"/>
      <c r="BS332" s="216"/>
      <c r="BT332" s="216"/>
      <c r="BU332" s="216"/>
      <c r="BV332" s="216"/>
      <c r="BW332" s="216"/>
      <c r="BX332" s="216"/>
      <c r="BY332" s="216"/>
      <c r="BZ332" s="216"/>
      <c r="CA332" s="216"/>
      <c r="CB332" s="216"/>
      <c r="CC332" s="216"/>
      <c r="CD332" s="216"/>
      <c r="CE332" s="216"/>
      <c r="CF332" s="216"/>
      <c r="CG332" s="216"/>
      <c r="CH332" s="216"/>
      <c r="CI332" s="216"/>
      <c r="CJ332" s="216"/>
      <c r="CK332" s="216"/>
      <c r="CL332" s="216"/>
      <c r="CM332" s="216"/>
      <c r="CN332" s="216"/>
      <c r="CO332" s="216"/>
      <c r="CP332" s="216"/>
      <c r="CQ332" s="216"/>
    </row>
    <row r="333" spans="10:95" x14ac:dyDescent="0.25">
      <c r="J333" s="216"/>
      <c r="K333" s="217"/>
      <c r="L333" s="216"/>
      <c r="M333" s="216"/>
      <c r="N333" s="216"/>
      <c r="O333" s="216"/>
      <c r="P333" s="216"/>
      <c r="Q333" s="216"/>
      <c r="R333" s="216"/>
      <c r="S333" s="216"/>
      <c r="T333" s="216"/>
      <c r="U333" s="216"/>
      <c r="V333" s="216"/>
      <c r="W333" s="216"/>
      <c r="X333" s="216"/>
      <c r="Y333" s="216"/>
      <c r="Z333" s="216"/>
      <c r="AA333" s="216"/>
      <c r="AB333" s="216"/>
      <c r="AC333" s="216"/>
      <c r="AD333" s="216"/>
      <c r="AE333" s="216"/>
      <c r="AF333" s="216"/>
      <c r="AG333" s="216"/>
      <c r="AH333" s="216"/>
      <c r="AI333" s="216"/>
      <c r="AJ333" s="216"/>
      <c r="AK333" s="216"/>
      <c r="AL333" s="216"/>
      <c r="AM333" s="216"/>
      <c r="AN333" s="216"/>
      <c r="AO333" s="216"/>
      <c r="AP333" s="216"/>
      <c r="AQ333" s="216"/>
      <c r="AR333" s="216"/>
      <c r="AS333" s="216"/>
      <c r="AT333" s="216"/>
      <c r="AU333" s="216"/>
      <c r="AV333" s="216"/>
      <c r="AW333" s="216"/>
      <c r="AX333" s="216"/>
      <c r="AY333" s="216"/>
      <c r="AZ333" s="216"/>
      <c r="BA333" s="216"/>
      <c r="BB333" s="216"/>
      <c r="BC333" s="216"/>
      <c r="BD333" s="216"/>
      <c r="BE333" s="216"/>
      <c r="BF333" s="216"/>
      <c r="BG333" s="216"/>
      <c r="BH333" s="216"/>
      <c r="BI333" s="216"/>
      <c r="BJ333" s="216"/>
      <c r="BK333" s="216"/>
      <c r="BL333" s="216"/>
      <c r="BM333" s="216"/>
      <c r="BN333" s="216"/>
      <c r="BO333" s="216"/>
      <c r="BP333" s="216"/>
      <c r="BQ333" s="216"/>
      <c r="BR333" s="216"/>
      <c r="BS333" s="216"/>
      <c r="BT333" s="216"/>
      <c r="BU333" s="216"/>
      <c r="BV333" s="216"/>
      <c r="BW333" s="216"/>
      <c r="BX333" s="216"/>
      <c r="BY333" s="216"/>
      <c r="BZ333" s="216"/>
      <c r="CA333" s="216"/>
      <c r="CB333" s="216"/>
      <c r="CC333" s="216"/>
      <c r="CD333" s="216"/>
      <c r="CE333" s="216"/>
      <c r="CF333" s="216"/>
      <c r="CG333" s="216"/>
      <c r="CH333" s="216"/>
      <c r="CI333" s="216"/>
      <c r="CJ333" s="216"/>
      <c r="CK333" s="216"/>
      <c r="CL333" s="216"/>
      <c r="CM333" s="216"/>
      <c r="CN333" s="216"/>
      <c r="CO333" s="216"/>
      <c r="CP333" s="216"/>
      <c r="CQ333" s="216"/>
    </row>
    <row r="334" spans="10:95" x14ac:dyDescent="0.25">
      <c r="J334" s="216"/>
      <c r="K334" s="217"/>
      <c r="L334" s="216"/>
      <c r="M334" s="216"/>
      <c r="N334" s="216"/>
      <c r="O334" s="216"/>
      <c r="P334" s="216"/>
      <c r="Q334" s="216"/>
      <c r="R334" s="216"/>
      <c r="S334" s="216"/>
      <c r="T334" s="216"/>
      <c r="U334" s="216"/>
      <c r="V334" s="216"/>
      <c r="W334" s="216"/>
      <c r="X334" s="216"/>
      <c r="Y334" s="216"/>
      <c r="Z334" s="216"/>
      <c r="AA334" s="216"/>
      <c r="AB334" s="216"/>
      <c r="AC334" s="216"/>
      <c r="AD334" s="216"/>
      <c r="AE334" s="216"/>
      <c r="AF334" s="216"/>
      <c r="AG334" s="216"/>
      <c r="AH334" s="216"/>
      <c r="AI334" s="216"/>
      <c r="AJ334" s="216"/>
      <c r="AK334" s="216"/>
      <c r="AL334" s="216"/>
      <c r="AM334" s="216"/>
      <c r="AN334" s="216"/>
      <c r="AO334" s="216"/>
      <c r="AP334" s="216"/>
      <c r="AQ334" s="216"/>
      <c r="AR334" s="216"/>
      <c r="AS334" s="216"/>
      <c r="AT334" s="216"/>
      <c r="AU334" s="216"/>
      <c r="AV334" s="216"/>
      <c r="AW334" s="216"/>
      <c r="AX334" s="216"/>
      <c r="AY334" s="216"/>
      <c r="AZ334" s="216"/>
      <c r="BA334" s="216"/>
      <c r="BB334" s="216"/>
      <c r="BC334" s="216"/>
      <c r="BD334" s="216"/>
      <c r="BE334" s="216"/>
      <c r="BF334" s="216"/>
      <c r="BG334" s="216"/>
      <c r="BH334" s="216"/>
      <c r="BI334" s="216"/>
      <c r="BJ334" s="216"/>
      <c r="BK334" s="216"/>
      <c r="BL334" s="216"/>
      <c r="BM334" s="216"/>
      <c r="BN334" s="216"/>
      <c r="BO334" s="216"/>
      <c r="BP334" s="216"/>
      <c r="BQ334" s="216"/>
      <c r="BR334" s="216"/>
      <c r="BS334" s="216"/>
      <c r="BT334" s="216"/>
      <c r="BU334" s="216"/>
      <c r="BV334" s="216"/>
      <c r="BW334" s="216"/>
      <c r="BX334" s="216"/>
      <c r="BY334" s="216"/>
      <c r="BZ334" s="216"/>
      <c r="CA334" s="216"/>
      <c r="CB334" s="216"/>
      <c r="CC334" s="216"/>
      <c r="CD334" s="216"/>
      <c r="CE334" s="216"/>
      <c r="CF334" s="216"/>
      <c r="CG334" s="216"/>
      <c r="CH334" s="216"/>
      <c r="CI334" s="216"/>
      <c r="CJ334" s="216"/>
      <c r="CK334" s="216"/>
      <c r="CL334" s="216"/>
      <c r="CM334" s="216"/>
      <c r="CN334" s="216"/>
      <c r="CO334" s="216"/>
      <c r="CP334" s="216"/>
      <c r="CQ334" s="216"/>
    </row>
    <row r="335" spans="10:95" x14ac:dyDescent="0.25">
      <c r="J335" s="216"/>
      <c r="K335" s="217"/>
      <c r="L335" s="216"/>
      <c r="M335" s="216"/>
      <c r="N335" s="216"/>
      <c r="O335" s="216"/>
      <c r="P335" s="216"/>
      <c r="Q335" s="216"/>
      <c r="R335" s="216"/>
      <c r="S335" s="216"/>
      <c r="T335" s="216"/>
      <c r="U335" s="216"/>
      <c r="V335" s="216"/>
      <c r="W335" s="216"/>
      <c r="X335" s="216"/>
      <c r="Y335" s="216"/>
      <c r="Z335" s="216"/>
      <c r="AA335" s="216"/>
      <c r="AB335" s="216"/>
      <c r="AC335" s="216"/>
      <c r="AD335" s="216"/>
      <c r="AE335" s="216"/>
      <c r="AF335" s="216"/>
      <c r="AG335" s="216"/>
      <c r="AH335" s="216"/>
      <c r="AI335" s="216"/>
      <c r="AJ335" s="216"/>
      <c r="AK335" s="216"/>
      <c r="AL335" s="216"/>
      <c r="AM335" s="216"/>
      <c r="AN335" s="216"/>
      <c r="AO335" s="216"/>
      <c r="AP335" s="216"/>
      <c r="AQ335" s="216"/>
      <c r="AR335" s="216"/>
      <c r="AS335" s="216"/>
      <c r="AT335" s="216"/>
      <c r="AU335" s="216"/>
      <c r="AV335" s="216"/>
      <c r="AW335" s="216"/>
      <c r="AX335" s="216"/>
      <c r="AY335" s="216"/>
      <c r="AZ335" s="216"/>
      <c r="BA335" s="216"/>
      <c r="BB335" s="216"/>
      <c r="BC335" s="216"/>
      <c r="BD335" s="216"/>
      <c r="BE335" s="216"/>
      <c r="BF335" s="216"/>
      <c r="BG335" s="216"/>
      <c r="BH335" s="216"/>
      <c r="BI335" s="216"/>
      <c r="BJ335" s="216"/>
      <c r="BK335" s="216"/>
      <c r="BL335" s="216"/>
      <c r="BM335" s="216"/>
      <c r="BN335" s="216"/>
      <c r="BO335" s="216"/>
      <c r="BP335" s="216"/>
      <c r="BQ335" s="216"/>
      <c r="BR335" s="216"/>
      <c r="BS335" s="216"/>
      <c r="BT335" s="216"/>
      <c r="BU335" s="216"/>
      <c r="BV335" s="216"/>
      <c r="BW335" s="216"/>
      <c r="BX335" s="216"/>
      <c r="BY335" s="216"/>
      <c r="BZ335" s="216"/>
      <c r="CA335" s="216"/>
      <c r="CB335" s="216"/>
      <c r="CC335" s="216"/>
      <c r="CD335" s="216"/>
      <c r="CE335" s="216"/>
      <c r="CF335" s="216"/>
      <c r="CG335" s="216"/>
      <c r="CH335" s="216"/>
      <c r="CI335" s="216"/>
      <c r="CJ335" s="216"/>
      <c r="CK335" s="216"/>
      <c r="CL335" s="216"/>
      <c r="CM335" s="216"/>
      <c r="CN335" s="216"/>
      <c r="CO335" s="216"/>
      <c r="CP335" s="216"/>
      <c r="CQ335" s="216"/>
    </row>
    <row r="336" spans="10:95" x14ac:dyDescent="0.25">
      <c r="J336" s="216"/>
      <c r="K336" s="217"/>
      <c r="L336" s="216"/>
      <c r="M336" s="216"/>
      <c r="N336" s="216"/>
      <c r="O336" s="216"/>
      <c r="P336" s="216"/>
      <c r="Q336" s="216"/>
      <c r="R336" s="216"/>
      <c r="S336" s="216"/>
      <c r="T336" s="216"/>
      <c r="U336" s="216"/>
      <c r="V336" s="216"/>
      <c r="W336" s="216"/>
      <c r="X336" s="216"/>
      <c r="Y336" s="216"/>
      <c r="Z336" s="216"/>
      <c r="AA336" s="216"/>
      <c r="AB336" s="216"/>
      <c r="AC336" s="216"/>
      <c r="AD336" s="216"/>
      <c r="AE336" s="216"/>
      <c r="AF336" s="216"/>
      <c r="AG336" s="216"/>
      <c r="AH336" s="216"/>
      <c r="AI336" s="216"/>
      <c r="AJ336" s="216"/>
      <c r="AK336" s="216"/>
      <c r="AL336" s="216"/>
      <c r="AM336" s="216"/>
      <c r="AN336" s="216"/>
      <c r="AO336" s="216"/>
      <c r="AP336" s="216"/>
      <c r="AQ336" s="216"/>
      <c r="AR336" s="216"/>
      <c r="AS336" s="216"/>
      <c r="AT336" s="216"/>
      <c r="AU336" s="216"/>
      <c r="AV336" s="216"/>
      <c r="AW336" s="216"/>
      <c r="AX336" s="216"/>
      <c r="AY336" s="216"/>
      <c r="AZ336" s="216"/>
      <c r="BA336" s="216"/>
      <c r="BB336" s="216"/>
      <c r="BC336" s="216"/>
      <c r="BD336" s="216"/>
      <c r="BE336" s="216"/>
      <c r="BF336" s="216"/>
      <c r="BG336" s="216"/>
      <c r="BH336" s="216"/>
      <c r="BI336" s="216"/>
      <c r="BJ336" s="216"/>
      <c r="BK336" s="216"/>
      <c r="BL336" s="216"/>
      <c r="BM336" s="216"/>
      <c r="BN336" s="216"/>
      <c r="BO336" s="216"/>
      <c r="BP336" s="216"/>
      <c r="BQ336" s="216"/>
      <c r="BR336" s="216"/>
      <c r="BS336" s="216"/>
      <c r="BT336" s="216"/>
      <c r="BU336" s="216"/>
      <c r="BV336" s="216"/>
      <c r="BW336" s="216"/>
      <c r="BX336" s="216"/>
      <c r="BY336" s="216"/>
      <c r="BZ336" s="216"/>
      <c r="CA336" s="216"/>
      <c r="CB336" s="216"/>
      <c r="CC336" s="216"/>
      <c r="CD336" s="216"/>
      <c r="CE336" s="216"/>
      <c r="CF336" s="216"/>
      <c r="CG336" s="216"/>
      <c r="CH336" s="216"/>
      <c r="CI336" s="216"/>
      <c r="CJ336" s="216"/>
      <c r="CK336" s="216"/>
      <c r="CL336" s="216"/>
      <c r="CM336" s="216"/>
      <c r="CN336" s="216"/>
      <c r="CO336" s="216"/>
      <c r="CP336" s="216"/>
      <c r="CQ336" s="216"/>
    </row>
    <row r="337" spans="10:95" x14ac:dyDescent="0.25">
      <c r="J337" s="216"/>
      <c r="K337" s="217"/>
      <c r="L337" s="216"/>
      <c r="M337" s="216"/>
      <c r="N337" s="216"/>
      <c r="O337" s="216"/>
      <c r="P337" s="216"/>
      <c r="Q337" s="216"/>
      <c r="R337" s="216"/>
      <c r="S337" s="216"/>
      <c r="T337" s="216"/>
      <c r="U337" s="216"/>
      <c r="V337" s="216"/>
      <c r="W337" s="216"/>
      <c r="X337" s="216"/>
      <c r="Y337" s="216"/>
      <c r="Z337" s="216"/>
      <c r="AA337" s="216"/>
      <c r="AB337" s="216"/>
      <c r="AC337" s="216"/>
      <c r="AD337" s="216"/>
      <c r="AE337" s="216"/>
      <c r="AF337" s="216"/>
      <c r="AG337" s="216"/>
      <c r="AH337" s="216"/>
      <c r="AI337" s="216"/>
      <c r="AJ337" s="216"/>
      <c r="AK337" s="216"/>
      <c r="AL337" s="216"/>
      <c r="AM337" s="216"/>
      <c r="AN337" s="216"/>
      <c r="AO337" s="216"/>
      <c r="AP337" s="216"/>
      <c r="AQ337" s="216"/>
      <c r="AR337" s="216"/>
      <c r="AS337" s="216"/>
      <c r="AT337" s="216"/>
      <c r="AU337" s="216"/>
      <c r="AV337" s="216"/>
      <c r="AW337" s="216"/>
      <c r="AX337" s="216"/>
      <c r="AY337" s="216"/>
      <c r="AZ337" s="216"/>
      <c r="BA337" s="216"/>
      <c r="BB337" s="216"/>
      <c r="BC337" s="216"/>
      <c r="BD337" s="216"/>
      <c r="BE337" s="216"/>
      <c r="BF337" s="216"/>
      <c r="BG337" s="216"/>
      <c r="BH337" s="216"/>
      <c r="BI337" s="216"/>
      <c r="BJ337" s="216"/>
      <c r="BK337" s="216"/>
      <c r="BL337" s="216"/>
      <c r="BM337" s="216"/>
      <c r="BN337" s="216"/>
      <c r="BO337" s="216"/>
      <c r="BP337" s="216"/>
      <c r="BQ337" s="216"/>
      <c r="BR337" s="216"/>
      <c r="BS337" s="216"/>
      <c r="BT337" s="216"/>
      <c r="BU337" s="216"/>
      <c r="BV337" s="216"/>
      <c r="BW337" s="216"/>
      <c r="BX337" s="216"/>
      <c r="BY337" s="216"/>
      <c r="BZ337" s="216"/>
      <c r="CA337" s="216"/>
      <c r="CB337" s="216"/>
      <c r="CC337" s="216"/>
      <c r="CD337" s="216"/>
      <c r="CE337" s="216"/>
      <c r="CF337" s="216"/>
      <c r="CG337" s="216"/>
      <c r="CH337" s="216"/>
      <c r="CI337" s="216"/>
      <c r="CJ337" s="216"/>
      <c r="CK337" s="216"/>
      <c r="CL337" s="216"/>
      <c r="CM337" s="216"/>
      <c r="CN337" s="216"/>
      <c r="CO337" s="216"/>
      <c r="CP337" s="216"/>
      <c r="CQ337" s="216"/>
    </row>
    <row r="338" spans="10:95" x14ac:dyDescent="0.25">
      <c r="J338" s="216"/>
      <c r="K338" s="217"/>
      <c r="L338" s="216"/>
      <c r="M338" s="216"/>
      <c r="N338" s="216"/>
      <c r="O338" s="216"/>
      <c r="P338" s="216"/>
      <c r="Q338" s="216"/>
      <c r="R338" s="216"/>
      <c r="S338" s="216"/>
      <c r="T338" s="216"/>
      <c r="U338" s="216"/>
      <c r="V338" s="216"/>
      <c r="W338" s="216"/>
      <c r="X338" s="216"/>
      <c r="Y338" s="216"/>
      <c r="Z338" s="216"/>
      <c r="AA338" s="216"/>
      <c r="AB338" s="216"/>
      <c r="AC338" s="216"/>
      <c r="AD338" s="216"/>
      <c r="AE338" s="216"/>
      <c r="AF338" s="216"/>
      <c r="AG338" s="216"/>
      <c r="AH338" s="216"/>
      <c r="AI338" s="216"/>
      <c r="AJ338" s="216"/>
      <c r="AK338" s="216"/>
      <c r="AL338" s="216"/>
      <c r="AM338" s="216"/>
      <c r="AN338" s="216"/>
      <c r="AO338" s="216"/>
      <c r="AP338" s="216"/>
      <c r="AQ338" s="216"/>
      <c r="AR338" s="216"/>
      <c r="AS338" s="216"/>
      <c r="AT338" s="216"/>
      <c r="AU338" s="216"/>
      <c r="AV338" s="216"/>
      <c r="AW338" s="216"/>
      <c r="AX338" s="216"/>
      <c r="AY338" s="216"/>
      <c r="AZ338" s="216"/>
      <c r="BA338" s="216"/>
      <c r="BB338" s="216"/>
      <c r="BC338" s="216"/>
      <c r="BD338" s="216"/>
      <c r="BE338" s="216"/>
      <c r="BF338" s="216"/>
      <c r="BG338" s="216"/>
      <c r="BH338" s="216"/>
      <c r="BI338" s="216"/>
      <c r="BJ338" s="216"/>
      <c r="BK338" s="216"/>
      <c r="BL338" s="216"/>
      <c r="BM338" s="216"/>
      <c r="BN338" s="216"/>
      <c r="BO338" s="216"/>
      <c r="BP338" s="216"/>
      <c r="BQ338" s="216"/>
      <c r="BR338" s="216"/>
      <c r="BS338" s="216"/>
      <c r="BT338" s="216"/>
      <c r="BU338" s="216"/>
      <c r="BV338" s="216"/>
      <c r="BW338" s="216"/>
      <c r="BX338" s="216"/>
      <c r="BY338" s="216"/>
      <c r="BZ338" s="216"/>
      <c r="CA338" s="216"/>
      <c r="CB338" s="216"/>
      <c r="CC338" s="216"/>
      <c r="CD338" s="216"/>
      <c r="CE338" s="216"/>
      <c r="CF338" s="216"/>
      <c r="CG338" s="216"/>
      <c r="CH338" s="216"/>
      <c r="CI338" s="216"/>
      <c r="CJ338" s="216"/>
      <c r="CK338" s="216"/>
      <c r="CL338" s="216"/>
      <c r="CM338" s="216"/>
      <c r="CN338" s="216"/>
      <c r="CO338" s="216"/>
      <c r="CP338" s="216"/>
      <c r="CQ338" s="216"/>
    </row>
    <row r="339" spans="10:95" x14ac:dyDescent="0.25">
      <c r="J339" s="216"/>
      <c r="K339" s="217"/>
      <c r="L339" s="216"/>
      <c r="M339" s="216"/>
      <c r="N339" s="216"/>
      <c r="O339" s="216"/>
      <c r="P339" s="216"/>
      <c r="Q339" s="216"/>
      <c r="R339" s="216"/>
      <c r="S339" s="216"/>
      <c r="T339" s="216"/>
      <c r="U339" s="216"/>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6"/>
      <c r="BB339" s="216"/>
      <c r="BC339" s="216"/>
      <c r="BD339" s="216"/>
      <c r="BE339" s="216"/>
      <c r="BF339" s="216"/>
      <c r="BG339" s="216"/>
      <c r="BH339" s="216"/>
      <c r="BI339" s="216"/>
      <c r="BJ339" s="216"/>
      <c r="BK339" s="216"/>
      <c r="BL339" s="216"/>
      <c r="BM339" s="216"/>
      <c r="BN339" s="216"/>
      <c r="BO339" s="216"/>
      <c r="BP339" s="216"/>
      <c r="BQ339" s="216"/>
      <c r="BR339" s="216"/>
      <c r="BS339" s="216"/>
      <c r="BT339" s="216"/>
      <c r="BU339" s="216"/>
      <c r="BV339" s="216"/>
      <c r="BW339" s="216"/>
      <c r="BX339" s="216"/>
      <c r="BY339" s="216"/>
      <c r="BZ339" s="216"/>
      <c r="CA339" s="216"/>
      <c r="CB339" s="216"/>
      <c r="CC339" s="216"/>
      <c r="CD339" s="216"/>
      <c r="CE339" s="216"/>
      <c r="CF339" s="216"/>
      <c r="CG339" s="216"/>
      <c r="CH339" s="216"/>
      <c r="CI339" s="216"/>
      <c r="CJ339" s="216"/>
      <c r="CK339" s="216"/>
      <c r="CL339" s="216"/>
      <c r="CM339" s="216"/>
      <c r="CN339" s="216"/>
      <c r="CO339" s="216"/>
      <c r="CP339" s="216"/>
      <c r="CQ339" s="216"/>
    </row>
    <row r="340" spans="10:95" x14ac:dyDescent="0.25">
      <c r="J340" s="216"/>
      <c r="K340" s="217"/>
      <c r="L340" s="216"/>
      <c r="M340" s="216"/>
      <c r="N340" s="216"/>
      <c r="O340" s="216"/>
      <c r="P340" s="216"/>
      <c r="Q340" s="216"/>
      <c r="R340" s="216"/>
      <c r="S340" s="216"/>
      <c r="T340" s="216"/>
      <c r="U340" s="216"/>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16"/>
      <c r="BB340" s="216"/>
      <c r="BC340" s="216"/>
      <c r="BD340" s="216"/>
      <c r="BE340" s="216"/>
      <c r="BF340" s="216"/>
      <c r="BG340" s="216"/>
      <c r="BH340" s="216"/>
      <c r="BI340" s="216"/>
      <c r="BJ340" s="216"/>
      <c r="BK340" s="216"/>
      <c r="BL340" s="216"/>
      <c r="BM340" s="216"/>
      <c r="BN340" s="216"/>
      <c r="BO340" s="216"/>
      <c r="BP340" s="216"/>
      <c r="BQ340" s="216"/>
      <c r="BR340" s="216"/>
      <c r="BS340" s="216"/>
      <c r="BT340" s="216"/>
      <c r="BU340" s="216"/>
      <c r="BV340" s="216"/>
      <c r="BW340" s="216"/>
      <c r="BX340" s="216"/>
      <c r="BY340" s="216"/>
      <c r="BZ340" s="216"/>
      <c r="CA340" s="216"/>
      <c r="CB340" s="216"/>
      <c r="CC340" s="216"/>
      <c r="CD340" s="216"/>
      <c r="CE340" s="216"/>
      <c r="CF340" s="216"/>
      <c r="CG340" s="216"/>
      <c r="CH340" s="216"/>
      <c r="CI340" s="216"/>
      <c r="CJ340" s="216"/>
      <c r="CK340" s="216"/>
      <c r="CL340" s="216"/>
      <c r="CM340" s="216"/>
      <c r="CN340" s="216"/>
      <c r="CO340" s="216"/>
      <c r="CP340" s="216"/>
      <c r="CQ340" s="216"/>
    </row>
    <row r="341" spans="10:95" x14ac:dyDescent="0.25">
      <c r="J341" s="216"/>
      <c r="K341" s="217"/>
      <c r="L341" s="216"/>
      <c r="M341" s="216"/>
      <c r="N341" s="216"/>
      <c r="O341" s="216"/>
      <c r="P341" s="216"/>
      <c r="Q341" s="216"/>
      <c r="R341" s="216"/>
      <c r="S341" s="216"/>
      <c r="T341" s="216"/>
      <c r="U341" s="216"/>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16"/>
      <c r="BB341" s="216"/>
      <c r="BC341" s="216"/>
      <c r="BD341" s="216"/>
      <c r="BE341" s="216"/>
      <c r="BF341" s="216"/>
      <c r="BG341" s="216"/>
      <c r="BH341" s="216"/>
      <c r="BI341" s="216"/>
      <c r="BJ341" s="216"/>
      <c r="BK341" s="216"/>
      <c r="BL341" s="216"/>
      <c r="BM341" s="216"/>
      <c r="BN341" s="216"/>
      <c r="BO341" s="216"/>
      <c r="BP341" s="216"/>
      <c r="BQ341" s="216"/>
      <c r="BR341" s="216"/>
      <c r="BS341" s="216"/>
      <c r="BT341" s="216"/>
      <c r="BU341" s="216"/>
      <c r="BV341" s="216"/>
      <c r="BW341" s="216"/>
      <c r="BX341" s="216"/>
      <c r="BY341" s="216"/>
      <c r="BZ341" s="216"/>
      <c r="CA341" s="216"/>
      <c r="CB341" s="216"/>
      <c r="CC341" s="216"/>
      <c r="CD341" s="216"/>
      <c r="CE341" s="216"/>
      <c r="CF341" s="216"/>
      <c r="CG341" s="216"/>
      <c r="CH341" s="216"/>
      <c r="CI341" s="216"/>
      <c r="CJ341" s="216"/>
      <c r="CK341" s="216"/>
      <c r="CL341" s="216"/>
      <c r="CM341" s="216"/>
      <c r="CN341" s="216"/>
      <c r="CO341" s="216"/>
      <c r="CP341" s="216"/>
      <c r="CQ341" s="216"/>
    </row>
    <row r="342" spans="10:95" x14ac:dyDescent="0.25">
      <c r="J342" s="216"/>
      <c r="K342" s="217"/>
      <c r="L342" s="216"/>
      <c r="M342" s="216"/>
      <c r="N342" s="216"/>
      <c r="O342" s="216"/>
      <c r="P342" s="216"/>
      <c r="Q342" s="216"/>
      <c r="R342" s="216"/>
      <c r="S342" s="216"/>
      <c r="T342" s="216"/>
      <c r="U342" s="216"/>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16"/>
      <c r="BB342" s="216"/>
      <c r="BC342" s="216"/>
      <c r="BD342" s="216"/>
      <c r="BE342" s="216"/>
      <c r="BF342" s="216"/>
      <c r="BG342" s="216"/>
      <c r="BH342" s="216"/>
      <c r="BI342" s="216"/>
      <c r="BJ342" s="216"/>
      <c r="BK342" s="216"/>
      <c r="BL342" s="216"/>
      <c r="BM342" s="216"/>
      <c r="BN342" s="216"/>
      <c r="BO342" s="216"/>
      <c r="BP342" s="216"/>
      <c r="BQ342" s="216"/>
      <c r="BR342" s="216"/>
      <c r="BS342" s="216"/>
      <c r="BT342" s="216"/>
      <c r="BU342" s="216"/>
      <c r="BV342" s="216"/>
      <c r="BW342" s="216"/>
      <c r="BX342" s="216"/>
      <c r="BY342" s="216"/>
      <c r="BZ342" s="216"/>
      <c r="CA342" s="216"/>
      <c r="CB342" s="216"/>
      <c r="CC342" s="216"/>
      <c r="CD342" s="216"/>
      <c r="CE342" s="216"/>
      <c r="CF342" s="216"/>
      <c r="CG342" s="216"/>
      <c r="CH342" s="216"/>
      <c r="CI342" s="216"/>
      <c r="CJ342" s="216"/>
      <c r="CK342" s="216"/>
      <c r="CL342" s="216"/>
      <c r="CM342" s="216"/>
      <c r="CN342" s="216"/>
      <c r="CO342" s="216"/>
      <c r="CP342" s="216"/>
      <c r="CQ342" s="216"/>
    </row>
    <row r="343" spans="10:95" x14ac:dyDescent="0.25">
      <c r="J343" s="216"/>
      <c r="K343" s="217"/>
      <c r="L343" s="216"/>
      <c r="M343" s="216"/>
      <c r="N343" s="216"/>
      <c r="O343" s="216"/>
      <c r="P343" s="216"/>
      <c r="Q343" s="216"/>
      <c r="R343" s="216"/>
      <c r="S343" s="216"/>
      <c r="T343" s="216"/>
      <c r="U343" s="216"/>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16"/>
      <c r="BB343" s="216"/>
      <c r="BC343" s="216"/>
      <c r="BD343" s="216"/>
      <c r="BE343" s="216"/>
      <c r="BF343" s="216"/>
      <c r="BG343" s="216"/>
      <c r="BH343" s="216"/>
      <c r="BI343" s="216"/>
      <c r="BJ343" s="216"/>
      <c r="BK343" s="216"/>
      <c r="BL343" s="216"/>
      <c r="BM343" s="216"/>
      <c r="BN343" s="216"/>
      <c r="BO343" s="216"/>
      <c r="BP343" s="216"/>
      <c r="BQ343" s="216"/>
      <c r="BR343" s="216"/>
      <c r="BS343" s="216"/>
      <c r="BT343" s="216"/>
      <c r="BU343" s="216"/>
      <c r="BV343" s="216"/>
      <c r="BW343" s="216"/>
      <c r="BX343" s="216"/>
      <c r="BY343" s="216"/>
      <c r="BZ343" s="216"/>
      <c r="CA343" s="216"/>
      <c r="CB343" s="216"/>
      <c r="CC343" s="216"/>
      <c r="CD343" s="216"/>
      <c r="CE343" s="216"/>
      <c r="CF343" s="216"/>
      <c r="CG343" s="216"/>
      <c r="CH343" s="216"/>
      <c r="CI343" s="216"/>
      <c r="CJ343" s="216"/>
      <c r="CK343" s="216"/>
      <c r="CL343" s="216"/>
      <c r="CM343" s="216"/>
      <c r="CN343" s="216"/>
      <c r="CO343" s="216"/>
      <c r="CP343" s="216"/>
      <c r="CQ343" s="216"/>
    </row>
    <row r="344" spans="10:95" x14ac:dyDescent="0.25">
      <c r="J344" s="216"/>
      <c r="K344" s="217"/>
      <c r="L344" s="216"/>
      <c r="M344" s="216"/>
      <c r="N344" s="216"/>
      <c r="O344" s="216"/>
      <c r="P344" s="216"/>
      <c r="Q344" s="216"/>
      <c r="R344" s="216"/>
      <c r="S344" s="216"/>
      <c r="T344" s="216"/>
      <c r="U344" s="216"/>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16"/>
      <c r="BB344" s="216"/>
      <c r="BC344" s="216"/>
      <c r="BD344" s="216"/>
      <c r="BE344" s="216"/>
      <c r="BF344" s="216"/>
      <c r="BG344" s="216"/>
      <c r="BH344" s="216"/>
      <c r="BI344" s="216"/>
      <c r="BJ344" s="216"/>
      <c r="BK344" s="216"/>
      <c r="BL344" s="216"/>
      <c r="BM344" s="216"/>
      <c r="BN344" s="216"/>
      <c r="BO344" s="216"/>
      <c r="BP344" s="216"/>
      <c r="BQ344" s="216"/>
      <c r="BR344" s="216"/>
      <c r="BS344" s="216"/>
      <c r="BT344" s="216"/>
      <c r="BU344" s="216"/>
      <c r="BV344" s="216"/>
      <c r="BW344" s="216"/>
      <c r="BX344" s="216"/>
      <c r="BY344" s="216"/>
      <c r="BZ344" s="216"/>
      <c r="CA344" s="216"/>
      <c r="CB344" s="216"/>
      <c r="CC344" s="216"/>
      <c r="CD344" s="216"/>
      <c r="CE344" s="216"/>
      <c r="CF344" s="216"/>
      <c r="CG344" s="216"/>
      <c r="CH344" s="216"/>
      <c r="CI344" s="216"/>
      <c r="CJ344" s="216"/>
      <c r="CK344" s="216"/>
      <c r="CL344" s="216"/>
      <c r="CM344" s="216"/>
      <c r="CN344" s="216"/>
      <c r="CO344" s="216"/>
      <c r="CP344" s="216"/>
      <c r="CQ344" s="216"/>
    </row>
    <row r="345" spans="10:95" x14ac:dyDescent="0.25">
      <c r="J345" s="216"/>
      <c r="K345" s="217"/>
      <c r="L345" s="216"/>
      <c r="M345" s="216"/>
      <c r="N345" s="216"/>
      <c r="O345" s="216"/>
      <c r="P345" s="216"/>
      <c r="Q345" s="216"/>
      <c r="R345" s="216"/>
      <c r="S345" s="216"/>
      <c r="T345" s="216"/>
      <c r="U345" s="216"/>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16"/>
      <c r="BB345" s="216"/>
      <c r="BC345" s="216"/>
      <c r="BD345" s="216"/>
      <c r="BE345" s="216"/>
      <c r="BF345" s="216"/>
      <c r="BG345" s="216"/>
      <c r="BH345" s="216"/>
      <c r="BI345" s="216"/>
      <c r="BJ345" s="216"/>
      <c r="BK345" s="216"/>
      <c r="BL345" s="216"/>
      <c r="BM345" s="216"/>
      <c r="BN345" s="216"/>
      <c r="BO345" s="216"/>
      <c r="BP345" s="216"/>
      <c r="BQ345" s="216"/>
      <c r="BR345" s="216"/>
      <c r="BS345" s="216"/>
      <c r="BT345" s="216"/>
      <c r="BU345" s="216"/>
      <c r="BV345" s="216"/>
      <c r="BW345" s="216"/>
      <c r="BX345" s="216"/>
      <c r="BY345" s="216"/>
      <c r="BZ345" s="216"/>
      <c r="CA345" s="216"/>
      <c r="CB345" s="216"/>
      <c r="CC345" s="216"/>
      <c r="CD345" s="216"/>
      <c r="CE345" s="216"/>
      <c r="CF345" s="216"/>
      <c r="CG345" s="216"/>
      <c r="CH345" s="216"/>
      <c r="CI345" s="216"/>
      <c r="CJ345" s="216"/>
      <c r="CK345" s="216"/>
      <c r="CL345" s="216"/>
      <c r="CM345" s="216"/>
      <c r="CN345" s="216"/>
      <c r="CO345" s="216"/>
      <c r="CP345" s="216"/>
      <c r="CQ345" s="216"/>
    </row>
    <row r="346" spans="10:95" x14ac:dyDescent="0.25">
      <c r="J346" s="216"/>
      <c r="K346" s="217"/>
      <c r="L346" s="216"/>
      <c r="M346" s="216"/>
      <c r="N346" s="216"/>
      <c r="O346" s="216"/>
      <c r="P346" s="216"/>
      <c r="Q346" s="216"/>
      <c r="R346" s="216"/>
      <c r="S346" s="216"/>
      <c r="T346" s="216"/>
      <c r="U346" s="216"/>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16"/>
      <c r="BB346" s="216"/>
      <c r="BC346" s="216"/>
      <c r="BD346" s="216"/>
      <c r="BE346" s="216"/>
      <c r="BF346" s="216"/>
      <c r="BG346" s="216"/>
      <c r="BH346" s="216"/>
      <c r="BI346" s="216"/>
      <c r="BJ346" s="216"/>
      <c r="BK346" s="216"/>
      <c r="BL346" s="216"/>
      <c r="BM346" s="216"/>
      <c r="BN346" s="216"/>
      <c r="BO346" s="216"/>
      <c r="BP346" s="216"/>
      <c r="BQ346" s="216"/>
      <c r="BR346" s="216"/>
      <c r="BS346" s="216"/>
      <c r="BT346" s="216"/>
      <c r="BU346" s="216"/>
      <c r="BV346" s="216"/>
      <c r="BW346" s="216"/>
      <c r="BX346" s="216"/>
      <c r="BY346" s="216"/>
      <c r="BZ346" s="216"/>
      <c r="CA346" s="216"/>
      <c r="CB346" s="216"/>
      <c r="CC346" s="216"/>
      <c r="CD346" s="216"/>
      <c r="CE346" s="216"/>
      <c r="CF346" s="216"/>
      <c r="CG346" s="216"/>
      <c r="CH346" s="216"/>
      <c r="CI346" s="216"/>
      <c r="CJ346" s="216"/>
      <c r="CK346" s="216"/>
      <c r="CL346" s="216"/>
      <c r="CM346" s="216"/>
      <c r="CN346" s="216"/>
      <c r="CO346" s="216"/>
      <c r="CP346" s="216"/>
      <c r="CQ346" s="216"/>
    </row>
    <row r="347" spans="10:95" x14ac:dyDescent="0.25">
      <c r="J347" s="216"/>
      <c r="K347" s="217"/>
      <c r="L347" s="216"/>
      <c r="M347" s="216"/>
      <c r="N347" s="216"/>
      <c r="O347" s="216"/>
      <c r="P347" s="216"/>
      <c r="Q347" s="216"/>
      <c r="R347" s="216"/>
      <c r="S347" s="216"/>
      <c r="T347" s="216"/>
      <c r="U347" s="216"/>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16"/>
      <c r="BB347" s="216"/>
      <c r="BC347" s="216"/>
      <c r="BD347" s="216"/>
      <c r="BE347" s="216"/>
      <c r="BF347" s="216"/>
      <c r="BG347" s="216"/>
      <c r="BH347" s="216"/>
      <c r="BI347" s="216"/>
      <c r="BJ347" s="216"/>
      <c r="BK347" s="216"/>
      <c r="BL347" s="216"/>
      <c r="BM347" s="216"/>
      <c r="BN347" s="216"/>
      <c r="BO347" s="216"/>
      <c r="BP347" s="216"/>
      <c r="BQ347" s="216"/>
      <c r="BR347" s="216"/>
      <c r="BS347" s="216"/>
      <c r="BT347" s="216"/>
      <c r="BU347" s="216"/>
      <c r="BV347" s="216"/>
      <c r="BW347" s="216"/>
      <c r="BX347" s="216"/>
      <c r="BY347" s="216"/>
      <c r="BZ347" s="216"/>
      <c r="CA347" s="216"/>
      <c r="CB347" s="216"/>
      <c r="CC347" s="216"/>
      <c r="CD347" s="216"/>
      <c r="CE347" s="216"/>
      <c r="CF347" s="216"/>
      <c r="CG347" s="216"/>
      <c r="CH347" s="216"/>
      <c r="CI347" s="216"/>
      <c r="CJ347" s="216"/>
      <c r="CK347" s="216"/>
      <c r="CL347" s="216"/>
      <c r="CM347" s="216"/>
      <c r="CN347" s="216"/>
      <c r="CO347" s="216"/>
      <c r="CP347" s="216"/>
      <c r="CQ347" s="216"/>
    </row>
    <row r="348" spans="10:95" x14ac:dyDescent="0.25">
      <c r="J348" s="216"/>
      <c r="K348" s="217"/>
      <c r="L348" s="216"/>
      <c r="M348" s="216"/>
      <c r="N348" s="216"/>
      <c r="O348" s="216"/>
      <c r="P348" s="216"/>
      <c r="Q348" s="216"/>
      <c r="R348" s="216"/>
      <c r="S348" s="216"/>
      <c r="T348" s="216"/>
      <c r="U348" s="216"/>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16"/>
      <c r="BB348" s="216"/>
      <c r="BC348" s="216"/>
      <c r="BD348" s="216"/>
      <c r="BE348" s="216"/>
      <c r="BF348" s="216"/>
      <c r="BG348" s="216"/>
      <c r="BH348" s="216"/>
      <c r="BI348" s="216"/>
      <c r="BJ348" s="216"/>
      <c r="BK348" s="216"/>
      <c r="BL348" s="216"/>
      <c r="BM348" s="216"/>
      <c r="BN348" s="216"/>
      <c r="BO348" s="216"/>
      <c r="BP348" s="216"/>
      <c r="BQ348" s="216"/>
      <c r="BR348" s="216"/>
      <c r="BS348" s="216"/>
      <c r="BT348" s="216"/>
      <c r="BU348" s="216"/>
      <c r="BV348" s="216"/>
      <c r="BW348" s="216"/>
      <c r="BX348" s="216"/>
      <c r="BY348" s="216"/>
      <c r="BZ348" s="216"/>
      <c r="CA348" s="216"/>
      <c r="CB348" s="216"/>
      <c r="CC348" s="216"/>
      <c r="CD348" s="216"/>
      <c r="CE348" s="216"/>
      <c r="CF348" s="216"/>
      <c r="CG348" s="216"/>
      <c r="CH348" s="216"/>
      <c r="CI348" s="216"/>
      <c r="CJ348" s="216"/>
      <c r="CK348" s="216"/>
      <c r="CL348" s="216"/>
      <c r="CM348" s="216"/>
      <c r="CN348" s="216"/>
      <c r="CO348" s="216"/>
      <c r="CP348" s="216"/>
      <c r="CQ348" s="216"/>
    </row>
    <row r="349" spans="10:95" x14ac:dyDescent="0.25">
      <c r="J349" s="216"/>
      <c r="K349" s="217"/>
      <c r="L349" s="216"/>
      <c r="M349" s="216"/>
      <c r="N349" s="216"/>
      <c r="O349" s="216"/>
      <c r="P349" s="216"/>
      <c r="Q349" s="216"/>
      <c r="R349" s="216"/>
      <c r="S349" s="216"/>
      <c r="T349" s="216"/>
      <c r="U349" s="216"/>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16"/>
      <c r="BB349" s="216"/>
      <c r="BC349" s="216"/>
      <c r="BD349" s="216"/>
      <c r="BE349" s="216"/>
      <c r="BF349" s="216"/>
      <c r="BG349" s="216"/>
      <c r="BH349" s="216"/>
      <c r="BI349" s="216"/>
      <c r="BJ349" s="216"/>
      <c r="BK349" s="216"/>
      <c r="BL349" s="216"/>
      <c r="BM349" s="216"/>
      <c r="BN349" s="216"/>
      <c r="BO349" s="216"/>
      <c r="BP349" s="216"/>
      <c r="BQ349" s="216"/>
      <c r="BR349" s="216"/>
      <c r="BS349" s="216"/>
      <c r="BT349" s="216"/>
      <c r="BU349" s="216"/>
      <c r="BV349" s="216"/>
      <c r="BW349" s="216"/>
      <c r="BX349" s="216"/>
      <c r="BY349" s="216"/>
      <c r="BZ349" s="216"/>
      <c r="CA349" s="216"/>
      <c r="CB349" s="216"/>
      <c r="CC349" s="216"/>
      <c r="CD349" s="216"/>
      <c r="CE349" s="216"/>
      <c r="CF349" s="216"/>
      <c r="CG349" s="216"/>
      <c r="CH349" s="216"/>
      <c r="CI349" s="216"/>
      <c r="CJ349" s="216"/>
      <c r="CK349" s="216"/>
      <c r="CL349" s="216"/>
      <c r="CM349" s="216"/>
      <c r="CN349" s="216"/>
      <c r="CO349" s="216"/>
      <c r="CP349" s="216"/>
      <c r="CQ349" s="216"/>
    </row>
    <row r="350" spans="10:95" x14ac:dyDescent="0.25">
      <c r="J350" s="216"/>
      <c r="K350" s="217"/>
      <c r="L350" s="216"/>
      <c r="M350" s="216"/>
      <c r="N350" s="216"/>
      <c r="O350" s="216"/>
      <c r="P350" s="216"/>
      <c r="Q350" s="216"/>
      <c r="R350" s="216"/>
      <c r="S350" s="216"/>
      <c r="T350" s="216"/>
      <c r="U350" s="216"/>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16"/>
      <c r="BB350" s="216"/>
      <c r="BC350" s="216"/>
      <c r="BD350" s="216"/>
      <c r="BE350" s="216"/>
      <c r="BF350" s="216"/>
      <c r="BG350" s="216"/>
      <c r="BH350" s="216"/>
      <c r="BI350" s="216"/>
      <c r="BJ350" s="216"/>
      <c r="BK350" s="216"/>
      <c r="BL350" s="216"/>
      <c r="BM350" s="216"/>
      <c r="BN350" s="216"/>
      <c r="BO350" s="216"/>
      <c r="BP350" s="216"/>
      <c r="BQ350" s="216"/>
      <c r="BR350" s="216"/>
      <c r="BS350" s="216"/>
      <c r="BT350" s="216"/>
      <c r="BU350" s="216"/>
      <c r="BV350" s="216"/>
      <c r="BW350" s="216"/>
      <c r="BX350" s="216"/>
      <c r="BY350" s="216"/>
      <c r="BZ350" s="216"/>
      <c r="CA350" s="216"/>
      <c r="CB350" s="216"/>
      <c r="CC350" s="216"/>
      <c r="CD350" s="216"/>
      <c r="CE350" s="216"/>
      <c r="CF350" s="216"/>
      <c r="CG350" s="216"/>
      <c r="CH350" s="216"/>
      <c r="CI350" s="216"/>
      <c r="CJ350" s="216"/>
      <c r="CK350" s="216"/>
      <c r="CL350" s="216"/>
      <c r="CM350" s="216"/>
      <c r="CN350" s="216"/>
      <c r="CO350" s="216"/>
      <c r="CP350" s="216"/>
      <c r="CQ350" s="216"/>
    </row>
    <row r="351" spans="10:95" x14ac:dyDescent="0.25">
      <c r="J351" s="216"/>
      <c r="K351" s="217"/>
      <c r="L351" s="216"/>
      <c r="M351" s="216"/>
      <c r="N351" s="216"/>
      <c r="O351" s="216"/>
      <c r="P351" s="216"/>
      <c r="Q351" s="216"/>
      <c r="R351" s="216"/>
      <c r="S351" s="216"/>
      <c r="T351" s="216"/>
      <c r="U351" s="216"/>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16"/>
      <c r="BB351" s="216"/>
      <c r="BC351" s="216"/>
      <c r="BD351" s="216"/>
      <c r="BE351" s="216"/>
      <c r="BF351" s="216"/>
      <c r="BG351" s="216"/>
      <c r="BH351" s="216"/>
      <c r="BI351" s="216"/>
      <c r="BJ351" s="216"/>
      <c r="BK351" s="216"/>
      <c r="BL351" s="216"/>
      <c r="BM351" s="216"/>
      <c r="BN351" s="216"/>
      <c r="BO351" s="216"/>
      <c r="BP351" s="216"/>
      <c r="BQ351" s="216"/>
      <c r="BR351" s="216"/>
      <c r="BS351" s="216"/>
      <c r="BT351" s="216"/>
      <c r="BU351" s="216"/>
      <c r="BV351" s="216"/>
      <c r="BW351" s="216"/>
      <c r="BX351" s="216"/>
      <c r="BY351" s="216"/>
      <c r="BZ351" s="216"/>
      <c r="CA351" s="216"/>
      <c r="CB351" s="216"/>
      <c r="CC351" s="216"/>
      <c r="CD351" s="216"/>
      <c r="CE351" s="216"/>
      <c r="CF351" s="216"/>
      <c r="CG351" s="216"/>
      <c r="CH351" s="216"/>
      <c r="CI351" s="216"/>
      <c r="CJ351" s="216"/>
      <c r="CK351" s="216"/>
      <c r="CL351" s="216"/>
      <c r="CM351" s="216"/>
      <c r="CN351" s="216"/>
      <c r="CO351" s="216"/>
      <c r="CP351" s="216"/>
      <c r="CQ351" s="216"/>
    </row>
    <row r="352" spans="10:95" x14ac:dyDescent="0.25">
      <c r="J352" s="216"/>
      <c r="K352" s="217"/>
      <c r="L352" s="216"/>
      <c r="M352" s="216"/>
      <c r="N352" s="216"/>
      <c r="O352" s="216"/>
      <c r="P352" s="216"/>
      <c r="Q352" s="216"/>
      <c r="R352" s="216"/>
      <c r="S352" s="216"/>
      <c r="T352" s="216"/>
      <c r="U352" s="216"/>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16"/>
      <c r="BB352" s="216"/>
      <c r="BC352" s="216"/>
      <c r="BD352" s="216"/>
      <c r="BE352" s="216"/>
      <c r="BF352" s="216"/>
      <c r="BG352" s="216"/>
      <c r="BH352" s="216"/>
      <c r="BI352" s="216"/>
      <c r="BJ352" s="216"/>
      <c r="BK352" s="216"/>
      <c r="BL352" s="216"/>
      <c r="BM352" s="216"/>
      <c r="BN352" s="216"/>
      <c r="BO352" s="216"/>
      <c r="BP352" s="216"/>
      <c r="BQ352" s="216"/>
      <c r="BR352" s="216"/>
      <c r="BS352" s="216"/>
      <c r="BT352" s="216"/>
      <c r="BU352" s="216"/>
      <c r="BV352" s="216"/>
      <c r="BW352" s="216"/>
      <c r="BX352" s="216"/>
      <c r="BY352" s="216"/>
      <c r="BZ352" s="216"/>
      <c r="CA352" s="216"/>
      <c r="CB352" s="216"/>
      <c r="CC352" s="216"/>
      <c r="CD352" s="216"/>
      <c r="CE352" s="216"/>
      <c r="CF352" s="216"/>
      <c r="CG352" s="216"/>
      <c r="CH352" s="216"/>
      <c r="CI352" s="216"/>
      <c r="CJ352" s="216"/>
      <c r="CK352" s="216"/>
      <c r="CL352" s="216"/>
      <c r="CM352" s="216"/>
      <c r="CN352" s="216"/>
      <c r="CO352" s="216"/>
      <c r="CP352" s="216"/>
      <c r="CQ352" s="216"/>
    </row>
    <row r="353" spans="10:95" x14ac:dyDescent="0.25">
      <c r="J353" s="216"/>
      <c r="K353" s="217"/>
      <c r="L353" s="216"/>
      <c r="M353" s="216"/>
      <c r="N353" s="216"/>
      <c r="O353" s="216"/>
      <c r="P353" s="216"/>
      <c r="Q353" s="216"/>
      <c r="R353" s="216"/>
      <c r="S353" s="216"/>
      <c r="T353" s="216"/>
      <c r="U353" s="216"/>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16"/>
      <c r="BB353" s="216"/>
      <c r="BC353" s="216"/>
      <c r="BD353" s="216"/>
      <c r="BE353" s="216"/>
      <c r="BF353" s="216"/>
      <c r="BG353" s="216"/>
      <c r="BH353" s="216"/>
      <c r="BI353" s="216"/>
      <c r="BJ353" s="216"/>
      <c r="BK353" s="216"/>
      <c r="BL353" s="216"/>
      <c r="BM353" s="216"/>
      <c r="BN353" s="216"/>
      <c r="BO353" s="216"/>
      <c r="BP353" s="216"/>
      <c r="BQ353" s="216"/>
      <c r="BR353" s="216"/>
      <c r="BS353" s="216"/>
      <c r="BT353" s="216"/>
      <c r="BU353" s="216"/>
      <c r="BV353" s="216"/>
      <c r="BW353" s="216"/>
      <c r="BX353" s="216"/>
      <c r="BY353" s="216"/>
      <c r="BZ353" s="216"/>
      <c r="CA353" s="216"/>
      <c r="CB353" s="216"/>
      <c r="CC353" s="216"/>
      <c r="CD353" s="216"/>
      <c r="CE353" s="216"/>
      <c r="CF353" s="216"/>
      <c r="CG353" s="216"/>
      <c r="CH353" s="216"/>
      <c r="CI353" s="216"/>
      <c r="CJ353" s="216"/>
      <c r="CK353" s="216"/>
      <c r="CL353" s="216"/>
      <c r="CM353" s="216"/>
      <c r="CN353" s="216"/>
      <c r="CO353" s="216"/>
      <c r="CP353" s="216"/>
      <c r="CQ353" s="216"/>
    </row>
    <row r="354" spans="10:95" x14ac:dyDescent="0.25">
      <c r="J354" s="216"/>
      <c r="K354" s="217"/>
      <c r="L354" s="216"/>
      <c r="M354" s="216"/>
      <c r="N354" s="216"/>
      <c r="O354" s="216"/>
      <c r="P354" s="216"/>
      <c r="Q354" s="216"/>
      <c r="R354" s="216"/>
      <c r="S354" s="216"/>
      <c r="T354" s="216"/>
      <c r="U354" s="216"/>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16"/>
      <c r="BB354" s="216"/>
      <c r="BC354" s="216"/>
      <c r="BD354" s="216"/>
      <c r="BE354" s="216"/>
      <c r="BF354" s="216"/>
      <c r="BG354" s="216"/>
      <c r="BH354" s="216"/>
      <c r="BI354" s="216"/>
      <c r="BJ354" s="216"/>
      <c r="BK354" s="216"/>
      <c r="BL354" s="216"/>
      <c r="BM354" s="216"/>
      <c r="BN354" s="216"/>
      <c r="BO354" s="216"/>
      <c r="BP354" s="216"/>
      <c r="BQ354" s="216"/>
      <c r="BR354" s="216"/>
      <c r="BS354" s="216"/>
      <c r="BT354" s="216"/>
      <c r="BU354" s="216"/>
      <c r="BV354" s="216"/>
      <c r="BW354" s="216"/>
      <c r="BX354" s="216"/>
      <c r="BY354" s="216"/>
      <c r="BZ354" s="216"/>
      <c r="CA354" s="216"/>
      <c r="CB354" s="216"/>
      <c r="CC354" s="216"/>
      <c r="CD354" s="216"/>
      <c r="CE354" s="216"/>
      <c r="CF354" s="216"/>
      <c r="CG354" s="216"/>
      <c r="CH354" s="216"/>
      <c r="CI354" s="216"/>
      <c r="CJ354" s="216"/>
      <c r="CK354" s="216"/>
      <c r="CL354" s="216"/>
      <c r="CM354" s="216"/>
      <c r="CN354" s="216"/>
      <c r="CO354" s="216"/>
      <c r="CP354" s="216"/>
      <c r="CQ354" s="216"/>
    </row>
    <row r="355" spans="10:95" x14ac:dyDescent="0.25">
      <c r="J355" s="216"/>
      <c r="K355" s="217"/>
      <c r="L355" s="216"/>
      <c r="M355" s="216"/>
      <c r="N355" s="216"/>
      <c r="O355" s="216"/>
      <c r="P355" s="216"/>
      <c r="Q355" s="216"/>
      <c r="R355" s="216"/>
      <c r="S355" s="216"/>
      <c r="T355" s="216"/>
      <c r="U355" s="216"/>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16"/>
      <c r="BB355" s="216"/>
      <c r="BC355" s="216"/>
      <c r="BD355" s="216"/>
      <c r="BE355" s="216"/>
      <c r="BF355" s="216"/>
      <c r="BG355" s="216"/>
      <c r="BH355" s="216"/>
      <c r="BI355" s="216"/>
      <c r="BJ355" s="216"/>
      <c r="BK355" s="216"/>
      <c r="BL355" s="216"/>
      <c r="BM355" s="216"/>
      <c r="BN355" s="216"/>
      <c r="BO355" s="216"/>
      <c r="BP355" s="216"/>
      <c r="BQ355" s="216"/>
      <c r="BR355" s="216"/>
      <c r="BS355" s="216"/>
      <c r="BT355" s="216"/>
      <c r="BU355" s="216"/>
      <c r="BV355" s="216"/>
      <c r="BW355" s="216"/>
      <c r="BX355" s="216"/>
      <c r="BY355" s="216"/>
      <c r="BZ355" s="216"/>
      <c r="CA355" s="216"/>
      <c r="CB355" s="216"/>
      <c r="CC355" s="216"/>
      <c r="CD355" s="216"/>
      <c r="CE355" s="216"/>
      <c r="CF355" s="216"/>
      <c r="CG355" s="216"/>
      <c r="CH355" s="216"/>
      <c r="CI355" s="216"/>
      <c r="CJ355" s="216"/>
      <c r="CK355" s="216"/>
      <c r="CL355" s="216"/>
      <c r="CM355" s="216"/>
      <c r="CN355" s="216"/>
      <c r="CO355" s="216"/>
      <c r="CP355" s="216"/>
      <c r="CQ355" s="216"/>
    </row>
    <row r="356" spans="10:95" x14ac:dyDescent="0.25">
      <c r="J356" s="216"/>
      <c r="K356" s="217"/>
      <c r="L356" s="216"/>
      <c r="M356" s="216"/>
      <c r="N356" s="216"/>
      <c r="O356" s="216"/>
      <c r="P356" s="216"/>
      <c r="Q356" s="216"/>
      <c r="R356" s="216"/>
      <c r="S356" s="216"/>
      <c r="T356" s="216"/>
      <c r="U356" s="216"/>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16"/>
      <c r="BB356" s="216"/>
      <c r="BC356" s="216"/>
      <c r="BD356" s="216"/>
      <c r="BE356" s="216"/>
      <c r="BF356" s="216"/>
      <c r="BG356" s="216"/>
      <c r="BH356" s="216"/>
      <c r="BI356" s="216"/>
      <c r="BJ356" s="216"/>
      <c r="BK356" s="216"/>
      <c r="BL356" s="216"/>
      <c r="BM356" s="216"/>
      <c r="BN356" s="216"/>
      <c r="BO356" s="216"/>
      <c r="BP356" s="216"/>
      <c r="BQ356" s="216"/>
      <c r="BR356" s="216"/>
      <c r="BS356" s="216"/>
      <c r="BT356" s="216"/>
      <c r="BU356" s="216"/>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row>
    <row r="357" spans="10:95" x14ac:dyDescent="0.25">
      <c r="J357" s="216"/>
      <c r="K357" s="217"/>
      <c r="L357" s="216"/>
      <c r="M357" s="216"/>
      <c r="N357" s="216"/>
      <c r="O357" s="216"/>
      <c r="P357" s="216"/>
      <c r="Q357" s="216"/>
      <c r="R357" s="216"/>
      <c r="S357" s="216"/>
      <c r="T357" s="216"/>
      <c r="U357" s="216"/>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16"/>
      <c r="BB357" s="216"/>
      <c r="BC357" s="216"/>
      <c r="BD357" s="216"/>
      <c r="BE357" s="216"/>
      <c r="BF357" s="216"/>
      <c r="BG357" s="216"/>
      <c r="BH357" s="216"/>
      <c r="BI357" s="216"/>
      <c r="BJ357" s="216"/>
      <c r="BK357" s="216"/>
      <c r="BL357" s="216"/>
      <c r="BM357" s="216"/>
      <c r="BN357" s="216"/>
      <c r="BO357" s="216"/>
      <c r="BP357" s="216"/>
      <c r="BQ357" s="216"/>
      <c r="BR357" s="216"/>
      <c r="BS357" s="216"/>
      <c r="BT357" s="216"/>
      <c r="BU357" s="216"/>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row>
    <row r="358" spans="10:95" x14ac:dyDescent="0.25">
      <c r="J358" s="216"/>
      <c r="K358" s="217"/>
      <c r="L358" s="216"/>
      <c r="M358" s="216"/>
      <c r="N358" s="216"/>
      <c r="O358" s="216"/>
      <c r="P358" s="216"/>
      <c r="Q358" s="216"/>
      <c r="R358" s="216"/>
      <c r="S358" s="216"/>
      <c r="T358" s="216"/>
      <c r="U358" s="216"/>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16"/>
      <c r="BB358" s="216"/>
      <c r="BC358" s="216"/>
      <c r="BD358" s="216"/>
      <c r="BE358" s="216"/>
      <c r="BF358" s="216"/>
      <c r="BG358" s="216"/>
      <c r="BH358" s="216"/>
      <c r="BI358" s="216"/>
      <c r="BJ358" s="216"/>
      <c r="BK358" s="216"/>
      <c r="BL358" s="216"/>
      <c r="BM358" s="216"/>
      <c r="BN358" s="216"/>
      <c r="BO358" s="216"/>
      <c r="BP358" s="216"/>
      <c r="BQ358" s="216"/>
      <c r="BR358" s="216"/>
      <c r="BS358" s="216"/>
      <c r="BT358" s="216"/>
      <c r="BU358" s="216"/>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row>
  </sheetData>
  <sheetProtection password="C345" sheet="1" objects="1" scenarios="1" selectLockedCells="1"/>
  <dataConsolidate/>
  <mergeCells count="76">
    <mergeCell ref="A90:E90"/>
    <mergeCell ref="B91:C91"/>
    <mergeCell ref="D91:E105"/>
    <mergeCell ref="A96:C96"/>
    <mergeCell ref="B23:D23"/>
    <mergeCell ref="E84:E87"/>
    <mergeCell ref="A73:A81"/>
    <mergeCell ref="A82:E82"/>
    <mergeCell ref="D83:E83"/>
    <mergeCell ref="A88:E88"/>
    <mergeCell ref="B67:E67"/>
    <mergeCell ref="B68:E68"/>
    <mergeCell ref="A68:A70"/>
    <mergeCell ref="A71:E71"/>
    <mergeCell ref="B72:E72"/>
    <mergeCell ref="A66:E66"/>
    <mergeCell ref="D2:E4"/>
    <mergeCell ref="D7:E10"/>
    <mergeCell ref="E11:E16"/>
    <mergeCell ref="D30:E31"/>
    <mergeCell ref="B16:D16"/>
    <mergeCell ref="D14:D15"/>
    <mergeCell ref="C17:D17"/>
    <mergeCell ref="C18:D18"/>
    <mergeCell ref="C19:D19"/>
    <mergeCell ref="C20:D20"/>
    <mergeCell ref="C21:D21"/>
    <mergeCell ref="A59:E59"/>
    <mergeCell ref="A52:E52"/>
    <mergeCell ref="B53:E53"/>
    <mergeCell ref="D37:E51"/>
    <mergeCell ref="E60:E65"/>
    <mergeCell ref="AD77:AF77"/>
    <mergeCell ref="C22:D22"/>
    <mergeCell ref="P97:AF97"/>
    <mergeCell ref="A1:E1"/>
    <mergeCell ref="S76:Y76"/>
    <mergeCell ref="Z76:AA76"/>
    <mergeCell ref="AD76:AF76"/>
    <mergeCell ref="C29:D29"/>
    <mergeCell ref="C32:D32"/>
    <mergeCell ref="C33:D33"/>
    <mergeCell ref="C34:D34"/>
    <mergeCell ref="C24:D24"/>
    <mergeCell ref="C25:D25"/>
    <mergeCell ref="C26:D26"/>
    <mergeCell ref="C27:D27"/>
    <mergeCell ref="C28:D28"/>
    <mergeCell ref="AD74:AF74"/>
    <mergeCell ref="S75:Y75"/>
    <mergeCell ref="Z75:AA75"/>
    <mergeCell ref="AB75:AC75"/>
    <mergeCell ref="AD75:AF75"/>
    <mergeCell ref="S74:Y74"/>
    <mergeCell ref="Z74:AA74"/>
    <mergeCell ref="AD56:AF56"/>
    <mergeCell ref="AA57:AC57"/>
    <mergeCell ref="AD57:AF57"/>
    <mergeCell ref="O58:R58"/>
    <mergeCell ref="AA58:AC58"/>
    <mergeCell ref="AD58:AF58"/>
    <mergeCell ref="O57:R57"/>
    <mergeCell ref="O56:R56"/>
    <mergeCell ref="AA56:AC56"/>
    <mergeCell ref="AA37:AF37"/>
    <mergeCell ref="C35:D35"/>
    <mergeCell ref="O55:R55"/>
    <mergeCell ref="AA55:AC55"/>
    <mergeCell ref="AD55:AF55"/>
    <mergeCell ref="E32:E35"/>
    <mergeCell ref="A36:E36"/>
    <mergeCell ref="AB77:AC77"/>
    <mergeCell ref="AB76:AC76"/>
    <mergeCell ref="AB74:AC74"/>
    <mergeCell ref="S77:Y77"/>
    <mergeCell ref="Z77:AA77"/>
  </mergeCells>
  <dataValidations xWindow="682" yWindow="403" count="4">
    <dataValidation type="list" allowBlank="1" showInputMessage="1" showErrorMessage="1" sqref="C100">
      <formula1>$J$100:$J$101</formula1>
    </dataValidation>
    <dataValidation type="list" allowBlank="1" showInputMessage="1" showErrorMessage="1" sqref="C83">
      <formula1>$H$83:$H$84</formula1>
    </dataValidation>
    <dataValidation type="list" allowBlank="1" showInputMessage="1" showErrorMessage="1" sqref="C38:C41 C44:C49">
      <formula1>$H$38:$H$39</formula1>
    </dataValidation>
    <dataValidation type="list" allowBlank="1" showInputMessage="1" showErrorMessage="1" sqref="C104">
      <formula1>$I$102:$I$103</formula1>
    </dataValidation>
  </dataValidation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AI115"/>
  <sheetViews>
    <sheetView workbookViewId="0">
      <selection sqref="A1:AC1"/>
    </sheetView>
  </sheetViews>
  <sheetFormatPr defaultColWidth="3.28515625" defaultRowHeight="18" customHeight="1" x14ac:dyDescent="0.25"/>
  <cols>
    <col min="1" max="1" width="3.28515625" style="99"/>
    <col min="2" max="4" width="3.28515625" style="1"/>
    <col min="5" max="5" width="4" style="1" customWidth="1"/>
    <col min="6" max="6" width="3.42578125" style="1" customWidth="1"/>
    <col min="7" max="18" width="3.28515625" style="1"/>
    <col min="19" max="19" width="3.7109375" style="1" customWidth="1"/>
    <col min="20" max="60" width="3.28515625" style="1"/>
    <col min="61" max="61" width="13.42578125" style="1" bestFit="1" customWidth="1"/>
    <col min="62" max="16384" width="3.28515625" style="1"/>
  </cols>
  <sheetData>
    <row r="1" spans="1:29" ht="18.75" x14ac:dyDescent="0.3">
      <c r="A1" s="398" t="s">
        <v>306</v>
      </c>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row>
    <row r="2" spans="1:29" ht="15.75" x14ac:dyDescent="0.25">
      <c r="A2" s="431" t="s">
        <v>36</v>
      </c>
      <c r="B2" s="431"/>
      <c r="C2" s="431"/>
      <c r="D2" s="431"/>
      <c r="E2" s="431"/>
      <c r="F2" s="431"/>
      <c r="G2" s="431"/>
      <c r="H2" s="431"/>
      <c r="I2" s="431"/>
      <c r="J2" s="431"/>
      <c r="K2" s="431"/>
      <c r="L2" s="431"/>
      <c r="M2" s="431"/>
      <c r="N2" s="431"/>
      <c r="O2" s="431"/>
      <c r="P2" s="431"/>
      <c r="Q2" s="431"/>
      <c r="R2" s="431"/>
      <c r="S2" s="431"/>
      <c r="T2" s="431"/>
      <c r="U2" s="431"/>
      <c r="V2" s="431"/>
      <c r="W2" s="431"/>
      <c r="X2" s="431"/>
      <c r="Y2" s="431"/>
      <c r="Z2" s="431"/>
      <c r="AA2" s="431"/>
      <c r="AB2" s="431"/>
      <c r="AC2" s="431"/>
    </row>
    <row r="3" spans="1:29" ht="15.75" x14ac:dyDescent="0.25">
      <c r="A3" s="431" t="s">
        <v>37</v>
      </c>
      <c r="B3" s="431"/>
      <c r="C3" s="431"/>
      <c r="D3" s="431"/>
      <c r="E3" s="431"/>
      <c r="F3" s="431"/>
      <c r="G3" s="431"/>
      <c r="H3" s="431"/>
      <c r="I3" s="431"/>
      <c r="J3" s="431"/>
      <c r="K3" s="431"/>
      <c r="L3" s="431"/>
      <c r="M3" s="431"/>
      <c r="N3" s="431"/>
      <c r="O3" s="431"/>
      <c r="P3" s="431"/>
      <c r="Q3" s="431"/>
      <c r="R3" s="431"/>
      <c r="S3" s="431"/>
      <c r="T3" s="431"/>
      <c r="U3" s="431"/>
      <c r="V3" s="431"/>
      <c r="W3" s="431"/>
      <c r="X3" s="431"/>
      <c r="Y3" s="431"/>
      <c r="Z3" s="431"/>
      <c r="AA3" s="431"/>
      <c r="AB3" s="431"/>
      <c r="AC3" s="431"/>
    </row>
    <row r="4" spans="1:29" ht="15" x14ac:dyDescent="0.25">
      <c r="A4" s="432" t="s">
        <v>38</v>
      </c>
      <c r="B4" s="432"/>
      <c r="C4" s="432"/>
      <c r="D4" s="432"/>
      <c r="E4" s="432"/>
      <c r="F4" s="432"/>
      <c r="G4" s="432"/>
      <c r="H4" s="432"/>
      <c r="I4" s="432"/>
      <c r="J4" s="432"/>
      <c r="K4" s="432"/>
      <c r="L4" s="432"/>
      <c r="M4" s="432"/>
      <c r="N4" s="432"/>
      <c r="O4" s="432"/>
      <c r="P4" s="432"/>
      <c r="Q4" s="432"/>
      <c r="R4" s="432"/>
      <c r="S4" s="432"/>
      <c r="T4" s="432"/>
      <c r="U4" s="432"/>
      <c r="V4" s="432"/>
      <c r="W4" s="432"/>
      <c r="X4" s="432"/>
      <c r="Y4" s="432"/>
      <c r="Z4" s="432"/>
      <c r="AA4" s="432"/>
      <c r="AB4" s="432"/>
      <c r="AC4" s="432"/>
    </row>
    <row r="5" spans="1:29" ht="17.25" customHeight="1" x14ac:dyDescent="0.25">
      <c r="A5" s="2">
        <v>1</v>
      </c>
      <c r="B5" s="410" t="s">
        <v>39</v>
      </c>
      <c r="C5" s="410"/>
      <c r="D5" s="410"/>
      <c r="E5" s="410"/>
      <c r="F5" s="410"/>
      <c r="G5" s="420"/>
      <c r="H5" s="73" t="str">
        <f>'DATA INPUT'!K2</f>
        <v/>
      </c>
      <c r="I5" s="73" t="str">
        <f>'DATA INPUT'!L2</f>
        <v/>
      </c>
      <c r="J5" s="73" t="str">
        <f>'DATA INPUT'!M2</f>
        <v/>
      </c>
      <c r="K5" s="73" t="str">
        <f>'DATA INPUT'!N2</f>
        <v/>
      </c>
      <c r="L5" s="73" t="str">
        <f>'DATA INPUT'!O2</f>
        <v/>
      </c>
      <c r="M5" s="73" t="str">
        <f>'DATA INPUT'!P2</f>
        <v/>
      </c>
      <c r="N5" s="73" t="str">
        <f>'DATA INPUT'!Q2</f>
        <v/>
      </c>
      <c r="O5" s="73" t="str">
        <f>'DATA INPUT'!R2</f>
        <v/>
      </c>
      <c r="P5" s="73" t="str">
        <f>'DATA INPUT'!S2</f>
        <v/>
      </c>
      <c r="Q5" s="73" t="str">
        <f>'DATA INPUT'!T2</f>
        <v/>
      </c>
      <c r="R5" s="5"/>
      <c r="S5" s="5"/>
      <c r="T5" s="5"/>
    </row>
    <row r="6" spans="1:29" ht="3.75" customHeight="1" x14ac:dyDescent="0.25">
      <c r="A6" s="2"/>
      <c r="B6" s="3"/>
      <c r="C6" s="4"/>
      <c r="D6" s="4"/>
      <c r="E6" s="4"/>
      <c r="F6" s="4"/>
      <c r="H6" s="5"/>
      <c r="I6" s="5"/>
      <c r="J6" s="5"/>
      <c r="K6" s="6"/>
      <c r="L6" s="6"/>
      <c r="M6" s="6"/>
      <c r="N6" s="6"/>
      <c r="O6" s="6"/>
      <c r="P6" s="6"/>
      <c r="Q6" s="6"/>
      <c r="R6" s="5"/>
      <c r="S6" s="5"/>
      <c r="T6" s="5"/>
    </row>
    <row r="7" spans="1:29" ht="18.75" customHeight="1" x14ac:dyDescent="0.25">
      <c r="A7" s="2">
        <v>2</v>
      </c>
      <c r="B7" s="410" t="s">
        <v>40</v>
      </c>
      <c r="C7" s="410"/>
      <c r="D7" s="410"/>
      <c r="E7" s="410"/>
      <c r="F7" s="410"/>
      <c r="G7" s="410"/>
      <c r="H7" s="410"/>
      <c r="I7" s="410"/>
      <c r="J7" s="410"/>
      <c r="K7" s="410"/>
      <c r="L7" s="421" t="str">
        <f>'DATA INPUT'!$O$3</f>
        <v xml:space="preserve"> </v>
      </c>
      <c r="M7" s="422"/>
      <c r="N7" s="421">
        <f>'DATA INPUT'!$P$3</f>
        <v>1</v>
      </c>
      <c r="O7" s="422"/>
      <c r="P7" s="423" t="str">
        <f>'DATA INPUT'!$Q$3</f>
        <v xml:space="preserve"> </v>
      </c>
      <c r="Q7" s="424"/>
      <c r="R7" s="424"/>
      <c r="S7" s="425"/>
    </row>
    <row r="8" spans="1:29" ht="5.25" customHeight="1" x14ac:dyDescent="0.25">
      <c r="A8" s="2"/>
      <c r="B8" s="100"/>
      <c r="K8" s="7"/>
      <c r="L8" s="7"/>
      <c r="M8" s="7"/>
      <c r="N8" s="7"/>
      <c r="O8" s="7"/>
      <c r="P8" s="7"/>
      <c r="Q8" s="7"/>
      <c r="R8" s="7"/>
      <c r="S8" s="7"/>
    </row>
    <row r="9" spans="1:29" ht="18" customHeight="1" x14ac:dyDescent="0.25">
      <c r="A9" s="2">
        <v>3</v>
      </c>
      <c r="B9" s="410" t="s">
        <v>262</v>
      </c>
      <c r="C9" s="410"/>
      <c r="D9" s="410"/>
      <c r="E9" s="410"/>
      <c r="F9" s="410"/>
      <c r="G9" s="420"/>
      <c r="H9" s="73" t="str">
        <f>'DATA INPUT'!K4</f>
        <v/>
      </c>
      <c r="I9" s="323" t="str">
        <f>'DATA INPUT'!L4</f>
        <v/>
      </c>
      <c r="J9" s="323" t="str">
        <f>'DATA INPUT'!M4</f>
        <v/>
      </c>
      <c r="K9" s="323" t="str">
        <f>'DATA INPUT'!N4</f>
        <v/>
      </c>
      <c r="L9" s="323" t="str">
        <f>'DATA INPUT'!O4</f>
        <v/>
      </c>
      <c r="M9" s="323" t="str">
        <f>'DATA INPUT'!P4</f>
        <v/>
      </c>
      <c r="N9" s="323" t="str">
        <f>'DATA INPUT'!Q4</f>
        <v/>
      </c>
      <c r="O9" s="323" t="str">
        <f>'DATA INPUT'!R4</f>
        <v/>
      </c>
      <c r="P9" s="323" t="str">
        <f>'DATA INPUT'!S4</f>
        <v/>
      </c>
      <c r="Q9" s="323" t="str">
        <f>'DATA INPUT'!T4</f>
        <v/>
      </c>
      <c r="R9" s="323" t="str">
        <f>'DATA INPUT'!U4</f>
        <v/>
      </c>
      <c r="S9" s="323" t="str">
        <f>'DATA INPUT'!V4</f>
        <v/>
      </c>
    </row>
    <row r="10" spans="1:29" ht="15" x14ac:dyDescent="0.25">
      <c r="A10" s="2"/>
      <c r="B10" s="100"/>
      <c r="H10" s="5"/>
      <c r="I10" s="6"/>
      <c r="J10" s="6"/>
      <c r="K10" s="6"/>
      <c r="L10" s="6"/>
      <c r="M10" s="6"/>
      <c r="N10" s="6"/>
      <c r="O10" s="8" t="s">
        <v>41</v>
      </c>
      <c r="P10" s="6"/>
      <c r="Q10" s="6"/>
      <c r="R10" s="6"/>
      <c r="S10" s="6"/>
    </row>
    <row r="11" spans="1:29" ht="18.75" customHeight="1" x14ac:dyDescent="0.25">
      <c r="A11" s="2">
        <v>4</v>
      </c>
      <c r="B11" s="100" t="s">
        <v>42</v>
      </c>
      <c r="I11" s="5"/>
      <c r="J11" s="5"/>
      <c r="K11" s="5"/>
      <c r="L11" s="9"/>
      <c r="M11" s="73" t="str">
        <f>'DATA INPUT'!K6</f>
        <v/>
      </c>
      <c r="N11" s="73" t="str">
        <f>'DATA INPUT'!L6</f>
        <v/>
      </c>
      <c r="O11" s="73" t="str">
        <f>'DATA INPUT'!M6</f>
        <v/>
      </c>
      <c r="P11" s="73" t="str">
        <f>'DATA INPUT'!N6</f>
        <v/>
      </c>
      <c r="Q11" s="73" t="str">
        <f>'DATA INPUT'!O6</f>
        <v/>
      </c>
      <c r="R11" s="73" t="str">
        <f>'DATA INPUT'!P6</f>
        <v/>
      </c>
      <c r="S11" s="73" t="str">
        <f>'DATA INPUT'!Q6</f>
        <v/>
      </c>
      <c r="T11" s="73" t="str">
        <f>'DATA INPUT'!R6</f>
        <v/>
      </c>
      <c r="U11" s="73" t="str">
        <f>'DATA INPUT'!S6</f>
        <v/>
      </c>
      <c r="V11" s="73" t="str">
        <f>'DATA INPUT'!T6</f>
        <v/>
      </c>
      <c r="W11" s="73" t="str">
        <f>'DATA INPUT'!U6</f>
        <v/>
      </c>
      <c r="X11" s="73" t="str">
        <f>'DATA INPUT'!V6</f>
        <v/>
      </c>
      <c r="Y11" s="73" t="str">
        <f>'DATA INPUT'!W6</f>
        <v/>
      </c>
      <c r="Z11" s="73" t="str">
        <f>'DATA INPUT'!X6</f>
        <v/>
      </c>
      <c r="AA11" s="73" t="str">
        <f>'DATA INPUT'!Y6</f>
        <v/>
      </c>
      <c r="AB11" s="73" t="str">
        <f>'DATA INPUT'!Z6</f>
        <v/>
      </c>
      <c r="AC11" s="73" t="str">
        <f>'DATA INPUT'!AA6</f>
        <v/>
      </c>
    </row>
    <row r="12" spans="1:29" ht="14.25" customHeight="1" x14ac:dyDescent="0.25">
      <c r="A12" s="10"/>
      <c r="C12" s="100" t="s">
        <v>43</v>
      </c>
      <c r="D12" s="100"/>
      <c r="E12" s="100"/>
      <c r="F12" s="100"/>
      <c r="S12" s="1" t="s">
        <v>44</v>
      </c>
    </row>
    <row r="13" spans="1:29" ht="18.75" customHeight="1" x14ac:dyDescent="0.25">
      <c r="A13" s="1"/>
      <c r="B13" s="73" t="str">
        <f>'DATA INPUT'!AC6</f>
        <v/>
      </c>
      <c r="C13" s="73" t="str">
        <f>'DATA INPUT'!AD6</f>
        <v/>
      </c>
      <c r="D13" s="73" t="str">
        <f>'DATA INPUT'!AE6</f>
        <v/>
      </c>
      <c r="E13" s="73" t="str">
        <f>'DATA INPUT'!AF6</f>
        <v/>
      </c>
      <c r="F13" s="73" t="str">
        <f>'DATA INPUT'!AG6</f>
        <v/>
      </c>
      <c r="G13" s="73" t="str">
        <f>'DATA INPUT'!AH6</f>
        <v/>
      </c>
      <c r="H13" s="73" t="str">
        <f>'DATA INPUT'!AI6</f>
        <v/>
      </c>
      <c r="I13" s="73" t="str">
        <f>'DATA INPUT'!AJ6</f>
        <v/>
      </c>
      <c r="J13" s="73" t="str">
        <f>'DATA INPUT'!AK6</f>
        <v/>
      </c>
      <c r="K13" s="73" t="str">
        <f>'DATA INPUT'!AL6</f>
        <v/>
      </c>
      <c r="L13" s="73" t="str">
        <f>'DATA INPUT'!AM6</f>
        <v/>
      </c>
      <c r="M13" s="73" t="str">
        <f>'DATA INPUT'!AN6</f>
        <v/>
      </c>
      <c r="N13" s="73" t="str">
        <f>'DATA INPUT'!AO6</f>
        <v/>
      </c>
      <c r="O13" s="73" t="str">
        <f>'DATA INPUT'!AP6</f>
        <v/>
      </c>
      <c r="P13" s="73"/>
      <c r="Q13" s="73" t="str">
        <f>'DATA INPUT'!AR6</f>
        <v/>
      </c>
      <c r="R13" s="73" t="str">
        <f>'DATA INPUT'!AS6</f>
        <v/>
      </c>
      <c r="S13" s="73" t="str">
        <f>'DATA INPUT'!AT6</f>
        <v/>
      </c>
      <c r="T13" s="73" t="str">
        <f>'DATA INPUT'!AU6</f>
        <v/>
      </c>
      <c r="U13" s="73" t="str">
        <f>'DATA INPUT'!AV6</f>
        <v/>
      </c>
      <c r="V13" s="73" t="str">
        <f>'DATA INPUT'!AW6</f>
        <v/>
      </c>
      <c r="W13" s="73" t="str">
        <f>'DATA INPUT'!AX6</f>
        <v/>
      </c>
      <c r="X13" s="73" t="str">
        <f>'DATA INPUT'!AY6</f>
        <v/>
      </c>
      <c r="Y13" s="73" t="str">
        <f>'DATA INPUT'!AZ6</f>
        <v/>
      </c>
      <c r="Z13" s="73" t="str">
        <f>'DATA INPUT'!BA6</f>
        <v/>
      </c>
      <c r="AA13" s="73" t="str">
        <f>'DATA INPUT'!BB6</f>
        <v/>
      </c>
      <c r="AB13" s="73" t="str">
        <f>'DATA INPUT'!BC6</f>
        <v/>
      </c>
      <c r="AC13" s="73" t="str">
        <f>'DATA INPUT'!BD6</f>
        <v/>
      </c>
    </row>
    <row r="14" spans="1:29" ht="5.25" customHeight="1" x14ac:dyDescent="0.25">
      <c r="A14" s="1"/>
      <c r="B14" s="5"/>
      <c r="C14" s="5"/>
      <c r="D14" s="5"/>
      <c r="E14" s="5"/>
      <c r="F14" s="11"/>
      <c r="G14" s="11"/>
      <c r="H14" s="11"/>
      <c r="I14" s="6"/>
      <c r="J14" s="6"/>
      <c r="K14" s="6"/>
      <c r="L14" s="6"/>
      <c r="M14" s="6"/>
      <c r="N14" s="5"/>
      <c r="O14" s="5"/>
      <c r="P14" s="5"/>
      <c r="Q14" s="5"/>
      <c r="R14" s="5"/>
      <c r="S14" s="5"/>
      <c r="T14" s="5"/>
      <c r="U14" s="5"/>
      <c r="V14" s="11"/>
      <c r="W14" s="11"/>
      <c r="X14" s="11"/>
      <c r="Y14" s="11"/>
      <c r="Z14" s="11"/>
      <c r="AA14" s="11"/>
      <c r="AB14" s="5"/>
    </row>
    <row r="15" spans="1:29" ht="18" customHeight="1" x14ac:dyDescent="0.25">
      <c r="A15" s="2">
        <v>5</v>
      </c>
      <c r="B15" s="100" t="s">
        <v>45</v>
      </c>
      <c r="F15" s="426" t="str">
        <f>'DATA INPUT'!$O$7</f>
        <v xml:space="preserve"> </v>
      </c>
      <c r="G15" s="427"/>
      <c r="H15" s="426">
        <f>'DATA INPUT'!$P$7</f>
        <v>1</v>
      </c>
      <c r="I15" s="427"/>
      <c r="J15" s="428">
        <f>'DATA INPUT'!$Q$7</f>
        <v>1900</v>
      </c>
      <c r="K15" s="429"/>
      <c r="L15" s="429"/>
      <c r="M15" s="430"/>
      <c r="O15" s="410" t="s">
        <v>46</v>
      </c>
      <c r="P15" s="410"/>
      <c r="Q15" s="410"/>
      <c r="R15" s="410"/>
      <c r="S15" s="410"/>
      <c r="T15" s="410"/>
      <c r="V15" s="426" t="str">
        <f>'DATA INPUT'!$O$8</f>
        <v xml:space="preserve"> </v>
      </c>
      <c r="W15" s="427"/>
      <c r="X15" s="426">
        <f>'DATA INPUT'!$P$8</f>
        <v>1</v>
      </c>
      <c r="Y15" s="427"/>
      <c r="Z15" s="428">
        <f>'DATA INPUT'!$Q$8</f>
        <v>1900</v>
      </c>
      <c r="AA15" s="429"/>
      <c r="AB15" s="429"/>
      <c r="AC15" s="430"/>
    </row>
    <row r="16" spans="1:29" ht="6" customHeight="1" x14ac:dyDescent="0.25">
      <c r="A16" s="2"/>
      <c r="B16" s="12"/>
      <c r="V16" s="18"/>
      <c r="W16" s="18"/>
      <c r="X16" s="18"/>
      <c r="Y16" s="18"/>
      <c r="Z16" s="18"/>
      <c r="AA16" s="18"/>
      <c r="AB16" s="18"/>
      <c r="AC16" s="18"/>
    </row>
    <row r="17" spans="1:30" ht="22.5" customHeight="1" x14ac:dyDescent="0.25">
      <c r="A17" s="2">
        <v>7</v>
      </c>
      <c r="B17" s="444" t="s">
        <v>196</v>
      </c>
      <c r="C17" s="444"/>
      <c r="D17" s="444"/>
      <c r="E17" s="445"/>
      <c r="F17" s="426" t="str">
        <f>'DATA INPUT'!$O$9</f>
        <v xml:space="preserve"> </v>
      </c>
      <c r="G17" s="427"/>
      <c r="H17" s="426">
        <f>'DATA INPUT'!$P$9</f>
        <v>1</v>
      </c>
      <c r="I17" s="427"/>
      <c r="J17" s="428">
        <f>'DATA INPUT'!$Q$9</f>
        <v>1900</v>
      </c>
      <c r="K17" s="429"/>
      <c r="L17" s="429"/>
      <c r="M17" s="430"/>
      <c r="O17" s="419" t="s">
        <v>197</v>
      </c>
      <c r="P17" s="419"/>
      <c r="Q17" s="419"/>
      <c r="R17" s="419"/>
      <c r="S17" s="419"/>
      <c r="T17" s="419"/>
      <c r="U17" s="446"/>
      <c r="V17" s="426" t="str">
        <f>'DATA INPUT'!$O$10</f>
        <v xml:space="preserve"> </v>
      </c>
      <c r="W17" s="427"/>
      <c r="X17" s="426">
        <f>'DATA INPUT'!$P$10</f>
        <v>1</v>
      </c>
      <c r="Y17" s="427"/>
      <c r="Z17" s="428">
        <f>'DATA INPUT'!$Q$10</f>
        <v>1900</v>
      </c>
      <c r="AA17" s="429"/>
      <c r="AB17" s="429"/>
      <c r="AC17" s="430"/>
    </row>
    <row r="18" spans="1:30" ht="5.25" customHeight="1" x14ac:dyDescent="0.25">
      <c r="A18" s="10"/>
    </row>
    <row r="19" spans="1:30" ht="19.5" customHeight="1" x14ac:dyDescent="0.25">
      <c r="A19" s="2">
        <v>9</v>
      </c>
      <c r="B19" s="100" t="s">
        <v>115</v>
      </c>
      <c r="F19" s="73" t="str">
        <f>'DATA INPUT'!K11</f>
        <v/>
      </c>
      <c r="G19" s="73" t="str">
        <f>'DATA INPUT'!L11</f>
        <v/>
      </c>
      <c r="H19" s="73" t="str">
        <f>'DATA INPUT'!M11</f>
        <v/>
      </c>
      <c r="I19" s="73" t="str">
        <f>'DATA INPUT'!N11</f>
        <v/>
      </c>
      <c r="J19" s="73" t="str">
        <f>'DATA INPUT'!O11</f>
        <v/>
      </c>
      <c r="K19" s="73" t="str">
        <f>'DATA INPUT'!P11</f>
        <v/>
      </c>
      <c r="L19" s="73" t="str">
        <f>'DATA INPUT'!Q11</f>
        <v/>
      </c>
      <c r="M19" s="73" t="str">
        <f>'DATA INPUT'!R11</f>
        <v/>
      </c>
      <c r="N19" s="73" t="str">
        <f>'DATA INPUT'!S11</f>
        <v/>
      </c>
      <c r="O19" s="73" t="str">
        <f>'DATA INPUT'!T11</f>
        <v/>
      </c>
      <c r="P19" s="73" t="str">
        <f>'DATA INPUT'!U11</f>
        <v/>
      </c>
      <c r="Q19" s="73" t="str">
        <f>'DATA INPUT'!V11</f>
        <v/>
      </c>
      <c r="R19" s="73" t="str">
        <f>'DATA INPUT'!W11</f>
        <v/>
      </c>
      <c r="S19" s="73" t="str">
        <f>'DATA INPUT'!X11</f>
        <v/>
      </c>
      <c r="T19" s="73" t="str">
        <f>'DATA INPUT'!Y11</f>
        <v/>
      </c>
      <c r="U19" s="73" t="str">
        <f>'DATA INPUT'!Z11</f>
        <v/>
      </c>
      <c r="V19" s="73" t="str">
        <f>'DATA INPUT'!AA11</f>
        <v/>
      </c>
      <c r="W19" s="73" t="str">
        <f>'DATA INPUT'!AB11</f>
        <v/>
      </c>
      <c r="X19" s="73" t="str">
        <f>'DATA INPUT'!AC11</f>
        <v/>
      </c>
      <c r="Y19" s="73" t="str">
        <f>'DATA INPUT'!AD11</f>
        <v/>
      </c>
      <c r="Z19" s="73" t="str">
        <f>'DATA INPUT'!AE11</f>
        <v/>
      </c>
      <c r="AA19" s="73" t="str">
        <f>'DATA INPUT'!AF11</f>
        <v/>
      </c>
      <c r="AB19" s="73" t="str">
        <f>'DATA INPUT'!AG11</f>
        <v/>
      </c>
      <c r="AC19" s="73" t="str">
        <f>'DATA INPUT'!AH11</f>
        <v/>
      </c>
    </row>
    <row r="20" spans="1:30" s="5" customFormat="1" ht="6" customHeight="1" x14ac:dyDescent="0.25">
      <c r="A20" s="105"/>
      <c r="H20" s="6"/>
      <c r="I20" s="11"/>
      <c r="J20" s="11"/>
      <c r="K20" s="11"/>
      <c r="L20" s="11"/>
      <c r="M20" s="11"/>
      <c r="N20" s="11"/>
      <c r="O20" s="11"/>
      <c r="P20" s="11"/>
      <c r="Q20" s="11"/>
      <c r="R20" s="11"/>
      <c r="S20" s="11"/>
      <c r="T20" s="11"/>
      <c r="U20" s="11"/>
      <c r="V20" s="11"/>
      <c r="W20" s="7"/>
      <c r="X20" s="7"/>
      <c r="Y20" s="7"/>
    </row>
    <row r="21" spans="1:30" ht="17.25" customHeight="1" x14ac:dyDescent="0.25">
      <c r="A21" s="2">
        <v>10</v>
      </c>
      <c r="B21" s="1" t="s">
        <v>47</v>
      </c>
      <c r="H21" s="73" t="str">
        <f>'DATA INPUT'!K12</f>
        <v/>
      </c>
      <c r="I21" s="73" t="str">
        <f>'DATA INPUT'!L12</f>
        <v/>
      </c>
      <c r="J21" s="73" t="str">
        <f>'DATA INPUT'!M12</f>
        <v/>
      </c>
      <c r="K21" s="73" t="str">
        <f>'DATA INPUT'!N12</f>
        <v/>
      </c>
      <c r="L21" s="73" t="str">
        <f>'DATA INPUT'!O12</f>
        <v/>
      </c>
      <c r="M21" s="73" t="str">
        <f>'DATA INPUT'!P12</f>
        <v/>
      </c>
      <c r="N21" s="73" t="str">
        <f>'DATA INPUT'!Q12</f>
        <v/>
      </c>
      <c r="O21" s="73" t="str">
        <f>'DATA INPUT'!R12</f>
        <v/>
      </c>
      <c r="P21" s="73" t="str">
        <f>'DATA INPUT'!S12</f>
        <v/>
      </c>
      <c r="Q21" s="73" t="str">
        <f>'DATA INPUT'!T12</f>
        <v/>
      </c>
      <c r="R21" s="73" t="str">
        <f>'DATA INPUT'!U12</f>
        <v/>
      </c>
      <c r="S21" s="73" t="str">
        <f>'DATA INPUT'!V12</f>
        <v/>
      </c>
      <c r="T21" s="73" t="str">
        <f>'DATA INPUT'!W12</f>
        <v/>
      </c>
      <c r="U21" s="73" t="str">
        <f>'DATA INPUT'!X12</f>
        <v/>
      </c>
      <c r="V21" s="73" t="str">
        <f>'DATA INPUT'!Y12</f>
        <v/>
      </c>
      <c r="W21" s="73" t="str">
        <f>'DATA INPUT'!Z12</f>
        <v/>
      </c>
      <c r="X21" s="73" t="str">
        <f>'DATA INPUT'!AA12</f>
        <v/>
      </c>
      <c r="Y21" s="73" t="str">
        <f>'DATA INPUT'!AB12</f>
        <v/>
      </c>
      <c r="Z21" s="73" t="str">
        <f>'DATA INPUT'!AC12</f>
        <v/>
      </c>
      <c r="AA21" s="73" t="str">
        <f>'DATA INPUT'!AD12</f>
        <v/>
      </c>
      <c r="AB21" s="73" t="str">
        <f>'DATA INPUT'!AE12</f>
        <v/>
      </c>
      <c r="AC21" s="73" t="str">
        <f>'DATA INPUT'!AF12</f>
        <v/>
      </c>
    </row>
    <row r="22" spans="1:30" ht="3.75" customHeight="1" x14ac:dyDescent="0.25">
      <c r="A22" s="13"/>
      <c r="H22" s="324"/>
      <c r="I22" s="325"/>
      <c r="J22" s="325"/>
      <c r="K22" s="325"/>
      <c r="L22" s="325"/>
      <c r="M22" s="325"/>
      <c r="N22" s="325"/>
      <c r="O22" s="325"/>
      <c r="P22" s="325"/>
      <c r="Q22" s="325"/>
      <c r="R22" s="325"/>
      <c r="S22" s="325"/>
      <c r="T22" s="325"/>
      <c r="U22" s="325"/>
      <c r="V22" s="325"/>
      <c r="W22" s="325"/>
      <c r="X22" s="325"/>
      <c r="Y22" s="325"/>
      <c r="Z22" s="326"/>
      <c r="AA22" s="325"/>
      <c r="AB22" s="327"/>
      <c r="AC22" s="327"/>
    </row>
    <row r="23" spans="1:30" ht="17.25" customHeight="1" x14ac:dyDescent="0.25">
      <c r="A23" s="2">
        <v>11</v>
      </c>
      <c r="B23" s="1" t="s">
        <v>269</v>
      </c>
      <c r="H23" s="73" t="str">
        <f>'DATA INPUT'!K13</f>
        <v/>
      </c>
      <c r="I23" s="73" t="str">
        <f>'DATA INPUT'!L13</f>
        <v/>
      </c>
      <c r="J23" s="73" t="str">
        <f>'DATA INPUT'!M13</f>
        <v/>
      </c>
      <c r="K23" s="73" t="str">
        <f>'DATA INPUT'!N13</f>
        <v/>
      </c>
      <c r="L23" s="73" t="str">
        <f>'DATA INPUT'!O13</f>
        <v/>
      </c>
      <c r="M23" s="73" t="str">
        <f>'DATA INPUT'!P13</f>
        <v/>
      </c>
      <c r="N23" s="73" t="str">
        <f>'DATA INPUT'!Q13</f>
        <v/>
      </c>
      <c r="O23" s="73" t="str">
        <f>'DATA INPUT'!R13</f>
        <v/>
      </c>
      <c r="P23" s="73" t="str">
        <f>'DATA INPUT'!S13</f>
        <v/>
      </c>
      <c r="Q23" s="73" t="str">
        <f>'DATA INPUT'!T13</f>
        <v/>
      </c>
      <c r="R23" s="73" t="str">
        <f>'DATA INPUT'!U13</f>
        <v/>
      </c>
      <c r="S23" s="73" t="str">
        <f>'DATA INPUT'!V13</f>
        <v/>
      </c>
      <c r="T23" s="73" t="str">
        <f>'DATA INPUT'!W13</f>
        <v/>
      </c>
      <c r="U23" s="73" t="str">
        <f>'DATA INPUT'!X13</f>
        <v/>
      </c>
      <c r="V23" s="73" t="str">
        <f>'DATA INPUT'!Y13</f>
        <v/>
      </c>
      <c r="W23" s="73" t="str">
        <f>'DATA INPUT'!Z13</f>
        <v/>
      </c>
      <c r="X23" s="328" t="str">
        <f>'DATA INPUT'!AA13</f>
        <v/>
      </c>
      <c r="Y23" s="73" t="str">
        <f>'DATA INPUT'!AB13</f>
        <v/>
      </c>
      <c r="Z23" s="73" t="str">
        <f>'DATA INPUT'!AC13</f>
        <v/>
      </c>
      <c r="AA23" s="73" t="str">
        <f>'DATA INPUT'!AD13</f>
        <v/>
      </c>
      <c r="AB23" s="73" t="str">
        <f>'DATA INPUT'!AE13</f>
        <v/>
      </c>
      <c r="AC23" s="73" t="str">
        <f>'DATA INPUT'!AF13</f>
        <v/>
      </c>
    </row>
    <row r="24" spans="1:30" ht="6" customHeight="1" x14ac:dyDescent="0.25">
      <c r="A24" s="1"/>
      <c r="H24" s="5"/>
      <c r="I24" s="5"/>
      <c r="J24" s="5"/>
      <c r="K24" s="5"/>
      <c r="L24" s="5"/>
      <c r="M24" s="5"/>
      <c r="N24" s="5"/>
      <c r="O24" s="5"/>
      <c r="P24" s="5"/>
      <c r="Q24" s="5"/>
      <c r="R24" s="5"/>
      <c r="S24" s="5"/>
      <c r="T24" s="5"/>
      <c r="U24" s="5"/>
      <c r="V24" s="5"/>
      <c r="W24" s="5"/>
      <c r="X24" s="5"/>
      <c r="Y24" s="5"/>
      <c r="Z24" s="5"/>
      <c r="AA24" s="5"/>
    </row>
    <row r="25" spans="1:30" ht="17.25" customHeight="1" x14ac:dyDescent="0.25">
      <c r="A25" s="2">
        <v>12</v>
      </c>
      <c r="B25" s="100" t="s">
        <v>48</v>
      </c>
      <c r="F25" s="329" t="str">
        <f>'DATA INPUT'!K14</f>
        <v/>
      </c>
      <c r="G25" s="329" t="str">
        <f>'DATA INPUT'!L14</f>
        <v/>
      </c>
      <c r="H25" s="329" t="str">
        <f>'DATA INPUT'!M14</f>
        <v/>
      </c>
      <c r="I25" s="329" t="str">
        <f>'DATA INPUT'!N14</f>
        <v/>
      </c>
      <c r="J25" s="329" t="str">
        <f>'DATA INPUT'!O14</f>
        <v/>
      </c>
      <c r="K25" s="329" t="str">
        <f>'DATA INPUT'!P14</f>
        <v/>
      </c>
      <c r="L25" s="329" t="str">
        <f>'DATA INPUT'!Q14</f>
        <v/>
      </c>
      <c r="M25" s="329" t="str">
        <f>'DATA INPUT'!R14</f>
        <v/>
      </c>
      <c r="N25" s="329" t="str">
        <f>'DATA INPUT'!S14</f>
        <v/>
      </c>
      <c r="O25" s="329" t="str">
        <f>'DATA INPUT'!T14</f>
        <v/>
      </c>
      <c r="P25" s="1" t="s">
        <v>49</v>
      </c>
      <c r="T25" s="329" t="str">
        <f>'DATA INPUT'!K15</f>
        <v/>
      </c>
      <c r="U25" s="329" t="str">
        <f>'DATA INPUT'!L15</f>
        <v/>
      </c>
      <c r="V25" s="329" t="str">
        <f>'DATA INPUT'!M15</f>
        <v/>
      </c>
      <c r="W25" s="329" t="str">
        <f>'DATA INPUT'!N15</f>
        <v/>
      </c>
      <c r="X25" s="329" t="str">
        <f>'DATA INPUT'!O15</f>
        <v/>
      </c>
      <c r="Y25" s="329" t="str">
        <f>'DATA INPUT'!P15</f>
        <v/>
      </c>
      <c r="Z25" s="329" t="str">
        <f>'DATA INPUT'!Q15</f>
        <v/>
      </c>
      <c r="AA25" s="329" t="str">
        <f>'DATA INPUT'!R15</f>
        <v/>
      </c>
      <c r="AB25" s="329" t="str">
        <f>'DATA INPUT'!S15</f>
        <v/>
      </c>
      <c r="AC25" s="329" t="str">
        <f>'DATA INPUT'!T15</f>
        <v/>
      </c>
    </row>
    <row r="26" spans="1:30" ht="15" x14ac:dyDescent="0.25">
      <c r="A26" s="433" t="s">
        <v>50</v>
      </c>
      <c r="B26" s="433"/>
      <c r="C26" s="433"/>
      <c r="D26" s="433"/>
      <c r="E26" s="433"/>
      <c r="F26" s="433"/>
      <c r="G26" s="433"/>
      <c r="H26" s="433"/>
      <c r="I26" s="433"/>
      <c r="J26" s="433"/>
      <c r="K26" s="433"/>
      <c r="L26" s="433"/>
      <c r="M26" s="433"/>
      <c r="N26" s="433"/>
      <c r="O26" s="433"/>
      <c r="P26" s="433"/>
      <c r="Q26" s="433"/>
      <c r="R26" s="433"/>
      <c r="S26" s="433"/>
      <c r="T26" s="433"/>
      <c r="U26" s="433"/>
      <c r="V26" s="433"/>
      <c r="W26" s="433"/>
      <c r="X26" s="433"/>
      <c r="Y26" s="433"/>
      <c r="Z26" s="433"/>
      <c r="AA26" s="433"/>
      <c r="AB26" s="433"/>
      <c r="AC26" s="433"/>
    </row>
    <row r="27" spans="1:30" ht="12.75" customHeight="1" x14ac:dyDescent="0.25">
      <c r="A27" s="2">
        <v>14</v>
      </c>
      <c r="B27" s="12" t="s">
        <v>51</v>
      </c>
    </row>
    <row r="28" spans="1:30" ht="15.75" customHeight="1" x14ac:dyDescent="0.25">
      <c r="A28" s="1"/>
      <c r="B28" s="330" t="str">
        <f>'DATA INPUT'!K17</f>
        <v/>
      </c>
      <c r="C28" s="330" t="str">
        <f>'DATA INPUT'!L17</f>
        <v/>
      </c>
      <c r="D28" s="330" t="str">
        <f>'DATA INPUT'!M17</f>
        <v/>
      </c>
      <c r="E28" s="331" t="str">
        <f>'DATA INPUT'!N17</f>
        <v/>
      </c>
      <c r="F28" s="330" t="str">
        <f>'DATA INPUT'!O17</f>
        <v/>
      </c>
      <c r="G28" s="330" t="str">
        <f>'DATA INPUT'!P17</f>
        <v/>
      </c>
      <c r="H28" s="330" t="str">
        <f>'DATA INPUT'!Q17</f>
        <v/>
      </c>
      <c r="I28" s="330" t="str">
        <f>'DATA INPUT'!R17</f>
        <v/>
      </c>
      <c r="J28" s="330" t="str">
        <f>'DATA INPUT'!S17</f>
        <v/>
      </c>
      <c r="K28" s="330" t="str">
        <f>'DATA INPUT'!T17</f>
        <v/>
      </c>
      <c r="L28" s="330" t="str">
        <f>'DATA INPUT'!U17</f>
        <v/>
      </c>
      <c r="M28" s="330" t="str">
        <f>'DATA INPUT'!V17</f>
        <v/>
      </c>
      <c r="N28" s="330" t="str">
        <f>'DATA INPUT'!W17</f>
        <v/>
      </c>
      <c r="O28" s="330" t="str">
        <f>'DATA INPUT'!X17</f>
        <v/>
      </c>
      <c r="P28" s="330" t="str">
        <f>'DATA INPUT'!Y17</f>
        <v/>
      </c>
      <c r="Q28" s="330" t="str">
        <f>'DATA INPUT'!Z17</f>
        <v/>
      </c>
      <c r="R28" s="330" t="str">
        <f>'DATA INPUT'!AA17</f>
        <v/>
      </c>
      <c r="S28" s="330" t="str">
        <f>'DATA INPUT'!AB17</f>
        <v/>
      </c>
      <c r="T28" s="330" t="str">
        <f>'DATA INPUT'!AC17</f>
        <v/>
      </c>
      <c r="U28" s="330" t="str">
        <f>'DATA INPUT'!AD17</f>
        <v/>
      </c>
      <c r="V28" s="330" t="str">
        <f>'DATA INPUT'!AE17</f>
        <v/>
      </c>
      <c r="W28" s="330" t="str">
        <f>'DATA INPUT'!AF17</f>
        <v/>
      </c>
      <c r="X28" s="73" t="str">
        <f>'DATA INPUT'!AG17</f>
        <v/>
      </c>
      <c r="Y28" s="73" t="str">
        <f>'DATA INPUT'!AH17</f>
        <v/>
      </c>
      <c r="Z28" s="73" t="str">
        <f>'DATA INPUT'!AI17</f>
        <v/>
      </c>
      <c r="AA28" s="73" t="str">
        <f>'DATA INPUT'!AJ17</f>
        <v/>
      </c>
      <c r="AB28" s="73" t="str">
        <f>'DATA INPUT'!AK17</f>
        <v/>
      </c>
      <c r="AC28" s="73" t="str">
        <f>'DATA INPUT'!AL17</f>
        <v/>
      </c>
      <c r="AD28" s="18"/>
    </row>
    <row r="29" spans="1:30" ht="15" x14ac:dyDescent="0.25">
      <c r="A29" s="1"/>
      <c r="B29" s="12" t="s">
        <v>52</v>
      </c>
    </row>
    <row r="30" spans="1:30" ht="15.75" customHeight="1" x14ac:dyDescent="0.25">
      <c r="A30" s="1"/>
      <c r="B30" s="330" t="str">
        <f>'DATA INPUT'!K18</f>
        <v/>
      </c>
      <c r="C30" s="330" t="str">
        <f>'DATA INPUT'!L18</f>
        <v/>
      </c>
      <c r="D30" s="330" t="str">
        <f>'DATA INPUT'!M18</f>
        <v/>
      </c>
      <c r="E30" s="330" t="str">
        <f>'DATA INPUT'!N18</f>
        <v/>
      </c>
      <c r="F30" s="330" t="str">
        <f>'DATA INPUT'!O18</f>
        <v/>
      </c>
      <c r="G30" s="330" t="str">
        <f>'DATA INPUT'!P18</f>
        <v/>
      </c>
      <c r="H30" s="330" t="str">
        <f>'DATA INPUT'!Q18</f>
        <v/>
      </c>
      <c r="I30" s="330" t="str">
        <f>'DATA INPUT'!R18</f>
        <v/>
      </c>
      <c r="J30" s="330" t="str">
        <f>'DATA INPUT'!S18</f>
        <v/>
      </c>
      <c r="K30" s="330" t="str">
        <f>'DATA INPUT'!T18</f>
        <v/>
      </c>
      <c r="L30" s="330" t="str">
        <f>'DATA INPUT'!U18</f>
        <v/>
      </c>
      <c r="M30" s="330" t="str">
        <f>'DATA INPUT'!V18</f>
        <v/>
      </c>
      <c r="N30" s="330" t="str">
        <f>'DATA INPUT'!W18</f>
        <v/>
      </c>
      <c r="O30" s="330" t="str">
        <f>'DATA INPUT'!X18</f>
        <v/>
      </c>
      <c r="P30" s="330" t="str">
        <f>'DATA INPUT'!Y18</f>
        <v/>
      </c>
      <c r="Q30" s="330" t="str">
        <f>'DATA INPUT'!Z18</f>
        <v/>
      </c>
      <c r="R30" s="330" t="str">
        <f>'DATA INPUT'!AA18</f>
        <v/>
      </c>
      <c r="S30" s="330" t="str">
        <f>'DATA INPUT'!AB18</f>
        <v/>
      </c>
      <c r="T30" s="330" t="str">
        <f>'DATA INPUT'!AC18</f>
        <v/>
      </c>
      <c r="U30" s="330" t="str">
        <f>'DATA INPUT'!AD18</f>
        <v/>
      </c>
      <c r="V30" s="330" t="str">
        <f>'DATA INPUT'!AE18</f>
        <v/>
      </c>
      <c r="W30" s="330" t="str">
        <f>'DATA INPUT'!AF18</f>
        <v/>
      </c>
      <c r="X30" s="330" t="str">
        <f>'DATA INPUT'!AG18</f>
        <v/>
      </c>
      <c r="Y30" s="330" t="str">
        <f>'DATA INPUT'!AH18</f>
        <v/>
      </c>
      <c r="Z30" s="330" t="str">
        <f>'DATA INPUT'!AI18</f>
        <v/>
      </c>
      <c r="AA30" s="73" t="str">
        <f>'DATA INPUT'!AJ18</f>
        <v/>
      </c>
      <c r="AB30" s="73" t="str">
        <f>'DATA INPUT'!AK18</f>
        <v/>
      </c>
      <c r="AC30" s="73" t="str">
        <f>'DATA INPUT'!AL18</f>
        <v/>
      </c>
    </row>
    <row r="31" spans="1:30" ht="15" x14ac:dyDescent="0.25">
      <c r="A31" s="1"/>
      <c r="B31" s="12" t="s">
        <v>53</v>
      </c>
    </row>
    <row r="32" spans="1:30" ht="16.5" customHeight="1" x14ac:dyDescent="0.25">
      <c r="A32" s="1"/>
      <c r="B32" s="73" t="str">
        <f>'DATA INPUT'!K19</f>
        <v/>
      </c>
      <c r="C32" s="73" t="str">
        <f>'DATA INPUT'!L19</f>
        <v/>
      </c>
      <c r="D32" s="73" t="str">
        <f>'DATA INPUT'!M19</f>
        <v/>
      </c>
      <c r="E32" s="73" t="str">
        <f>'DATA INPUT'!N19</f>
        <v/>
      </c>
      <c r="F32" s="73" t="str">
        <f>'DATA INPUT'!O19</f>
        <v/>
      </c>
      <c r="G32" s="73" t="str">
        <f>'DATA INPUT'!P19</f>
        <v/>
      </c>
      <c r="H32" s="73" t="str">
        <f>'DATA INPUT'!Q19</f>
        <v/>
      </c>
      <c r="I32" s="73" t="str">
        <f>'DATA INPUT'!R19</f>
        <v/>
      </c>
      <c r="J32" s="73" t="str">
        <f>'DATA INPUT'!S19</f>
        <v/>
      </c>
      <c r="K32" s="73" t="str">
        <f>'DATA INPUT'!T19</f>
        <v/>
      </c>
      <c r="L32" s="73" t="str">
        <f>'DATA INPUT'!U19</f>
        <v/>
      </c>
      <c r="M32" s="73" t="str">
        <f>'DATA INPUT'!V19</f>
        <v/>
      </c>
      <c r="N32" s="73" t="str">
        <f>'DATA INPUT'!W19</f>
        <v/>
      </c>
      <c r="O32" s="73" t="str">
        <f>'DATA INPUT'!X19</f>
        <v/>
      </c>
      <c r="P32" s="73" t="str">
        <f>'DATA INPUT'!Y19</f>
        <v/>
      </c>
      <c r="Q32" s="73" t="str">
        <f>'DATA INPUT'!Z19</f>
        <v/>
      </c>
      <c r="R32" s="73" t="str">
        <f>'DATA INPUT'!AA19</f>
        <v/>
      </c>
      <c r="S32" s="73" t="str">
        <f>'DATA INPUT'!AB19</f>
        <v/>
      </c>
      <c r="T32" s="73" t="str">
        <f>'DATA INPUT'!AC19</f>
        <v/>
      </c>
      <c r="U32" s="73" t="str">
        <f>'DATA INPUT'!AD19</f>
        <v/>
      </c>
      <c r="V32" s="73" t="str">
        <f>'DATA INPUT'!AE19</f>
        <v/>
      </c>
      <c r="W32" s="73" t="str">
        <f>'DATA INPUT'!AF19</f>
        <v/>
      </c>
      <c r="X32" s="73" t="str">
        <f>'DATA INPUT'!AG19</f>
        <v/>
      </c>
      <c r="Y32" s="73" t="str">
        <f>'DATA INPUT'!AH19</f>
        <v/>
      </c>
      <c r="Z32" s="73" t="str">
        <f>'DATA INPUT'!AI19</f>
        <v/>
      </c>
      <c r="AA32" s="73" t="str">
        <f>'DATA INPUT'!AJ19</f>
        <v/>
      </c>
      <c r="AB32" s="73" t="str">
        <f>'DATA INPUT'!AK19</f>
        <v/>
      </c>
      <c r="AC32" s="73" t="str">
        <f>'DATA INPUT'!AL19</f>
        <v/>
      </c>
    </row>
    <row r="33" spans="1:29" ht="15" x14ac:dyDescent="0.25">
      <c r="A33" s="1"/>
      <c r="B33" s="12" t="s">
        <v>54</v>
      </c>
    </row>
    <row r="34" spans="1:29" ht="15" customHeight="1" x14ac:dyDescent="0.25">
      <c r="A34" s="1"/>
      <c r="B34" s="330" t="str">
        <f>'DATA INPUT'!K20</f>
        <v/>
      </c>
      <c r="C34" s="330" t="str">
        <f>'DATA INPUT'!L20</f>
        <v/>
      </c>
      <c r="D34" s="330" t="str">
        <f>'DATA INPUT'!M20</f>
        <v/>
      </c>
      <c r="E34" s="330" t="str">
        <f>'DATA INPUT'!N20</f>
        <v/>
      </c>
      <c r="F34" s="330" t="str">
        <f>'DATA INPUT'!O20</f>
        <v/>
      </c>
      <c r="G34" s="330" t="str">
        <f>'DATA INPUT'!P20</f>
        <v/>
      </c>
      <c r="H34" s="330" t="str">
        <f>'DATA INPUT'!Q20</f>
        <v/>
      </c>
      <c r="I34" s="330" t="str">
        <f>'DATA INPUT'!R20</f>
        <v/>
      </c>
      <c r="J34" s="330" t="str">
        <f>'DATA INPUT'!S20</f>
        <v/>
      </c>
      <c r="K34" s="330" t="str">
        <f>'DATA INPUT'!T20</f>
        <v/>
      </c>
      <c r="L34" s="330" t="str">
        <f>'DATA INPUT'!U20</f>
        <v/>
      </c>
      <c r="M34" s="330" t="str">
        <f>'DATA INPUT'!V20</f>
        <v/>
      </c>
      <c r="N34" s="330" t="str">
        <f>'DATA INPUT'!W20</f>
        <v/>
      </c>
      <c r="O34" s="330" t="str">
        <f>'DATA INPUT'!X20</f>
        <v/>
      </c>
      <c r="P34" s="330" t="str">
        <f>'DATA INPUT'!Y20</f>
        <v/>
      </c>
      <c r="Q34" s="330" t="str">
        <f>'DATA INPUT'!Z20</f>
        <v/>
      </c>
      <c r="R34" s="330" t="str">
        <f>'DATA INPUT'!AA20</f>
        <v/>
      </c>
      <c r="S34" s="330" t="str">
        <f>'DATA INPUT'!AB20</f>
        <v/>
      </c>
      <c r="T34" s="330" t="str">
        <f>'DATA INPUT'!AC20</f>
        <v/>
      </c>
      <c r="U34" s="330" t="str">
        <f>'DATA INPUT'!AD20</f>
        <v/>
      </c>
      <c r="V34" s="330" t="str">
        <f>'DATA INPUT'!AE20</f>
        <v/>
      </c>
      <c r="W34" s="330" t="str">
        <f>'DATA INPUT'!AF20</f>
        <v/>
      </c>
      <c r="X34" s="330" t="str">
        <f>'DATA INPUT'!AG20</f>
        <v/>
      </c>
      <c r="Y34" s="330" t="str">
        <f>'DATA INPUT'!AH20</f>
        <v/>
      </c>
      <c r="Z34" s="330" t="str">
        <f>'DATA INPUT'!AI20</f>
        <v/>
      </c>
      <c r="AA34" s="330" t="str">
        <f>'DATA INPUT'!AJ20</f>
        <v/>
      </c>
      <c r="AB34" s="330" t="str">
        <f>'DATA INPUT'!AK20</f>
        <v/>
      </c>
      <c r="AC34" s="330" t="str">
        <f>'DATA INPUT'!AL20</f>
        <v/>
      </c>
    </row>
    <row r="35" spans="1:29" ht="15" x14ac:dyDescent="0.25">
      <c r="A35" s="15"/>
      <c r="B35" s="12" t="s">
        <v>55</v>
      </c>
      <c r="X35" s="16" t="s">
        <v>56</v>
      </c>
    </row>
    <row r="36" spans="1:29" ht="15.75" x14ac:dyDescent="0.25">
      <c r="A36" s="1"/>
      <c r="B36" s="73" t="str">
        <f>'DATA INPUT'!K21</f>
        <v/>
      </c>
      <c r="C36" s="73" t="str">
        <f>'DATA INPUT'!L21</f>
        <v/>
      </c>
      <c r="D36" s="73" t="str">
        <f>'DATA INPUT'!M21</f>
        <v/>
      </c>
      <c r="E36" s="73" t="str">
        <f>'DATA INPUT'!N21</f>
        <v/>
      </c>
      <c r="F36" s="73" t="str">
        <f>'DATA INPUT'!O21</f>
        <v/>
      </c>
      <c r="G36" s="73" t="str">
        <f>'DATA INPUT'!P21</f>
        <v/>
      </c>
      <c r="H36" s="73" t="str">
        <f>'DATA INPUT'!Q21</f>
        <v/>
      </c>
      <c r="I36" s="73" t="str">
        <f>'DATA INPUT'!R21</f>
        <v/>
      </c>
      <c r="J36" s="73" t="str">
        <f>'DATA INPUT'!S21</f>
        <v/>
      </c>
      <c r="K36" s="73" t="str">
        <f>'DATA INPUT'!T21</f>
        <v/>
      </c>
      <c r="L36" s="73" t="str">
        <f>'DATA INPUT'!U21</f>
        <v/>
      </c>
      <c r="M36" s="73" t="str">
        <f>'DATA INPUT'!V21</f>
        <v/>
      </c>
      <c r="N36" s="73" t="str">
        <f>'DATA INPUT'!W21</f>
        <v/>
      </c>
      <c r="O36" s="73" t="str">
        <f>'DATA INPUT'!X21</f>
        <v/>
      </c>
      <c r="P36" s="73" t="str">
        <f>'DATA INPUT'!Y21</f>
        <v/>
      </c>
      <c r="Q36" s="73" t="str">
        <f>'DATA INPUT'!Z21</f>
        <v/>
      </c>
      <c r="R36" s="73" t="str">
        <f>'DATA INPUT'!AA21</f>
        <v/>
      </c>
      <c r="S36" s="73" t="str">
        <f>'DATA INPUT'!AB21</f>
        <v/>
      </c>
      <c r="T36" s="73" t="str">
        <f>'DATA INPUT'!AC21</f>
        <v/>
      </c>
      <c r="U36" s="73" t="str">
        <f>'DATA INPUT'!AD21</f>
        <v/>
      </c>
      <c r="V36" s="73" t="str">
        <f>'DATA INPUT'!AE21</f>
        <v/>
      </c>
      <c r="W36" s="73"/>
      <c r="X36" s="73" t="str">
        <f>'DATA INPUT'!K22</f>
        <v/>
      </c>
      <c r="Y36" s="73" t="str">
        <f>'DATA INPUT'!L22</f>
        <v/>
      </c>
      <c r="Z36" s="73" t="str">
        <f>'DATA INPUT'!M22</f>
        <v/>
      </c>
      <c r="AA36" s="73" t="str">
        <f>'DATA INPUT'!N22</f>
        <v/>
      </c>
      <c r="AB36" s="73" t="str">
        <f>'DATA INPUT'!O22</f>
        <v/>
      </c>
      <c r="AC36" s="73" t="str">
        <f>'DATA INPUT'!P22</f>
        <v/>
      </c>
    </row>
    <row r="37" spans="1:29" ht="15" x14ac:dyDescent="0.25">
      <c r="A37" s="433" t="s">
        <v>57</v>
      </c>
      <c r="B37" s="433"/>
      <c r="C37" s="433"/>
      <c r="D37" s="433"/>
      <c r="E37" s="433"/>
      <c r="F37" s="433"/>
      <c r="G37" s="433"/>
      <c r="H37" s="433"/>
      <c r="I37" s="433"/>
      <c r="J37" s="433"/>
      <c r="K37" s="433"/>
      <c r="L37" s="433"/>
      <c r="M37" s="433"/>
      <c r="N37" s="433"/>
      <c r="O37" s="433"/>
      <c r="P37" s="433"/>
      <c r="Q37" s="433"/>
      <c r="R37" s="433"/>
      <c r="S37" s="433"/>
      <c r="T37" s="433"/>
      <c r="U37" s="433"/>
      <c r="V37" s="433"/>
      <c r="W37" s="433"/>
      <c r="X37" s="433"/>
      <c r="Y37" s="433"/>
      <c r="Z37" s="433"/>
      <c r="AA37" s="433"/>
      <c r="AB37" s="433"/>
      <c r="AC37" s="433"/>
    </row>
    <row r="38" spans="1:29" ht="12.75" customHeight="1" x14ac:dyDescent="0.25">
      <c r="A38" s="2"/>
      <c r="B38" s="14" t="s">
        <v>51</v>
      </c>
    </row>
    <row r="39" spans="1:29" ht="18" customHeight="1" x14ac:dyDescent="0.25">
      <c r="A39" s="1"/>
      <c r="B39" s="330" t="str">
        <f>'DATA INPUT'!K24</f>
        <v/>
      </c>
      <c r="C39" s="330" t="str">
        <f>'DATA INPUT'!L24</f>
        <v/>
      </c>
      <c r="D39" s="330" t="str">
        <f>'DATA INPUT'!M24</f>
        <v/>
      </c>
      <c r="E39" s="331" t="str">
        <f>'DATA INPUT'!N24</f>
        <v/>
      </c>
      <c r="F39" s="330" t="str">
        <f>'DATA INPUT'!O24</f>
        <v/>
      </c>
      <c r="G39" s="330" t="str">
        <f>'DATA INPUT'!P24</f>
        <v/>
      </c>
      <c r="H39" s="330" t="str">
        <f>'DATA INPUT'!Q24</f>
        <v/>
      </c>
      <c r="I39" s="330" t="str">
        <f>'DATA INPUT'!R24</f>
        <v/>
      </c>
      <c r="J39" s="330" t="str">
        <f>'DATA INPUT'!S24</f>
        <v/>
      </c>
      <c r="K39" s="330" t="str">
        <f>'DATA INPUT'!T24</f>
        <v/>
      </c>
      <c r="L39" s="330" t="str">
        <f>'DATA INPUT'!U24</f>
        <v/>
      </c>
      <c r="M39" s="330" t="str">
        <f>'DATA INPUT'!V24</f>
        <v/>
      </c>
      <c r="N39" s="330" t="str">
        <f>'DATA INPUT'!W24</f>
        <v/>
      </c>
      <c r="O39" s="330" t="str">
        <f>'DATA INPUT'!X24</f>
        <v/>
      </c>
      <c r="P39" s="330" t="str">
        <f>'DATA INPUT'!Y24</f>
        <v/>
      </c>
      <c r="Q39" s="330" t="str">
        <f>'DATA INPUT'!Z24</f>
        <v/>
      </c>
      <c r="R39" s="330" t="str">
        <f>'DATA INPUT'!AA24</f>
        <v/>
      </c>
      <c r="S39" s="330" t="str">
        <f>'DATA INPUT'!AB24</f>
        <v/>
      </c>
      <c r="T39" s="330" t="str">
        <f>'DATA INPUT'!AC24</f>
        <v/>
      </c>
      <c r="U39" s="330" t="str">
        <f>'DATA INPUT'!AD24</f>
        <v/>
      </c>
      <c r="V39" s="330" t="str">
        <f>'DATA INPUT'!AE24</f>
        <v/>
      </c>
      <c r="W39" s="330" t="str">
        <f>'DATA INPUT'!AF24</f>
        <v/>
      </c>
      <c r="X39" s="73" t="str">
        <f>'DATA INPUT'!AG24</f>
        <v/>
      </c>
      <c r="Y39" s="73" t="str">
        <f>'DATA INPUT'!AH24</f>
        <v/>
      </c>
      <c r="Z39" s="73" t="str">
        <f>'DATA INPUT'!AI24</f>
        <v/>
      </c>
      <c r="AA39" s="73" t="str">
        <f>'DATA INPUT'!AJ24</f>
        <v/>
      </c>
      <c r="AB39" s="73" t="str">
        <f>'DATA INPUT'!AK24</f>
        <v/>
      </c>
      <c r="AC39" s="73" t="str">
        <f>'DATA INPUT'!AL24</f>
        <v/>
      </c>
    </row>
    <row r="40" spans="1:29" ht="14.25" customHeight="1" x14ac:dyDescent="0.25">
      <c r="A40" s="1"/>
      <c r="B40" s="12" t="s">
        <v>52</v>
      </c>
    </row>
    <row r="41" spans="1:29" ht="18" customHeight="1" x14ac:dyDescent="0.25">
      <c r="A41" s="1"/>
      <c r="B41" s="330" t="str">
        <f>'DATA INPUT'!K25</f>
        <v/>
      </c>
      <c r="C41" s="330" t="str">
        <f>'DATA INPUT'!L25</f>
        <v/>
      </c>
      <c r="D41" s="330" t="str">
        <f>'DATA INPUT'!M25</f>
        <v/>
      </c>
      <c r="E41" s="330" t="str">
        <f>'DATA INPUT'!N25</f>
        <v/>
      </c>
      <c r="F41" s="330" t="str">
        <f>'DATA INPUT'!O25</f>
        <v/>
      </c>
      <c r="G41" s="330" t="str">
        <f>'DATA INPUT'!P25</f>
        <v/>
      </c>
      <c r="H41" s="330" t="str">
        <f>'DATA INPUT'!Q25</f>
        <v/>
      </c>
      <c r="I41" s="330" t="str">
        <f>'DATA INPUT'!R25</f>
        <v/>
      </c>
      <c r="J41" s="330" t="str">
        <f>'DATA INPUT'!S25</f>
        <v/>
      </c>
      <c r="K41" s="330" t="str">
        <f>'DATA INPUT'!T25</f>
        <v/>
      </c>
      <c r="L41" s="330" t="str">
        <f>'DATA INPUT'!U25</f>
        <v/>
      </c>
      <c r="M41" s="330" t="str">
        <f>'DATA INPUT'!V25</f>
        <v/>
      </c>
      <c r="N41" s="330" t="str">
        <f>'DATA INPUT'!W25</f>
        <v/>
      </c>
      <c r="O41" s="330" t="str">
        <f>'DATA INPUT'!X25</f>
        <v/>
      </c>
      <c r="P41" s="330" t="str">
        <f>'DATA INPUT'!Y25</f>
        <v/>
      </c>
      <c r="Q41" s="330" t="str">
        <f>'DATA INPUT'!Z25</f>
        <v/>
      </c>
      <c r="R41" s="330" t="str">
        <f>'DATA INPUT'!AA25</f>
        <v/>
      </c>
      <c r="S41" s="330" t="str">
        <f>'DATA INPUT'!AB25</f>
        <v/>
      </c>
      <c r="T41" s="330" t="str">
        <f>'DATA INPUT'!AC25</f>
        <v/>
      </c>
      <c r="U41" s="330" t="str">
        <f>'DATA INPUT'!AD25</f>
        <v/>
      </c>
      <c r="V41" s="330" t="str">
        <f>'DATA INPUT'!AE25</f>
        <v/>
      </c>
      <c r="W41" s="330" t="str">
        <f>'DATA INPUT'!AF25</f>
        <v/>
      </c>
      <c r="X41" s="330" t="str">
        <f>'DATA INPUT'!AG25</f>
        <v/>
      </c>
      <c r="Y41" s="330" t="str">
        <f>'DATA INPUT'!AH25</f>
        <v/>
      </c>
      <c r="Z41" s="330" t="str">
        <f>'DATA INPUT'!AI25</f>
        <v/>
      </c>
      <c r="AA41" s="73" t="str">
        <f>'DATA INPUT'!AJ25</f>
        <v/>
      </c>
      <c r="AB41" s="73" t="str">
        <f>'DATA INPUT'!AK25</f>
        <v/>
      </c>
      <c r="AC41" s="73" t="str">
        <f>'DATA INPUT'!AL25</f>
        <v/>
      </c>
    </row>
    <row r="42" spans="1:29" ht="15" customHeight="1" x14ac:dyDescent="0.25">
      <c r="A42" s="1"/>
      <c r="B42" s="12" t="s">
        <v>53</v>
      </c>
    </row>
    <row r="43" spans="1:29" ht="17.25" customHeight="1" x14ac:dyDescent="0.25">
      <c r="A43" s="1"/>
      <c r="B43" s="73" t="str">
        <f>'DATA INPUT'!K26</f>
        <v/>
      </c>
      <c r="C43" s="73" t="str">
        <f>'DATA INPUT'!L26</f>
        <v/>
      </c>
      <c r="D43" s="73" t="str">
        <f>'DATA INPUT'!M26</f>
        <v/>
      </c>
      <c r="E43" s="73" t="str">
        <f>'DATA INPUT'!N26</f>
        <v/>
      </c>
      <c r="F43" s="73" t="str">
        <f>'DATA INPUT'!O26</f>
        <v/>
      </c>
      <c r="G43" s="73" t="str">
        <f>'DATA INPUT'!P26</f>
        <v/>
      </c>
      <c r="H43" s="73" t="str">
        <f>'DATA INPUT'!Q26</f>
        <v/>
      </c>
      <c r="I43" s="73" t="str">
        <f>'DATA INPUT'!R26</f>
        <v/>
      </c>
      <c r="J43" s="73" t="str">
        <f>'DATA INPUT'!S26</f>
        <v/>
      </c>
      <c r="K43" s="73" t="str">
        <f>'DATA INPUT'!T26</f>
        <v/>
      </c>
      <c r="L43" s="73" t="str">
        <f>'DATA INPUT'!U26</f>
        <v/>
      </c>
      <c r="M43" s="73" t="str">
        <f>'DATA INPUT'!V26</f>
        <v/>
      </c>
      <c r="N43" s="73" t="str">
        <f>'DATA INPUT'!W26</f>
        <v/>
      </c>
      <c r="O43" s="73" t="str">
        <f>'DATA INPUT'!X26</f>
        <v/>
      </c>
      <c r="P43" s="73" t="str">
        <f>'DATA INPUT'!Y26</f>
        <v/>
      </c>
      <c r="Q43" s="73" t="str">
        <f>'DATA INPUT'!Z26</f>
        <v/>
      </c>
      <c r="R43" s="73" t="str">
        <f>'DATA INPUT'!AA26</f>
        <v/>
      </c>
      <c r="S43" s="73" t="str">
        <f>'DATA INPUT'!AB26</f>
        <v/>
      </c>
      <c r="T43" s="73" t="str">
        <f>'DATA INPUT'!AC26</f>
        <v/>
      </c>
      <c r="U43" s="73" t="str">
        <f>'DATA INPUT'!AD26</f>
        <v/>
      </c>
      <c r="V43" s="73" t="str">
        <f>'DATA INPUT'!AE26</f>
        <v/>
      </c>
      <c r="W43" s="73" t="str">
        <f>'DATA INPUT'!AF26</f>
        <v/>
      </c>
      <c r="X43" s="73" t="str">
        <f>'DATA INPUT'!AG26</f>
        <v/>
      </c>
      <c r="Y43" s="73" t="str">
        <f>'DATA INPUT'!AH26</f>
        <v/>
      </c>
      <c r="Z43" s="73" t="str">
        <f>'DATA INPUT'!AI26</f>
        <v/>
      </c>
      <c r="AA43" s="73" t="str">
        <f>'DATA INPUT'!AJ26</f>
        <v/>
      </c>
      <c r="AB43" s="73" t="str">
        <f>'DATA INPUT'!AK26</f>
        <v/>
      </c>
      <c r="AC43" s="73" t="str">
        <f>'DATA INPUT'!AL26</f>
        <v/>
      </c>
    </row>
    <row r="44" spans="1:29" ht="14.25" customHeight="1" x14ac:dyDescent="0.25">
      <c r="A44" s="1"/>
      <c r="B44" s="12" t="s">
        <v>54</v>
      </c>
    </row>
    <row r="45" spans="1:29" ht="17.25" customHeight="1" x14ac:dyDescent="0.25">
      <c r="A45" s="1"/>
      <c r="B45" s="330" t="str">
        <f>'DATA INPUT'!K27</f>
        <v/>
      </c>
      <c r="C45" s="330" t="str">
        <f>'DATA INPUT'!L27</f>
        <v/>
      </c>
      <c r="D45" s="330" t="str">
        <f>'DATA INPUT'!M27</f>
        <v/>
      </c>
      <c r="E45" s="330" t="str">
        <f>'DATA INPUT'!N27</f>
        <v/>
      </c>
      <c r="F45" s="330" t="str">
        <f>'DATA INPUT'!O27</f>
        <v/>
      </c>
      <c r="G45" s="330" t="str">
        <f>'DATA INPUT'!P27</f>
        <v/>
      </c>
      <c r="H45" s="330" t="str">
        <f>'DATA INPUT'!Q27</f>
        <v/>
      </c>
      <c r="I45" s="330" t="str">
        <f>'DATA INPUT'!R27</f>
        <v/>
      </c>
      <c r="J45" s="330" t="str">
        <f>'DATA INPUT'!S27</f>
        <v/>
      </c>
      <c r="K45" s="330" t="str">
        <f>'DATA INPUT'!T27</f>
        <v/>
      </c>
      <c r="L45" s="330" t="str">
        <f>'DATA INPUT'!U27</f>
        <v/>
      </c>
      <c r="M45" s="330" t="str">
        <f>'DATA INPUT'!V27</f>
        <v/>
      </c>
      <c r="N45" s="330" t="str">
        <f>'DATA INPUT'!W27</f>
        <v/>
      </c>
      <c r="O45" s="330" t="str">
        <f>'DATA INPUT'!X27</f>
        <v/>
      </c>
      <c r="P45" s="330" t="str">
        <f>'DATA INPUT'!Y27</f>
        <v/>
      </c>
      <c r="Q45" s="330" t="str">
        <f>'DATA INPUT'!Z27</f>
        <v/>
      </c>
      <c r="R45" s="330" t="str">
        <f>'DATA INPUT'!AA27</f>
        <v/>
      </c>
      <c r="S45" s="330" t="str">
        <f>'DATA INPUT'!AB27</f>
        <v/>
      </c>
      <c r="T45" s="330" t="str">
        <f>'DATA INPUT'!AC27</f>
        <v/>
      </c>
      <c r="U45" s="330" t="str">
        <f>'DATA INPUT'!AD27</f>
        <v/>
      </c>
      <c r="V45" s="330" t="str">
        <f>'DATA INPUT'!AE27</f>
        <v/>
      </c>
      <c r="W45" s="330" t="str">
        <f>'DATA INPUT'!AF27</f>
        <v/>
      </c>
      <c r="X45" s="330" t="str">
        <f>'DATA INPUT'!AG27</f>
        <v/>
      </c>
      <c r="Y45" s="330" t="str">
        <f>'DATA INPUT'!AH27</f>
        <v/>
      </c>
      <c r="Z45" s="330" t="str">
        <f>'DATA INPUT'!AI27</f>
        <v/>
      </c>
      <c r="AA45" s="330" t="str">
        <f>'DATA INPUT'!AJ27</f>
        <v/>
      </c>
      <c r="AB45" s="330" t="str">
        <f>'DATA INPUT'!AK27</f>
        <v/>
      </c>
      <c r="AC45" s="330" t="str">
        <f>'DATA INPUT'!AL27</f>
        <v/>
      </c>
    </row>
    <row r="46" spans="1:29" ht="15.75" customHeight="1" x14ac:dyDescent="0.25">
      <c r="A46" s="15"/>
      <c r="B46" s="12" t="s">
        <v>55</v>
      </c>
      <c r="X46" s="16" t="s">
        <v>56</v>
      </c>
    </row>
    <row r="47" spans="1:29" ht="17.25" customHeight="1" x14ac:dyDescent="0.25">
      <c r="A47" s="1"/>
      <c r="B47" s="73" t="str">
        <f>'DATA INPUT'!K28</f>
        <v/>
      </c>
      <c r="C47" s="73" t="str">
        <f>'DATA INPUT'!L28</f>
        <v/>
      </c>
      <c r="D47" s="73" t="str">
        <f>'DATA INPUT'!M28</f>
        <v/>
      </c>
      <c r="E47" s="73" t="str">
        <f>'DATA INPUT'!N28</f>
        <v/>
      </c>
      <c r="F47" s="73" t="str">
        <f>'DATA INPUT'!O28</f>
        <v/>
      </c>
      <c r="G47" s="73" t="str">
        <f>'DATA INPUT'!P28</f>
        <v/>
      </c>
      <c r="H47" s="73" t="str">
        <f>'DATA INPUT'!Q28</f>
        <v/>
      </c>
      <c r="I47" s="73" t="str">
        <f>'DATA INPUT'!R28</f>
        <v/>
      </c>
      <c r="J47" s="73" t="str">
        <f>'DATA INPUT'!S28</f>
        <v/>
      </c>
      <c r="K47" s="73" t="str">
        <f>'DATA INPUT'!T28</f>
        <v/>
      </c>
      <c r="L47" s="73" t="str">
        <f>'DATA INPUT'!U28</f>
        <v/>
      </c>
      <c r="M47" s="73" t="str">
        <f>'DATA INPUT'!V28</f>
        <v/>
      </c>
      <c r="N47" s="73" t="str">
        <f>'DATA INPUT'!W28</f>
        <v/>
      </c>
      <c r="O47" s="73" t="str">
        <f>'DATA INPUT'!X28</f>
        <v/>
      </c>
      <c r="P47" s="73" t="str">
        <f>'DATA INPUT'!Y28</f>
        <v/>
      </c>
      <c r="Q47" s="73" t="str">
        <f>'DATA INPUT'!Z28</f>
        <v/>
      </c>
      <c r="R47" s="73" t="str">
        <f>'DATA INPUT'!AA28</f>
        <v/>
      </c>
      <c r="S47" s="73" t="str">
        <f>'DATA INPUT'!AB28</f>
        <v/>
      </c>
      <c r="T47" s="73" t="str">
        <f>'DATA INPUT'!AC28</f>
        <v/>
      </c>
      <c r="U47" s="73" t="str">
        <f>'DATA INPUT'!AD28</f>
        <v/>
      </c>
      <c r="V47" s="73" t="str">
        <f>'DATA INPUT'!AE28</f>
        <v/>
      </c>
      <c r="W47" s="73"/>
      <c r="X47" s="73" t="str">
        <f>'DATA INPUT'!K29</f>
        <v/>
      </c>
      <c r="Y47" s="73" t="str">
        <f>'DATA INPUT'!L29</f>
        <v/>
      </c>
      <c r="Z47" s="73" t="str">
        <f>'DATA INPUT'!M29</f>
        <v/>
      </c>
      <c r="AA47" s="73" t="str">
        <f>'DATA INPUT'!N29</f>
        <v/>
      </c>
      <c r="AB47" s="73" t="str">
        <f>'DATA INPUT'!O29</f>
        <v/>
      </c>
      <c r="AC47" s="73" t="str">
        <f>'DATA INPUT'!P29</f>
        <v/>
      </c>
    </row>
    <row r="48" spans="1:29" ht="15" x14ac:dyDescent="0.25">
      <c r="A48" s="99">
        <v>15</v>
      </c>
      <c r="B48" s="447" t="s">
        <v>58</v>
      </c>
      <c r="C48" s="447"/>
      <c r="D48" s="447"/>
      <c r="E48" s="447"/>
      <c r="F48" s="447"/>
      <c r="G48" s="447"/>
      <c r="H48" s="447"/>
      <c r="I48" s="447"/>
      <c r="J48" s="447"/>
      <c r="K48" s="447"/>
      <c r="L48" s="447"/>
      <c r="M48" s="447"/>
      <c r="N48" s="447" t="s">
        <v>59</v>
      </c>
      <c r="O48" s="447"/>
      <c r="P48" s="447"/>
      <c r="Q48" s="447"/>
      <c r="R48" s="447"/>
      <c r="S48" s="447"/>
      <c r="T48" s="447"/>
      <c r="U48" s="447"/>
      <c r="V48" s="447"/>
      <c r="W48" s="447"/>
      <c r="X48" s="447"/>
      <c r="Y48" s="447"/>
      <c r="Z48" s="447"/>
      <c r="AA48" s="447"/>
      <c r="AB48" s="447"/>
      <c r="AC48" s="447"/>
    </row>
    <row r="49" spans="1:35" ht="18" customHeight="1" x14ac:dyDescent="0.25">
      <c r="A49" s="18"/>
      <c r="B49" s="330" t="str">
        <f>'DATA INPUT'!K30</f>
        <v/>
      </c>
      <c r="C49" s="330" t="str">
        <f>'DATA INPUT'!L30</f>
        <v/>
      </c>
      <c r="D49" s="330" t="str">
        <f>'DATA INPUT'!M30</f>
        <v/>
      </c>
      <c r="E49" s="330" t="str">
        <f>'DATA INPUT'!N30</f>
        <v/>
      </c>
      <c r="F49" s="344" t="str">
        <f>'DATA INPUT'!O30</f>
        <v/>
      </c>
      <c r="G49" s="344" t="str">
        <f>'DATA INPUT'!P30</f>
        <v/>
      </c>
      <c r="H49" s="344" t="str">
        <f>'DATA INPUT'!Q30</f>
        <v/>
      </c>
      <c r="I49" s="344" t="str">
        <f>'DATA INPUT'!R30</f>
        <v/>
      </c>
      <c r="J49" s="344" t="str">
        <f>'DATA INPUT'!S30</f>
        <v/>
      </c>
      <c r="K49" s="344" t="str">
        <f>'DATA INPUT'!T30</f>
        <v/>
      </c>
      <c r="L49" s="344" t="str">
        <f>'DATA INPUT'!U30</f>
        <v/>
      </c>
      <c r="M49" s="417"/>
      <c r="N49" s="417"/>
      <c r="O49" s="5"/>
      <c r="P49" s="5"/>
      <c r="Q49" s="104"/>
      <c r="R49" s="104"/>
      <c r="S49" s="104"/>
      <c r="T49" s="345" t="str">
        <f>'DATA INPUT'!K31</f>
        <v/>
      </c>
      <c r="U49" s="345" t="str">
        <f>'DATA INPUT'!L31</f>
        <v/>
      </c>
      <c r="V49" s="345" t="str">
        <f>'DATA INPUT'!M31</f>
        <v/>
      </c>
      <c r="W49" s="345" t="str">
        <f>'DATA INPUT'!N31</f>
        <v/>
      </c>
      <c r="X49" s="345" t="str">
        <f>'DATA INPUT'!O31</f>
        <v/>
      </c>
      <c r="Y49" s="345" t="str">
        <f>'DATA INPUT'!P31</f>
        <v/>
      </c>
      <c r="Z49" s="345" t="str">
        <f>'DATA INPUT'!Q31</f>
        <v/>
      </c>
      <c r="AA49" s="345" t="str">
        <f>'DATA INPUT'!R31</f>
        <v/>
      </c>
      <c r="AB49" s="329" t="str">
        <f>'DATA INPUT'!S31</f>
        <v/>
      </c>
      <c r="AC49" s="329" t="str">
        <f>'DATA INPUT'!T31</f>
        <v/>
      </c>
    </row>
    <row r="50" spans="1:35" ht="3.75" customHeight="1" x14ac:dyDescent="0.25">
      <c r="A50" s="18"/>
      <c r="B50" s="19"/>
      <c r="C50" s="20"/>
      <c r="D50" s="20"/>
      <c r="E50" s="20"/>
      <c r="F50" s="21"/>
      <c r="G50" s="21"/>
      <c r="H50" s="21"/>
      <c r="I50" s="21"/>
      <c r="J50" s="21"/>
      <c r="K50" s="21"/>
      <c r="L50" s="21"/>
      <c r="M50" s="22"/>
      <c r="N50" s="22"/>
      <c r="O50" s="7"/>
      <c r="P50" s="7"/>
      <c r="Q50" s="22"/>
      <c r="R50" s="22"/>
      <c r="S50" s="22"/>
      <c r="T50" s="22"/>
      <c r="U50" s="22"/>
      <c r="V50" s="22"/>
      <c r="W50" s="22"/>
      <c r="X50" s="22"/>
      <c r="Y50" s="22"/>
      <c r="Z50" s="22"/>
      <c r="AA50" s="7"/>
      <c r="AB50" s="7"/>
    </row>
    <row r="51" spans="1:35" ht="17.25" customHeight="1" x14ac:dyDescent="0.25">
      <c r="A51" s="18">
        <v>16</v>
      </c>
      <c r="B51" s="418" t="s">
        <v>60</v>
      </c>
      <c r="C51" s="418"/>
      <c r="D51" s="418"/>
      <c r="E51" s="418"/>
      <c r="F51" s="322" t="str">
        <f>'DATA INPUT'!K32</f>
        <v/>
      </c>
      <c r="G51" s="322" t="str">
        <f>'DATA INPUT'!L32</f>
        <v/>
      </c>
      <c r="H51" s="322" t="str">
        <f>'DATA INPUT'!M32</f>
        <v/>
      </c>
      <c r="I51" s="322" t="str">
        <f>'DATA INPUT'!N32</f>
        <v/>
      </c>
      <c r="J51" s="322" t="str">
        <f>'DATA INPUT'!O32</f>
        <v/>
      </c>
      <c r="K51" s="322" t="str">
        <f>'DATA INPUT'!P32</f>
        <v/>
      </c>
      <c r="L51" s="322" t="str">
        <f>'DATA INPUT'!Q32</f>
        <v/>
      </c>
      <c r="M51" s="322" t="str">
        <f>'DATA INPUT'!R32</f>
        <v/>
      </c>
      <c r="N51" s="322" t="str">
        <f>'DATA INPUT'!S32</f>
        <v/>
      </c>
      <c r="O51" s="322" t="str">
        <f>'DATA INPUT'!T32</f>
        <v/>
      </c>
      <c r="P51" s="322" t="str">
        <f>'DATA INPUT'!U32</f>
        <v/>
      </c>
      <c r="Q51" s="322" t="str">
        <f>'DATA INPUT'!V32</f>
        <v/>
      </c>
      <c r="R51" s="322" t="str">
        <f>'DATA INPUT'!W32</f>
        <v/>
      </c>
      <c r="S51" s="322" t="str">
        <f>'DATA INPUT'!X32</f>
        <v/>
      </c>
      <c r="T51" s="322" t="str">
        <f>'DATA INPUT'!Y32</f>
        <v/>
      </c>
      <c r="U51" s="322" t="str">
        <f>'DATA INPUT'!Z32</f>
        <v/>
      </c>
      <c r="V51" s="322" t="str">
        <f>'DATA INPUT'!AA32</f>
        <v/>
      </c>
      <c r="W51" s="332" t="str">
        <f>'DATA INPUT'!AB32</f>
        <v/>
      </c>
      <c r="X51" s="322" t="str">
        <f>'DATA INPUT'!AC32</f>
        <v/>
      </c>
      <c r="Y51" s="322" t="str">
        <f>'DATA INPUT'!AD32</f>
        <v/>
      </c>
      <c r="Z51" s="322" t="str">
        <f>'DATA INPUT'!AE32</f>
        <v/>
      </c>
      <c r="AA51" s="322" t="str">
        <f>'DATA INPUT'!AF32</f>
        <v/>
      </c>
      <c r="AB51" s="322" t="str">
        <f>'DATA INPUT'!AG32</f>
        <v/>
      </c>
      <c r="AC51" s="322" t="str">
        <f>'DATA INPUT'!AH32</f>
        <v/>
      </c>
    </row>
    <row r="52" spans="1:35" s="5" customFormat="1" ht="3" customHeight="1" x14ac:dyDescent="0.25">
      <c r="A52" s="23"/>
      <c r="B52" s="105"/>
      <c r="C52" s="105"/>
      <c r="D52" s="105"/>
      <c r="E52" s="105"/>
      <c r="M52" s="11"/>
      <c r="N52" s="11"/>
      <c r="O52" s="11"/>
      <c r="P52" s="11"/>
      <c r="Q52" s="11"/>
      <c r="R52" s="11"/>
      <c r="S52" s="11"/>
      <c r="T52" s="11"/>
      <c r="U52" s="11"/>
      <c r="V52" s="11"/>
      <c r="W52" s="11"/>
      <c r="X52" s="11"/>
      <c r="Y52" s="11"/>
      <c r="Z52" s="11"/>
      <c r="AA52" s="11"/>
      <c r="AB52" s="11"/>
      <c r="AC52" s="11"/>
    </row>
    <row r="53" spans="1:35" ht="18" customHeight="1" x14ac:dyDescent="0.25">
      <c r="A53" s="18">
        <v>17</v>
      </c>
      <c r="B53" s="419" t="s">
        <v>61</v>
      </c>
      <c r="C53" s="419"/>
      <c r="D53" s="419"/>
      <c r="E53" s="419"/>
      <c r="F53" s="419"/>
      <c r="G53" s="419"/>
      <c r="H53" s="419"/>
      <c r="I53" s="419"/>
      <c r="J53" s="419"/>
      <c r="K53" s="419"/>
      <c r="L53" s="419"/>
      <c r="M53" s="330" t="str">
        <f>'DATA INPUT'!K33</f>
        <v/>
      </c>
      <c r="N53" s="330" t="str">
        <f>'DATA INPUT'!L33</f>
        <v/>
      </c>
      <c r="O53" s="73" t="str">
        <f>'DATA INPUT'!M33</f>
        <v/>
      </c>
      <c r="P53" s="73" t="str">
        <f>'DATA INPUT'!N33</f>
        <v/>
      </c>
      <c r="Q53" s="73" t="str">
        <f>'DATA INPUT'!O33</f>
        <v/>
      </c>
      <c r="R53" s="73" t="str">
        <f>'DATA INPUT'!P33</f>
        <v/>
      </c>
      <c r="S53" s="73" t="str">
        <f>'DATA INPUT'!Q33</f>
        <v/>
      </c>
      <c r="T53" s="73" t="str">
        <f>'DATA INPUT'!R33</f>
        <v/>
      </c>
      <c r="U53" s="73" t="str">
        <f>'DATA INPUT'!S33</f>
        <v/>
      </c>
      <c r="V53" s="73" t="str">
        <f>'DATA INPUT'!T33</f>
        <v/>
      </c>
      <c r="W53" s="73" t="str">
        <f>'DATA INPUT'!U33</f>
        <v/>
      </c>
      <c r="X53" s="73" t="str">
        <f>'DATA INPUT'!V33</f>
        <v/>
      </c>
      <c r="Y53" s="73" t="str">
        <f>'DATA INPUT'!W33</f>
        <v/>
      </c>
      <c r="Z53" s="73" t="str">
        <f>'DATA INPUT'!X33</f>
        <v/>
      </c>
      <c r="AA53" s="73" t="str">
        <f>'DATA INPUT'!Y33</f>
        <v/>
      </c>
      <c r="AB53" s="73" t="str">
        <f>'DATA INPUT'!Z33</f>
        <v/>
      </c>
      <c r="AC53" s="73" t="str">
        <f>'DATA INPUT'!AA33</f>
        <v/>
      </c>
    </row>
    <row r="54" spans="1:35" s="5" customFormat="1" ht="2.25" customHeight="1" x14ac:dyDescent="0.25">
      <c r="A54" s="23"/>
      <c r="B54" s="24"/>
      <c r="C54" s="24"/>
      <c r="D54" s="24"/>
      <c r="E54" s="24"/>
      <c r="F54" s="24"/>
      <c r="G54" s="24"/>
      <c r="H54" s="24"/>
      <c r="I54" s="24"/>
      <c r="J54" s="24"/>
      <c r="K54" s="24"/>
      <c r="L54" s="24"/>
      <c r="M54" s="103"/>
      <c r="N54" s="103"/>
      <c r="O54" s="90"/>
      <c r="P54" s="90"/>
      <c r="Q54" s="90"/>
      <c r="R54" s="90"/>
      <c r="S54" s="90"/>
      <c r="T54" s="90"/>
      <c r="U54" s="90"/>
      <c r="V54" s="90"/>
      <c r="W54" s="90"/>
      <c r="X54" s="90"/>
      <c r="Y54" s="90"/>
      <c r="Z54" s="90"/>
      <c r="AA54" s="90"/>
      <c r="AB54" s="90"/>
      <c r="AC54" s="90"/>
    </row>
    <row r="55" spans="1:35" ht="18" customHeight="1" x14ac:dyDescent="0.25">
      <c r="A55" s="18">
        <v>18</v>
      </c>
      <c r="B55" s="419" t="s">
        <v>114</v>
      </c>
      <c r="C55" s="419"/>
      <c r="D55" s="419"/>
      <c r="E55" s="419"/>
      <c r="F55" s="419"/>
      <c r="G55" s="329" t="str">
        <f>'DATA INPUT'!K34</f>
        <v/>
      </c>
      <c r="H55" s="329" t="str">
        <f>'DATA INPUT'!L34</f>
        <v/>
      </c>
      <c r="I55" s="329" t="str">
        <f>'DATA INPUT'!M34</f>
        <v/>
      </c>
      <c r="J55" s="329" t="str">
        <f>'DATA INPUT'!N34</f>
        <v/>
      </c>
      <c r="K55" s="329" t="str">
        <f>'DATA INPUT'!O34</f>
        <v/>
      </c>
      <c r="L55" s="329" t="str">
        <f>'DATA INPUT'!P34</f>
        <v/>
      </c>
      <c r="M55" s="329" t="str">
        <f>'DATA INPUT'!Q34</f>
        <v/>
      </c>
      <c r="N55" s="329" t="str">
        <f>'DATA INPUT'!R34</f>
        <v/>
      </c>
      <c r="O55" s="329" t="str">
        <f>'DATA INPUT'!S34</f>
        <v/>
      </c>
      <c r="P55" s="329" t="str">
        <f>'DATA INPUT'!T34</f>
        <v/>
      </c>
      <c r="Q55" s="329" t="str">
        <f>'DATA INPUT'!U34</f>
        <v/>
      </c>
      <c r="R55" s="329" t="str">
        <f>'DATA INPUT'!V34</f>
        <v/>
      </c>
      <c r="S55" s="329" t="str">
        <f>'DATA INPUT'!W34</f>
        <v/>
      </c>
      <c r="T55" s="329" t="str">
        <f>'DATA INPUT'!X34</f>
        <v/>
      </c>
      <c r="U55" s="329" t="str">
        <f>'DATA INPUT'!Y34</f>
        <v/>
      </c>
      <c r="V55" s="329" t="str">
        <f>'DATA INPUT'!Z34</f>
        <v/>
      </c>
      <c r="W55" s="329" t="str">
        <f>'DATA INPUT'!AA34</f>
        <v/>
      </c>
      <c r="X55" s="329" t="str">
        <f>'DATA INPUT'!AB34</f>
        <v/>
      </c>
      <c r="Y55" s="329" t="str">
        <f>'DATA INPUT'!AC34</f>
        <v/>
      </c>
      <c r="Z55" s="329" t="str">
        <f>'DATA INPUT'!AD34</f>
        <v/>
      </c>
      <c r="AA55" s="329" t="str">
        <f>'DATA INPUT'!AE34</f>
        <v/>
      </c>
      <c r="AB55" s="329" t="str">
        <f>'DATA INPUT'!AF34</f>
        <v/>
      </c>
      <c r="AC55" s="329" t="str">
        <f>'DATA INPUT'!AG34</f>
        <v/>
      </c>
    </row>
    <row r="56" spans="1:35" ht="3" customHeight="1" x14ac:dyDescent="0.25">
      <c r="A56" s="18"/>
      <c r="B56" s="101"/>
      <c r="C56" s="101"/>
      <c r="D56" s="101"/>
      <c r="E56" s="101"/>
      <c r="F56" s="101"/>
      <c r="G56" s="333"/>
      <c r="H56" s="333"/>
      <c r="I56" s="333"/>
      <c r="J56" s="333"/>
      <c r="K56" s="334"/>
      <c r="L56" s="334"/>
      <c r="M56" s="335"/>
      <c r="N56" s="335"/>
      <c r="O56" s="336"/>
      <c r="P56" s="336"/>
      <c r="Q56" s="336"/>
      <c r="R56" s="336"/>
      <c r="S56" s="336"/>
      <c r="T56" s="336"/>
      <c r="U56" s="336"/>
      <c r="V56" s="336"/>
      <c r="W56" s="336"/>
      <c r="X56" s="336"/>
      <c r="Y56" s="336"/>
      <c r="Z56" s="336"/>
      <c r="AA56" s="336"/>
      <c r="AB56" s="336"/>
      <c r="AC56" s="336"/>
    </row>
    <row r="57" spans="1:35" ht="18" customHeight="1" x14ac:dyDescent="0.25">
      <c r="A57" s="2">
        <v>19</v>
      </c>
      <c r="B57" s="419" t="s">
        <v>113</v>
      </c>
      <c r="C57" s="419"/>
      <c r="D57" s="419"/>
      <c r="E57" s="419"/>
      <c r="F57" s="419"/>
      <c r="G57" s="329" t="str">
        <f>'DATA INPUT'!K35</f>
        <v/>
      </c>
      <c r="H57" s="329" t="str">
        <f>'DATA INPUT'!L35</f>
        <v/>
      </c>
      <c r="I57" s="329" t="str">
        <f>'DATA INPUT'!M35</f>
        <v/>
      </c>
      <c r="J57" s="329" t="str">
        <f>'DATA INPUT'!N35</f>
        <v/>
      </c>
      <c r="K57" s="329" t="str">
        <f>'DATA INPUT'!O35</f>
        <v/>
      </c>
      <c r="L57" s="329" t="str">
        <f>'DATA INPUT'!P35</f>
        <v/>
      </c>
      <c r="M57" s="329" t="str">
        <f>'DATA INPUT'!Q35</f>
        <v/>
      </c>
      <c r="N57" s="329" t="str">
        <f>'DATA INPUT'!R35</f>
        <v/>
      </c>
      <c r="O57" s="329" t="str">
        <f>'DATA INPUT'!S35</f>
        <v/>
      </c>
      <c r="P57" s="329" t="str">
        <f>'DATA INPUT'!T35</f>
        <v/>
      </c>
      <c r="Q57" s="329" t="str">
        <f>'DATA INPUT'!U35</f>
        <v/>
      </c>
      <c r="R57" s="329" t="str">
        <f>'DATA INPUT'!V35</f>
        <v/>
      </c>
      <c r="S57" s="329" t="str">
        <f>'DATA INPUT'!W35</f>
        <v/>
      </c>
      <c r="T57" s="329" t="str">
        <f>'DATA INPUT'!X35</f>
        <v/>
      </c>
      <c r="U57" s="329" t="str">
        <f>'DATA INPUT'!Y35</f>
        <v/>
      </c>
      <c r="V57" s="329" t="str">
        <f>'DATA INPUT'!Z35</f>
        <v/>
      </c>
      <c r="W57" s="329" t="str">
        <f>'DATA INPUT'!AA35</f>
        <v/>
      </c>
      <c r="X57" s="329" t="str">
        <f>'DATA INPUT'!AB35</f>
        <v/>
      </c>
      <c r="Y57" s="329" t="str">
        <f>'DATA INPUT'!AC35</f>
        <v/>
      </c>
      <c r="Z57" s="329" t="str">
        <f>'DATA INPUT'!AD35</f>
        <v/>
      </c>
      <c r="AA57" s="329" t="str">
        <f>'DATA INPUT'!AE35</f>
        <v/>
      </c>
      <c r="AB57" s="329" t="str">
        <f>'DATA INPUT'!AF35</f>
        <v/>
      </c>
      <c r="AC57" s="329" t="str">
        <f>'DATA INPUT'!AG35</f>
        <v/>
      </c>
    </row>
    <row r="58" spans="1:35" ht="15" x14ac:dyDescent="0.25">
      <c r="A58" s="2">
        <v>20</v>
      </c>
      <c r="B58" s="419" t="s">
        <v>62</v>
      </c>
      <c r="C58" s="419"/>
      <c r="D58" s="419"/>
      <c r="E58" s="419"/>
      <c r="F58" s="419"/>
      <c r="G58" s="419"/>
      <c r="H58" s="419"/>
      <c r="I58" s="419"/>
      <c r="J58" s="419"/>
      <c r="K58" s="419"/>
      <c r="L58" s="419"/>
      <c r="M58" s="419"/>
      <c r="N58" s="419"/>
      <c r="O58" s="419"/>
      <c r="P58" s="419"/>
      <c r="Q58" s="419"/>
      <c r="R58" s="419"/>
    </row>
    <row r="59" spans="1:35" ht="2.25" customHeight="1" x14ac:dyDescent="0.25">
      <c r="A59" s="2"/>
      <c r="B59" s="101"/>
      <c r="C59" s="101"/>
      <c r="D59" s="101"/>
      <c r="E59" s="101"/>
      <c r="F59" s="101"/>
      <c r="G59" s="101"/>
      <c r="H59" s="101"/>
      <c r="I59" s="101"/>
      <c r="J59" s="101"/>
      <c r="K59" s="101"/>
      <c r="L59" s="101"/>
      <c r="M59" s="101"/>
      <c r="N59" s="101"/>
      <c r="O59" s="101"/>
      <c r="P59" s="101"/>
      <c r="Q59" s="101"/>
      <c r="R59" s="101"/>
    </row>
    <row r="60" spans="1:35" s="25" customFormat="1" ht="21" customHeight="1" x14ac:dyDescent="0.25">
      <c r="A60" s="102"/>
      <c r="B60" s="435" t="s">
        <v>63</v>
      </c>
      <c r="C60" s="435"/>
      <c r="D60" s="435"/>
      <c r="E60" s="435"/>
      <c r="F60" s="438"/>
      <c r="G60" s="195" t="str">
        <f>'DATA INPUT'!$G$38</f>
        <v xml:space="preserve"> </v>
      </c>
      <c r="I60" s="435" t="s">
        <v>64</v>
      </c>
      <c r="J60" s="435"/>
      <c r="K60" s="435"/>
      <c r="L60" s="195" t="str">
        <f>'DATA INPUT'!$G$39</f>
        <v xml:space="preserve"> </v>
      </c>
      <c r="M60" s="26"/>
      <c r="N60" s="435" t="s">
        <v>65</v>
      </c>
      <c r="O60" s="435"/>
      <c r="P60" s="435"/>
      <c r="Q60" s="438"/>
      <c r="R60" s="195" t="str">
        <f>'DATA INPUT'!$G$40</f>
        <v xml:space="preserve"> </v>
      </c>
      <c r="T60" s="443" t="s">
        <v>66</v>
      </c>
      <c r="U60" s="443"/>
      <c r="V60" s="438"/>
      <c r="W60" s="195" t="str">
        <f>'DATA INPUT'!$G$41</f>
        <v xml:space="preserve"> </v>
      </c>
      <c r="X60" s="434" t="s">
        <v>67</v>
      </c>
      <c r="Y60" s="435"/>
      <c r="Z60" s="435"/>
      <c r="AA60" s="435"/>
      <c r="AB60" s="435"/>
      <c r="AC60" s="435"/>
      <c r="AI60" s="115"/>
    </row>
    <row r="61" spans="1:35" ht="7.5" customHeight="1" x14ac:dyDescent="0.25">
      <c r="A61" s="2"/>
      <c r="AB61" s="178"/>
    </row>
    <row r="62" spans="1:35" s="100" customFormat="1" ht="28.5" customHeight="1" x14ac:dyDescent="0.25">
      <c r="A62" s="2">
        <v>21</v>
      </c>
      <c r="B62" s="419" t="s">
        <v>68</v>
      </c>
      <c r="C62" s="419"/>
      <c r="D62" s="419"/>
      <c r="E62" s="419"/>
      <c r="F62" s="419"/>
      <c r="G62" s="419"/>
      <c r="H62" s="419"/>
      <c r="I62" s="419"/>
      <c r="J62" s="419"/>
      <c r="K62" s="436" t="s">
        <v>69</v>
      </c>
      <c r="L62" s="437"/>
      <c r="M62" s="195" t="str">
        <f>'DATA INPUT'!$G$44</f>
        <v xml:space="preserve"> </v>
      </c>
      <c r="N62" s="434" t="s">
        <v>70</v>
      </c>
      <c r="O62" s="438"/>
      <c r="P62" s="195" t="str">
        <f>'DATA INPUT'!$G$45</f>
        <v xml:space="preserve"> </v>
      </c>
      <c r="Q62" s="439" t="s">
        <v>71</v>
      </c>
      <c r="R62" s="440"/>
      <c r="S62" s="195" t="str">
        <f>'DATA INPUT'!$G$46</f>
        <v xml:space="preserve"> </v>
      </c>
      <c r="T62" s="441" t="s">
        <v>72</v>
      </c>
      <c r="U62" s="442"/>
      <c r="V62" s="195" t="str">
        <f>'DATA INPUT'!$G$47</f>
        <v xml:space="preserve"> </v>
      </c>
      <c r="W62" s="441" t="s">
        <v>73</v>
      </c>
      <c r="X62" s="442"/>
      <c r="Y62" s="195" t="str">
        <f>'DATA INPUT'!$G$48</f>
        <v xml:space="preserve"> </v>
      </c>
      <c r="Z62" s="434" t="s">
        <v>74</v>
      </c>
      <c r="AA62" s="443"/>
      <c r="AB62" s="438"/>
      <c r="AC62" s="195" t="str">
        <f>'DATA INPUT'!$G$49</f>
        <v xml:space="preserve"> </v>
      </c>
    </row>
    <row r="63" spans="1:35" ht="4.5" customHeight="1" x14ac:dyDescent="0.25">
      <c r="A63" s="2"/>
    </row>
    <row r="64" spans="1:35" ht="21" customHeight="1" x14ac:dyDescent="0.25">
      <c r="A64" s="2">
        <v>22</v>
      </c>
      <c r="B64" s="419" t="s">
        <v>75</v>
      </c>
      <c r="C64" s="419"/>
      <c r="D64" s="419"/>
      <c r="E64" s="419"/>
      <c r="F64" s="419"/>
      <c r="G64" s="419"/>
      <c r="H64" s="419"/>
      <c r="I64" s="337" t="str">
        <f>'DATA INPUT'!K50</f>
        <v/>
      </c>
      <c r="J64" s="337" t="str">
        <f>'DATA INPUT'!L50</f>
        <v/>
      </c>
      <c r="K64" s="337" t="str">
        <f>'DATA INPUT'!M50</f>
        <v/>
      </c>
      <c r="L64" s="337" t="str">
        <f>'DATA INPUT'!N50</f>
        <v/>
      </c>
      <c r="M64" s="337" t="str">
        <f>'DATA INPUT'!O50</f>
        <v/>
      </c>
      <c r="N64" s="337" t="str">
        <f>'DATA INPUT'!P50</f>
        <v/>
      </c>
      <c r="O64" s="337" t="str">
        <f>'DATA INPUT'!Q50</f>
        <v/>
      </c>
      <c r="P64" s="337" t="str">
        <f>'DATA INPUT'!R50</f>
        <v/>
      </c>
      <c r="Q64" s="337" t="str">
        <f>'DATA INPUT'!S50</f>
        <v/>
      </c>
      <c r="R64" s="337" t="str">
        <f>'DATA INPUT'!T50</f>
        <v/>
      </c>
      <c r="S64" s="337" t="str">
        <f>'DATA INPUT'!U50</f>
        <v/>
      </c>
      <c r="T64" s="337" t="str">
        <f>'DATA INPUT'!V50</f>
        <v/>
      </c>
      <c r="U64" s="337" t="str">
        <f>'DATA INPUT'!W50</f>
        <v/>
      </c>
      <c r="V64" s="337" t="str">
        <f>'DATA INPUT'!X50</f>
        <v/>
      </c>
      <c r="W64" s="337" t="str">
        <f>'DATA INPUT'!Y50</f>
        <v/>
      </c>
      <c r="X64" s="337" t="str">
        <f>'DATA INPUT'!Z50</f>
        <v/>
      </c>
      <c r="Y64" s="337" t="str">
        <f>'DATA INPUT'!AA50</f>
        <v/>
      </c>
      <c r="Z64" s="337" t="str">
        <f>'DATA INPUT'!AB50</f>
        <v/>
      </c>
      <c r="AA64" s="337" t="str">
        <f>'DATA INPUT'!AC50</f>
        <v/>
      </c>
      <c r="AB64" s="337" t="str">
        <f>'DATA INPUT'!AD50</f>
        <v/>
      </c>
      <c r="AC64" s="337" t="str">
        <f>'DATA INPUT'!AE50</f>
        <v/>
      </c>
    </row>
    <row r="65" spans="1:29" ht="4.5" customHeight="1" x14ac:dyDescent="0.25">
      <c r="A65" s="2"/>
    </row>
    <row r="66" spans="1:29" ht="19.5" customHeight="1" x14ac:dyDescent="0.25">
      <c r="A66" s="2">
        <v>23</v>
      </c>
      <c r="B66" s="416" t="s">
        <v>76</v>
      </c>
      <c r="C66" s="416"/>
      <c r="D66" s="416"/>
      <c r="E66" s="416"/>
      <c r="F66" s="416"/>
      <c r="G66" s="416"/>
      <c r="H66" s="416"/>
      <c r="I66" s="416"/>
      <c r="J66" s="416"/>
      <c r="K66" s="416"/>
      <c r="L66" s="416"/>
      <c r="M66" s="416"/>
      <c r="N66" s="416"/>
      <c r="P66" s="402">
        <f>'DATA INPUT'!$K$51</f>
        <v>0</v>
      </c>
      <c r="Q66" s="403"/>
      <c r="R66" s="402">
        <f>'DATA INPUT'!$L$51</f>
        <v>1</v>
      </c>
      <c r="S66" s="403"/>
      <c r="T66" s="404">
        <f>'DATA INPUT'!$M$51</f>
        <v>1900</v>
      </c>
      <c r="U66" s="405"/>
      <c r="V66" s="405"/>
      <c r="W66" s="406"/>
    </row>
    <row r="67" spans="1:29" ht="3.75" customHeight="1" x14ac:dyDescent="0.25">
      <c r="A67" s="2"/>
    </row>
    <row r="68" spans="1:29" ht="15" customHeight="1" x14ac:dyDescent="0.25">
      <c r="A68" s="2">
        <v>24</v>
      </c>
      <c r="B68" s="415" t="s">
        <v>77</v>
      </c>
      <c r="C68" s="415"/>
      <c r="D68" s="415"/>
      <c r="E68" s="415"/>
      <c r="F68" s="415"/>
      <c r="G68" s="415"/>
      <c r="H68" s="415"/>
    </row>
    <row r="69" spans="1:29" ht="41.25" customHeight="1" x14ac:dyDescent="0.25">
      <c r="A69" s="5"/>
      <c r="B69" s="91" t="s">
        <v>139</v>
      </c>
      <c r="C69" s="411" t="s">
        <v>78</v>
      </c>
      <c r="D69" s="411"/>
      <c r="E69" s="411"/>
      <c r="F69" s="411"/>
      <c r="G69" s="411"/>
      <c r="H69" s="411"/>
      <c r="I69" s="411"/>
      <c r="J69" s="411"/>
      <c r="K69" s="411"/>
      <c r="L69" s="411" t="s">
        <v>79</v>
      </c>
      <c r="M69" s="411"/>
      <c r="N69" s="411"/>
      <c r="O69" s="411"/>
      <c r="P69" s="411" t="s">
        <v>80</v>
      </c>
      <c r="Q69" s="411"/>
      <c r="R69" s="411"/>
      <c r="S69" s="411"/>
      <c r="T69" s="411"/>
      <c r="U69" s="411"/>
      <c r="V69" s="411"/>
      <c r="W69" s="411"/>
      <c r="X69" s="411" t="s">
        <v>81</v>
      </c>
      <c r="Y69" s="411"/>
      <c r="Z69" s="411"/>
      <c r="AA69" s="411" t="s">
        <v>82</v>
      </c>
      <c r="AB69" s="411"/>
      <c r="AC69" s="411"/>
    </row>
    <row r="70" spans="1:29" ht="21" customHeight="1" x14ac:dyDescent="0.25">
      <c r="A70" s="1"/>
      <c r="B70" s="98">
        <v>1</v>
      </c>
      <c r="C70" s="412" t="str">
        <f>'DATA INPUT'!$H$55</f>
        <v xml:space="preserve"> </v>
      </c>
      <c r="D70" s="413"/>
      <c r="E70" s="413"/>
      <c r="F70" s="413"/>
      <c r="G70" s="413"/>
      <c r="H70" s="413"/>
      <c r="I70" s="413"/>
      <c r="J70" s="413"/>
      <c r="K70" s="414"/>
      <c r="L70" s="412" t="str">
        <f>'DATA INPUT'!$I$55</f>
        <v xml:space="preserve"> </v>
      </c>
      <c r="M70" s="413"/>
      <c r="N70" s="413"/>
      <c r="O70" s="414"/>
      <c r="P70" s="407" t="str">
        <f>'DATA INPUT'!$J$55</f>
        <v xml:space="preserve"> </v>
      </c>
      <c r="Q70" s="408"/>
      <c r="R70" s="408"/>
      <c r="S70" s="408"/>
      <c r="T70" s="408"/>
      <c r="U70" s="408"/>
      <c r="V70" s="408"/>
      <c r="W70" s="409"/>
      <c r="X70" s="449" t="str">
        <f>'DATA INPUT'!$K$55</f>
        <v xml:space="preserve"> </v>
      </c>
      <c r="Y70" s="450"/>
      <c r="Z70" s="451"/>
      <c r="AA70" s="448" t="str">
        <f>'DATA INPUT'!$L$55</f>
        <v xml:space="preserve"> </v>
      </c>
      <c r="AB70" s="408"/>
      <c r="AC70" s="409"/>
    </row>
    <row r="71" spans="1:29" ht="21" customHeight="1" x14ac:dyDescent="0.25">
      <c r="A71" s="1"/>
      <c r="B71" s="98">
        <v>2</v>
      </c>
      <c r="C71" s="412" t="str">
        <f>'DATA INPUT'!$H$56</f>
        <v xml:space="preserve"> </v>
      </c>
      <c r="D71" s="413"/>
      <c r="E71" s="413"/>
      <c r="F71" s="413"/>
      <c r="G71" s="413"/>
      <c r="H71" s="413"/>
      <c r="I71" s="413"/>
      <c r="J71" s="413"/>
      <c r="K71" s="414"/>
      <c r="L71" s="412" t="str">
        <f>'DATA INPUT'!$I$56</f>
        <v xml:space="preserve"> </v>
      </c>
      <c r="M71" s="413"/>
      <c r="N71" s="413"/>
      <c r="O71" s="414"/>
      <c r="P71" s="407" t="str">
        <f>'DATA INPUT'!$J$56</f>
        <v xml:space="preserve"> </v>
      </c>
      <c r="Q71" s="408"/>
      <c r="R71" s="408"/>
      <c r="S71" s="408"/>
      <c r="T71" s="408"/>
      <c r="U71" s="408"/>
      <c r="V71" s="408"/>
      <c r="W71" s="409"/>
      <c r="X71" s="449" t="str">
        <f>'DATA INPUT'!$K$56</f>
        <v xml:space="preserve"> </v>
      </c>
      <c r="Y71" s="450"/>
      <c r="Z71" s="451"/>
      <c r="AA71" s="448" t="str">
        <f>'DATA INPUT'!$L$56</f>
        <v xml:space="preserve"> </v>
      </c>
      <c r="AB71" s="408"/>
      <c r="AC71" s="409"/>
    </row>
    <row r="72" spans="1:29" ht="21" customHeight="1" x14ac:dyDescent="0.25">
      <c r="A72" s="1"/>
      <c r="B72" s="98">
        <v>3</v>
      </c>
      <c r="C72" s="412" t="str">
        <f>'DATA INPUT'!$H$57</f>
        <v xml:space="preserve"> </v>
      </c>
      <c r="D72" s="413"/>
      <c r="E72" s="413"/>
      <c r="F72" s="413"/>
      <c r="G72" s="413"/>
      <c r="H72" s="413"/>
      <c r="I72" s="413"/>
      <c r="J72" s="413"/>
      <c r="K72" s="414"/>
      <c r="L72" s="412" t="str">
        <f>'DATA INPUT'!$I$57</f>
        <v xml:space="preserve"> </v>
      </c>
      <c r="M72" s="413"/>
      <c r="N72" s="413"/>
      <c r="O72" s="414"/>
      <c r="P72" s="407" t="str">
        <f>'DATA INPUT'!$J$57</f>
        <v xml:space="preserve"> </v>
      </c>
      <c r="Q72" s="408"/>
      <c r="R72" s="408"/>
      <c r="S72" s="408"/>
      <c r="T72" s="408"/>
      <c r="U72" s="408"/>
      <c r="V72" s="408"/>
      <c r="W72" s="409"/>
      <c r="X72" s="449" t="str">
        <f>'DATA INPUT'!$K$57</f>
        <v xml:space="preserve"> </v>
      </c>
      <c r="Y72" s="450"/>
      <c r="Z72" s="451"/>
      <c r="AA72" s="448" t="str">
        <f>'DATA INPUT'!$L$57</f>
        <v xml:space="preserve"> </v>
      </c>
      <c r="AB72" s="408"/>
      <c r="AC72" s="409"/>
    </row>
    <row r="73" spans="1:29" ht="21" customHeight="1" x14ac:dyDescent="0.25">
      <c r="A73" s="1"/>
      <c r="B73" s="98">
        <v>4</v>
      </c>
      <c r="C73" s="412" t="str">
        <f>'DATA INPUT'!$H$58</f>
        <v xml:space="preserve"> </v>
      </c>
      <c r="D73" s="413"/>
      <c r="E73" s="413"/>
      <c r="F73" s="413"/>
      <c r="G73" s="413"/>
      <c r="H73" s="413"/>
      <c r="I73" s="413"/>
      <c r="J73" s="413"/>
      <c r="K73" s="414"/>
      <c r="L73" s="412" t="str">
        <f>'DATA INPUT'!$I$58</f>
        <v xml:space="preserve"> </v>
      </c>
      <c r="M73" s="413"/>
      <c r="N73" s="413"/>
      <c r="O73" s="414"/>
      <c r="P73" s="407" t="str">
        <f>'DATA INPUT'!$J$58</f>
        <v xml:space="preserve"> </v>
      </c>
      <c r="Q73" s="452"/>
      <c r="R73" s="452"/>
      <c r="S73" s="452"/>
      <c r="T73" s="452"/>
      <c r="U73" s="452"/>
      <c r="V73" s="452"/>
      <c r="W73" s="453"/>
      <c r="X73" s="449" t="str">
        <f>'DATA INPUT'!$K$58</f>
        <v xml:space="preserve"> </v>
      </c>
      <c r="Y73" s="450"/>
      <c r="Z73" s="451"/>
      <c r="AA73" s="448" t="str">
        <f>'DATA INPUT'!$L$58</f>
        <v xml:space="preserve"> </v>
      </c>
      <c r="AB73" s="408"/>
      <c r="AC73" s="409"/>
    </row>
    <row r="74" spans="1:29" ht="9.75" customHeight="1" x14ac:dyDescent="0.25">
      <c r="A74" s="28"/>
    </row>
    <row r="75" spans="1:29" ht="12.75" customHeight="1" x14ac:dyDescent="0.25">
      <c r="A75" s="2">
        <v>25</v>
      </c>
      <c r="B75" s="410" t="s">
        <v>83</v>
      </c>
      <c r="C75" s="410"/>
      <c r="D75" s="410"/>
      <c r="E75" s="410"/>
      <c r="F75" s="410"/>
      <c r="G75" s="410"/>
      <c r="H75" s="410"/>
      <c r="I75" s="410"/>
      <c r="J75" s="410"/>
      <c r="L75" s="2" t="s">
        <v>84</v>
      </c>
      <c r="Q75" s="9"/>
      <c r="R75" s="29" t="s">
        <v>85</v>
      </c>
      <c r="S75" s="99"/>
    </row>
    <row r="76" spans="1:29" ht="3.75" customHeight="1" x14ac:dyDescent="0.25">
      <c r="Q76" s="30"/>
    </row>
    <row r="77" spans="1:29" ht="18" customHeight="1" x14ac:dyDescent="0.25">
      <c r="A77" s="2" t="s">
        <v>395</v>
      </c>
      <c r="B77" s="410" t="s">
        <v>86</v>
      </c>
      <c r="C77" s="410"/>
      <c r="D77" s="410"/>
      <c r="E77" s="410"/>
      <c r="F77" s="410"/>
      <c r="G77" s="3"/>
      <c r="H77" s="3"/>
      <c r="I77" s="3"/>
      <c r="J77" s="399" t="str">
        <f>'DATA INPUT'!$I$61</f>
        <v xml:space="preserve"> </v>
      </c>
      <c r="K77" s="400"/>
      <c r="L77" s="400"/>
      <c r="M77" s="400"/>
      <c r="N77" s="400"/>
      <c r="O77" s="400"/>
      <c r="P77" s="400"/>
      <c r="Q77" s="401"/>
      <c r="R77" s="399" t="str">
        <f>'DATA INPUT'!$J$61</f>
        <v xml:space="preserve"> </v>
      </c>
      <c r="S77" s="400"/>
      <c r="T77" s="400"/>
      <c r="U77" s="400"/>
      <c r="V77" s="400"/>
      <c r="W77" s="400"/>
      <c r="X77" s="400"/>
      <c r="Y77" s="401"/>
    </row>
    <row r="78" spans="1:29" ht="3.75" customHeight="1" x14ac:dyDescent="0.25">
      <c r="A78" s="4"/>
      <c r="J78" s="33"/>
      <c r="K78" s="33"/>
      <c r="L78" s="33"/>
      <c r="M78" s="33"/>
      <c r="N78" s="33"/>
      <c r="O78" s="33"/>
      <c r="P78" s="33"/>
      <c r="Q78" s="33"/>
      <c r="R78" s="33"/>
      <c r="S78" s="33"/>
      <c r="T78" s="33"/>
      <c r="U78" s="33"/>
      <c r="V78" s="33"/>
      <c r="W78" s="33"/>
      <c r="X78" s="33"/>
      <c r="Y78" s="33"/>
    </row>
    <row r="79" spans="1:29" ht="18" customHeight="1" x14ac:dyDescent="0.25">
      <c r="A79" s="2" t="s">
        <v>171</v>
      </c>
      <c r="B79" s="410" t="s">
        <v>87</v>
      </c>
      <c r="C79" s="410"/>
      <c r="D79" s="410"/>
      <c r="E79" s="410"/>
      <c r="F79" s="410"/>
      <c r="J79" s="399" t="str">
        <f>'DATA INPUT'!$I$62</f>
        <v xml:space="preserve"> </v>
      </c>
      <c r="K79" s="400"/>
      <c r="L79" s="400"/>
      <c r="M79" s="400"/>
      <c r="N79" s="400"/>
      <c r="O79" s="400"/>
      <c r="P79" s="400"/>
      <c r="Q79" s="401"/>
      <c r="R79" s="399" t="str">
        <f>'DATA INPUT'!$J$62</f>
        <v xml:space="preserve"> </v>
      </c>
      <c r="S79" s="400"/>
      <c r="T79" s="400"/>
      <c r="U79" s="400"/>
      <c r="V79" s="400"/>
      <c r="W79" s="400"/>
      <c r="X79" s="400"/>
      <c r="Y79" s="401"/>
    </row>
    <row r="80" spans="1:29" ht="3.75" customHeight="1" x14ac:dyDescent="0.25">
      <c r="A80" s="4"/>
      <c r="J80" s="33"/>
      <c r="K80" s="33"/>
      <c r="L80" s="33"/>
      <c r="M80" s="33"/>
      <c r="N80" s="33"/>
      <c r="O80" s="33"/>
      <c r="P80" s="33"/>
      <c r="Q80" s="33"/>
      <c r="R80" s="33"/>
      <c r="S80" s="33"/>
      <c r="T80" s="33"/>
      <c r="U80" s="33"/>
      <c r="V80" s="33"/>
      <c r="W80" s="33"/>
      <c r="X80" s="33"/>
      <c r="Y80" s="33"/>
    </row>
    <row r="81" spans="1:33" ht="18" customHeight="1" x14ac:dyDescent="0.25">
      <c r="A81" s="2" t="s">
        <v>388</v>
      </c>
      <c r="B81" s="410" t="s">
        <v>88</v>
      </c>
      <c r="C81" s="410"/>
      <c r="D81" s="410"/>
      <c r="E81" s="410"/>
      <c r="F81" s="410"/>
      <c r="G81" s="410"/>
      <c r="J81" s="399" t="str">
        <f>'DATA INPUT'!$I$63</f>
        <v xml:space="preserve"> </v>
      </c>
      <c r="K81" s="400"/>
      <c r="L81" s="400"/>
      <c r="M81" s="400"/>
      <c r="N81" s="400"/>
      <c r="O81" s="400"/>
      <c r="P81" s="400"/>
      <c r="Q81" s="401"/>
      <c r="R81" s="399" t="str">
        <f>'DATA INPUT'!$J$63</f>
        <v xml:space="preserve"> </v>
      </c>
      <c r="S81" s="400"/>
      <c r="T81" s="400"/>
      <c r="U81" s="400"/>
      <c r="V81" s="400"/>
      <c r="W81" s="400"/>
      <c r="X81" s="400"/>
      <c r="Y81" s="401"/>
    </row>
    <row r="82" spans="1:33" ht="3.75" customHeight="1" x14ac:dyDescent="0.25">
      <c r="A82" s="31"/>
      <c r="J82" s="33"/>
      <c r="K82" s="33"/>
      <c r="L82" s="33"/>
      <c r="M82" s="33"/>
      <c r="N82" s="33"/>
      <c r="O82" s="33"/>
      <c r="P82" s="33"/>
      <c r="Q82" s="33"/>
      <c r="R82" s="33"/>
      <c r="S82" s="33"/>
      <c r="T82" s="33"/>
      <c r="U82" s="33"/>
      <c r="V82" s="33"/>
      <c r="W82" s="33"/>
      <c r="X82" s="33"/>
      <c r="Y82" s="33"/>
    </row>
    <row r="83" spans="1:33" ht="18" customHeight="1" x14ac:dyDescent="0.25">
      <c r="A83" s="2" t="s">
        <v>389</v>
      </c>
      <c r="B83" s="410" t="s">
        <v>89</v>
      </c>
      <c r="C83" s="410"/>
      <c r="D83" s="410"/>
      <c r="E83" s="410"/>
      <c r="F83" s="410"/>
      <c r="G83" s="410"/>
      <c r="J83" s="399" t="str">
        <f>'DATA INPUT'!$I$64</f>
        <v xml:space="preserve"> </v>
      </c>
      <c r="K83" s="400"/>
      <c r="L83" s="400"/>
      <c r="M83" s="400"/>
      <c r="N83" s="400"/>
      <c r="O83" s="400"/>
      <c r="P83" s="400"/>
      <c r="Q83" s="401"/>
      <c r="R83" s="399" t="str">
        <f>'DATA INPUT'!$J$64</f>
        <v xml:space="preserve"> </v>
      </c>
      <c r="S83" s="400"/>
      <c r="T83" s="400"/>
      <c r="U83" s="400"/>
      <c r="V83" s="400"/>
      <c r="W83" s="400"/>
      <c r="X83" s="400"/>
      <c r="Y83" s="401"/>
    </row>
    <row r="84" spans="1:33" ht="3.75" customHeight="1" x14ac:dyDescent="0.25">
      <c r="A84" s="31"/>
      <c r="J84" s="33"/>
      <c r="K84" s="33"/>
      <c r="L84" s="33"/>
      <c r="M84" s="33"/>
      <c r="N84" s="33"/>
      <c r="O84" s="33"/>
      <c r="P84" s="33"/>
      <c r="Q84" s="33"/>
      <c r="R84" s="33"/>
      <c r="S84" s="33"/>
      <c r="T84" s="33"/>
      <c r="U84" s="33"/>
      <c r="V84" s="33"/>
      <c r="W84" s="33"/>
      <c r="X84" s="33"/>
      <c r="Y84" s="33"/>
    </row>
    <row r="85" spans="1:33" ht="18" customHeight="1" x14ac:dyDescent="0.25">
      <c r="A85" s="2" t="s">
        <v>390</v>
      </c>
      <c r="B85" s="410" t="s">
        <v>90</v>
      </c>
      <c r="C85" s="410"/>
      <c r="D85" s="410"/>
      <c r="E85" s="410"/>
      <c r="F85" s="410"/>
      <c r="G85" s="410"/>
      <c r="J85" s="399" t="str">
        <f>'DATA INPUT'!$I$65</f>
        <v xml:space="preserve"> </v>
      </c>
      <c r="K85" s="400"/>
      <c r="L85" s="400"/>
      <c r="M85" s="400"/>
      <c r="N85" s="400"/>
      <c r="O85" s="400"/>
      <c r="P85" s="400"/>
      <c r="Q85" s="401"/>
      <c r="R85" s="399" t="str">
        <f>'DATA INPUT'!$J$65</f>
        <v xml:space="preserve"> </v>
      </c>
      <c r="S85" s="400"/>
      <c r="T85" s="400"/>
      <c r="U85" s="400"/>
      <c r="V85" s="400"/>
      <c r="W85" s="400"/>
      <c r="X85" s="400"/>
      <c r="Y85" s="401"/>
    </row>
    <row r="86" spans="1:33" ht="18" customHeight="1" x14ac:dyDescent="0.25">
      <c r="A86" s="32"/>
      <c r="B86" s="458"/>
      <c r="C86" s="459"/>
      <c r="D86" s="459"/>
      <c r="E86" s="459"/>
      <c r="F86" s="459"/>
      <c r="G86" s="459"/>
      <c r="H86" s="460"/>
    </row>
    <row r="87" spans="1:33" ht="18" customHeight="1" x14ac:dyDescent="0.25">
      <c r="A87" s="100" t="s">
        <v>91</v>
      </c>
    </row>
    <row r="88" spans="1:33" ht="12.75" customHeight="1" x14ac:dyDescent="0.25">
      <c r="A88" s="100"/>
      <c r="B88" s="1" t="s">
        <v>274</v>
      </c>
    </row>
    <row r="89" spans="1:33" ht="18" customHeight="1" x14ac:dyDescent="0.25">
      <c r="A89" s="33"/>
      <c r="B89" s="462">
        <f>'DATA INPUT'!$B$69</f>
        <v>0</v>
      </c>
      <c r="C89" s="462"/>
      <c r="D89" s="462"/>
      <c r="E89" s="462"/>
      <c r="F89" s="462"/>
      <c r="G89" s="462"/>
      <c r="H89" s="462"/>
      <c r="I89" s="462"/>
      <c r="J89" s="462"/>
      <c r="K89" s="462"/>
      <c r="L89" s="462"/>
      <c r="M89" s="462"/>
      <c r="N89" s="462"/>
      <c r="O89" s="462"/>
      <c r="P89" s="462"/>
      <c r="Q89" s="462"/>
      <c r="R89" s="461">
        <f>'DATA INPUT'!$C$69</f>
        <v>0</v>
      </c>
      <c r="S89" s="461"/>
      <c r="T89" s="461">
        <f>'DATA INPUT'!$D$69</f>
        <v>0</v>
      </c>
      <c r="U89" s="461"/>
      <c r="V89" s="461">
        <f>'DATA INPUT'!$E$69</f>
        <v>0</v>
      </c>
      <c r="W89" s="461"/>
      <c r="X89" s="461"/>
      <c r="Y89" s="461"/>
    </row>
    <row r="90" spans="1:33" ht="18" customHeight="1" x14ac:dyDescent="0.25">
      <c r="A90" s="33"/>
      <c r="B90" s="462">
        <f>'DATA INPUT'!$B$70</f>
        <v>0</v>
      </c>
      <c r="C90" s="462"/>
      <c r="D90" s="462"/>
      <c r="E90" s="462"/>
      <c r="F90" s="462"/>
      <c r="G90" s="462"/>
      <c r="H90" s="462"/>
      <c r="I90" s="462"/>
      <c r="J90" s="462"/>
      <c r="K90" s="462"/>
      <c r="L90" s="462"/>
      <c r="M90" s="462"/>
      <c r="N90" s="462"/>
      <c r="O90" s="462"/>
      <c r="P90" s="462"/>
      <c r="Q90" s="462"/>
      <c r="R90" s="461">
        <f>'DATA INPUT'!$C$70</f>
        <v>0</v>
      </c>
      <c r="S90" s="461"/>
      <c r="T90" s="461">
        <f>'DATA INPUT'!$D$70</f>
        <v>0</v>
      </c>
      <c r="U90" s="461"/>
      <c r="V90" s="461">
        <f>'DATA INPUT'!$E$70</f>
        <v>0</v>
      </c>
      <c r="W90" s="461"/>
      <c r="X90" s="461"/>
      <c r="Y90" s="461"/>
    </row>
    <row r="91" spans="1:33" ht="7.5" customHeight="1" x14ac:dyDescent="0.25">
      <c r="A91" s="1"/>
    </row>
    <row r="92" spans="1:33" ht="18" customHeight="1" x14ac:dyDescent="0.25">
      <c r="A92" s="2">
        <v>27</v>
      </c>
      <c r="B92" s="410" t="s">
        <v>92</v>
      </c>
      <c r="C92" s="410"/>
      <c r="D92" s="410"/>
      <c r="E92" s="410"/>
      <c r="F92" s="410"/>
      <c r="G92" s="410"/>
      <c r="H92" s="410"/>
      <c r="I92" s="410"/>
      <c r="J92" s="410"/>
      <c r="K92" s="410"/>
      <c r="L92" s="410"/>
      <c r="M92" s="410"/>
      <c r="N92" s="410"/>
      <c r="O92" s="410"/>
      <c r="P92" s="410"/>
      <c r="Q92" s="410"/>
      <c r="R92" s="410"/>
      <c r="S92" s="410"/>
      <c r="T92" s="410"/>
      <c r="U92" s="410"/>
      <c r="V92" s="410"/>
      <c r="W92" s="410"/>
    </row>
    <row r="93" spans="1:33" ht="12" customHeight="1" x14ac:dyDescent="0.25">
      <c r="A93" s="1"/>
      <c r="D93" s="1" t="s">
        <v>93</v>
      </c>
      <c r="S93" s="1" t="s">
        <v>93</v>
      </c>
      <c r="AB93" s="5"/>
      <c r="AC93" s="5"/>
      <c r="AD93" s="5"/>
      <c r="AE93" s="5"/>
      <c r="AF93" s="5"/>
      <c r="AG93" s="5"/>
    </row>
    <row r="94" spans="1:33" ht="18" customHeight="1" x14ac:dyDescent="0.25">
      <c r="A94" s="34"/>
      <c r="B94" s="454">
        <f>'DATA INPUT'!B74</f>
        <v>0</v>
      </c>
      <c r="C94" s="454"/>
      <c r="D94" s="454"/>
      <c r="E94" s="454"/>
      <c r="F94" s="454"/>
      <c r="G94" s="454"/>
      <c r="H94" s="455">
        <f>'DATA INPUT'!C74</f>
        <v>0</v>
      </c>
      <c r="I94" s="455"/>
      <c r="J94" s="455">
        <f>'DATA INPUT'!D74</f>
        <v>0</v>
      </c>
      <c r="K94" s="455"/>
      <c r="L94" s="455">
        <f>'DATA INPUT'!E74</f>
        <v>0</v>
      </c>
      <c r="M94" s="455"/>
      <c r="N94" s="455"/>
      <c r="P94" s="454">
        <f>'DATA INPUT'!B78</f>
        <v>0</v>
      </c>
      <c r="Q94" s="454"/>
      <c r="R94" s="454"/>
      <c r="S94" s="454"/>
      <c r="T94" s="454"/>
      <c r="U94" s="454"/>
      <c r="V94" s="454"/>
      <c r="W94" s="456">
        <f>'DATA INPUT'!C78</f>
        <v>0</v>
      </c>
      <c r="X94" s="457"/>
      <c r="Y94" s="455">
        <f>'DATA INPUT'!D78</f>
        <v>0</v>
      </c>
      <c r="Z94" s="455"/>
      <c r="AA94" s="455">
        <f>'DATA INPUT'!E78</f>
        <v>0</v>
      </c>
      <c r="AB94" s="455"/>
      <c r="AC94" s="455"/>
      <c r="AD94" s="35"/>
      <c r="AE94" s="35"/>
      <c r="AF94" s="5"/>
      <c r="AG94" s="5"/>
    </row>
    <row r="95" spans="1:33" ht="18" customHeight="1" x14ac:dyDescent="0.25">
      <c r="A95" s="34"/>
      <c r="B95" s="454">
        <f>'DATA INPUT'!B75</f>
        <v>0</v>
      </c>
      <c r="C95" s="454"/>
      <c r="D95" s="454"/>
      <c r="E95" s="454"/>
      <c r="F95" s="454"/>
      <c r="G95" s="454"/>
      <c r="H95" s="455">
        <f>'DATA INPUT'!C75</f>
        <v>0</v>
      </c>
      <c r="I95" s="455"/>
      <c r="J95" s="455">
        <f>'DATA INPUT'!D75</f>
        <v>0</v>
      </c>
      <c r="K95" s="455"/>
      <c r="L95" s="455">
        <f>'DATA INPUT'!E75</f>
        <v>0</v>
      </c>
      <c r="M95" s="455"/>
      <c r="N95" s="455"/>
      <c r="P95" s="454">
        <f>'DATA INPUT'!B79</f>
        <v>0</v>
      </c>
      <c r="Q95" s="454"/>
      <c r="R95" s="454"/>
      <c r="S95" s="454"/>
      <c r="T95" s="454"/>
      <c r="U95" s="454"/>
      <c r="V95" s="454"/>
      <c r="W95" s="456">
        <f>'DATA INPUT'!C79</f>
        <v>0</v>
      </c>
      <c r="X95" s="457"/>
      <c r="Y95" s="455">
        <f>'DATA INPUT'!D79</f>
        <v>0</v>
      </c>
      <c r="Z95" s="455"/>
      <c r="AA95" s="455">
        <f>'DATA INPUT'!E79</f>
        <v>0</v>
      </c>
      <c r="AB95" s="455"/>
      <c r="AC95" s="455"/>
      <c r="AD95" s="35"/>
      <c r="AE95" s="97"/>
      <c r="AF95" s="5"/>
      <c r="AG95" s="5"/>
    </row>
    <row r="96" spans="1:33" ht="18" customHeight="1" x14ac:dyDescent="0.25">
      <c r="A96" s="34"/>
      <c r="B96" s="454">
        <f>'DATA INPUT'!B76</f>
        <v>0</v>
      </c>
      <c r="C96" s="454"/>
      <c r="D96" s="454"/>
      <c r="E96" s="454"/>
      <c r="F96" s="454"/>
      <c r="G96" s="454"/>
      <c r="H96" s="455">
        <f>'DATA INPUT'!C76</f>
        <v>0</v>
      </c>
      <c r="I96" s="455"/>
      <c r="J96" s="455">
        <f>'DATA INPUT'!D76</f>
        <v>0</v>
      </c>
      <c r="K96" s="455"/>
      <c r="L96" s="455">
        <f>'DATA INPUT'!E76</f>
        <v>0</v>
      </c>
      <c r="M96" s="455"/>
      <c r="N96" s="455"/>
      <c r="P96" s="454">
        <f>'DATA INPUT'!B80</f>
        <v>0</v>
      </c>
      <c r="Q96" s="454"/>
      <c r="R96" s="454"/>
      <c r="S96" s="454"/>
      <c r="T96" s="454"/>
      <c r="U96" s="454"/>
      <c r="V96" s="454"/>
      <c r="W96" s="456">
        <f>'DATA INPUT'!C80</f>
        <v>0</v>
      </c>
      <c r="X96" s="457"/>
      <c r="Y96" s="455">
        <f>'DATA INPUT'!D80</f>
        <v>0</v>
      </c>
      <c r="Z96" s="455"/>
      <c r="AA96" s="455">
        <f>'DATA INPUT'!E80</f>
        <v>0</v>
      </c>
      <c r="AB96" s="455"/>
      <c r="AC96" s="455"/>
      <c r="AD96" s="35"/>
      <c r="AE96" s="97"/>
      <c r="AF96" s="5"/>
      <c r="AG96" s="5"/>
    </row>
    <row r="97" spans="1:33" ht="18" customHeight="1" x14ac:dyDescent="0.25">
      <c r="A97" s="34"/>
      <c r="B97" s="454">
        <f>'DATA INPUT'!B77</f>
        <v>0</v>
      </c>
      <c r="C97" s="454"/>
      <c r="D97" s="454"/>
      <c r="E97" s="454"/>
      <c r="F97" s="454"/>
      <c r="G97" s="454"/>
      <c r="H97" s="455">
        <f>'DATA INPUT'!C77</f>
        <v>0</v>
      </c>
      <c r="I97" s="455"/>
      <c r="J97" s="455">
        <f>'DATA INPUT'!D77</f>
        <v>0</v>
      </c>
      <c r="K97" s="455"/>
      <c r="L97" s="455">
        <f>'DATA INPUT'!E77</f>
        <v>0</v>
      </c>
      <c r="M97" s="455"/>
      <c r="N97" s="455"/>
      <c r="P97" s="454">
        <f>'DATA INPUT'!B81</f>
        <v>0</v>
      </c>
      <c r="Q97" s="454"/>
      <c r="R97" s="454"/>
      <c r="S97" s="454"/>
      <c r="T97" s="454"/>
      <c r="U97" s="454"/>
      <c r="V97" s="454"/>
      <c r="W97" s="456">
        <f>'DATA INPUT'!C81</f>
        <v>0</v>
      </c>
      <c r="X97" s="457"/>
      <c r="Y97" s="455">
        <f>'DATA INPUT'!D81</f>
        <v>0</v>
      </c>
      <c r="Z97" s="455"/>
      <c r="AA97" s="455">
        <f>'DATA INPUT'!E81</f>
        <v>0</v>
      </c>
      <c r="AB97" s="455"/>
      <c r="AC97" s="455"/>
      <c r="AD97" s="35"/>
      <c r="AE97" s="97"/>
      <c r="AF97" s="5"/>
      <c r="AG97" s="5"/>
    </row>
    <row r="98" spans="1:33" ht="3.75" customHeight="1" x14ac:dyDescent="0.25">
      <c r="A98" s="1"/>
      <c r="B98" s="36"/>
      <c r="P98" s="5"/>
      <c r="Q98" s="5"/>
      <c r="R98" s="5"/>
      <c r="S98" s="5"/>
      <c r="T98" s="5"/>
      <c r="U98" s="5"/>
      <c r="V98" s="5"/>
      <c r="W98" s="5"/>
      <c r="X98" s="5"/>
      <c r="Y98" s="5"/>
      <c r="Z98" s="5"/>
      <c r="AA98" s="5"/>
      <c r="AB98" s="5"/>
      <c r="AC98" s="5"/>
      <c r="AD98" s="5"/>
      <c r="AE98" s="5"/>
      <c r="AF98" s="5"/>
      <c r="AG98" s="5"/>
    </row>
    <row r="99" spans="1:33" ht="18" customHeight="1" x14ac:dyDescent="0.25">
      <c r="A99" s="410" t="s">
        <v>94</v>
      </c>
      <c r="B99" s="410"/>
      <c r="C99" s="410"/>
      <c r="D99" s="410"/>
      <c r="E99" s="410"/>
      <c r="F99" s="410"/>
      <c r="G99" s="410"/>
      <c r="H99" s="410"/>
      <c r="I99" s="410"/>
      <c r="J99" s="410"/>
    </row>
    <row r="100" spans="1:33" ht="18" customHeight="1" x14ac:dyDescent="0.25">
      <c r="A100" s="1"/>
      <c r="B100" s="36"/>
      <c r="D100" s="2" t="s">
        <v>95</v>
      </c>
      <c r="E100" s="410" t="s">
        <v>96</v>
      </c>
      <c r="F100" s="410"/>
      <c r="G100" s="410"/>
      <c r="H100" s="410"/>
      <c r="I100" s="410"/>
      <c r="J100" s="410"/>
      <c r="N100" s="33" t="s">
        <v>351</v>
      </c>
      <c r="O100" s="73"/>
      <c r="P100" s="73"/>
      <c r="Q100" s="73" t="str">
        <f>'DATA INPUT'!K84</f>
        <v/>
      </c>
      <c r="R100" s="73" t="str">
        <f>'DATA INPUT'!L84</f>
        <v/>
      </c>
      <c r="S100" s="73" t="str">
        <f>'DATA INPUT'!M84</f>
        <v/>
      </c>
      <c r="T100" s="73" t="str">
        <f>'DATA INPUT'!N84</f>
        <v/>
      </c>
      <c r="U100" s="73" t="str">
        <f>'DATA INPUT'!O84</f>
        <v/>
      </c>
      <c r="V100" s="106"/>
      <c r="W100" s="106" t="s">
        <v>97</v>
      </c>
      <c r="X100" s="106"/>
      <c r="Y100" s="106"/>
      <c r="Z100" s="106"/>
    </row>
    <row r="101" spans="1:33" ht="18" customHeight="1" x14ac:dyDescent="0.25">
      <c r="A101" s="1"/>
      <c r="B101" s="36"/>
      <c r="D101" s="410" t="s">
        <v>98</v>
      </c>
      <c r="E101" s="410"/>
      <c r="F101" s="410"/>
      <c r="G101" s="410"/>
      <c r="H101" s="410"/>
      <c r="I101" s="410"/>
      <c r="J101" s="410"/>
      <c r="N101" s="33" t="s">
        <v>351</v>
      </c>
      <c r="O101" s="73"/>
      <c r="P101" s="73"/>
      <c r="Q101" s="73" t="str">
        <f>'DATA INPUT'!K85</f>
        <v/>
      </c>
      <c r="R101" s="73" t="str">
        <f>'DATA INPUT'!L85</f>
        <v/>
      </c>
      <c r="S101" s="73" t="str">
        <f>'DATA INPUT'!M85</f>
        <v/>
      </c>
      <c r="T101" s="73" t="str">
        <f>'DATA INPUT'!N85</f>
        <v/>
      </c>
      <c r="U101" s="73" t="str">
        <f>'DATA INPUT'!O85</f>
        <v/>
      </c>
      <c r="V101" s="106"/>
      <c r="W101" s="106" t="s">
        <v>97</v>
      </c>
      <c r="X101" s="106"/>
      <c r="Y101" s="106"/>
      <c r="Z101" s="106"/>
    </row>
    <row r="102" spans="1:33" ht="18" customHeight="1" x14ac:dyDescent="0.25">
      <c r="A102" s="28"/>
      <c r="D102" s="3" t="s">
        <v>99</v>
      </c>
      <c r="E102" s="3"/>
      <c r="F102" s="3"/>
      <c r="G102" s="3"/>
      <c r="H102" s="3"/>
      <c r="I102" s="3"/>
      <c r="J102" s="3"/>
      <c r="N102" s="33" t="s">
        <v>351</v>
      </c>
      <c r="O102" s="73"/>
      <c r="P102" s="73"/>
      <c r="Q102" s="73" t="str">
        <f>'DATA INPUT'!K86</f>
        <v/>
      </c>
      <c r="R102" s="73" t="str">
        <f>'DATA INPUT'!L86</f>
        <v/>
      </c>
      <c r="S102" s="73" t="str">
        <f>'DATA INPUT'!M86</f>
        <v/>
      </c>
      <c r="T102" s="73" t="str">
        <f>'DATA INPUT'!N86</f>
        <v/>
      </c>
      <c r="U102" s="73" t="str">
        <f>'DATA INPUT'!O86</f>
        <v/>
      </c>
      <c r="V102" s="106"/>
      <c r="W102" s="106" t="s">
        <v>97</v>
      </c>
      <c r="X102" s="106"/>
      <c r="Y102" s="106"/>
      <c r="Z102" s="106"/>
    </row>
    <row r="103" spans="1:33" ht="18" customHeight="1" x14ac:dyDescent="0.25">
      <c r="A103" s="1"/>
      <c r="D103" s="410" t="s">
        <v>100</v>
      </c>
      <c r="E103" s="410"/>
      <c r="F103" s="410"/>
      <c r="G103" s="410"/>
      <c r="H103" s="410"/>
      <c r="I103" s="410"/>
      <c r="J103" s="410"/>
      <c r="N103" s="33" t="s">
        <v>351</v>
      </c>
      <c r="O103" s="73"/>
      <c r="P103" s="73"/>
      <c r="Q103" s="73" t="str">
        <f>'DATA INPUT'!K87</f>
        <v/>
      </c>
      <c r="R103" s="73" t="str">
        <f>'DATA INPUT'!L87</f>
        <v/>
      </c>
      <c r="S103" s="73" t="str">
        <f>'DATA INPUT'!M87</f>
        <v/>
      </c>
      <c r="T103" s="73" t="str">
        <f>'DATA INPUT'!N87</f>
        <v/>
      </c>
      <c r="U103" s="73" t="str">
        <f>'DATA INPUT'!O87</f>
        <v/>
      </c>
      <c r="V103" s="106"/>
      <c r="W103" s="106" t="s">
        <v>97</v>
      </c>
      <c r="X103" s="106"/>
      <c r="Y103" s="106"/>
      <c r="Z103" s="106"/>
    </row>
    <row r="104" spans="1:33" ht="4.5" customHeight="1" x14ac:dyDescent="0.25">
      <c r="A104" s="1"/>
      <c r="N104" s="179"/>
    </row>
    <row r="105" spans="1:33" ht="18" customHeight="1" x14ac:dyDescent="0.25">
      <c r="A105" s="410" t="s">
        <v>101</v>
      </c>
      <c r="B105" s="410"/>
      <c r="C105" s="410"/>
      <c r="D105" s="410"/>
      <c r="E105" s="410"/>
      <c r="F105" s="410"/>
      <c r="G105" s="410"/>
      <c r="L105" s="23"/>
      <c r="M105" s="23"/>
      <c r="N105" s="177"/>
      <c r="O105" s="73" t="str">
        <f>'DATA INPUT'!K89</f>
        <v/>
      </c>
      <c r="P105" s="73" t="str">
        <f>'DATA INPUT'!L89</f>
        <v/>
      </c>
      <c r="Q105" s="73" t="str">
        <f>'DATA INPUT'!M89</f>
        <v/>
      </c>
      <c r="R105" s="73" t="str">
        <f>'DATA INPUT'!N89</f>
        <v/>
      </c>
      <c r="S105" s="73" t="str">
        <f>'DATA INPUT'!O89</f>
        <v/>
      </c>
      <c r="T105" s="73" t="str">
        <f>'DATA INPUT'!P89</f>
        <v/>
      </c>
      <c r="U105" s="73" t="str">
        <f>'DATA INPUT'!Q89</f>
        <v/>
      </c>
      <c r="V105" s="73" t="str">
        <f>'DATA INPUT'!R89</f>
        <v/>
      </c>
      <c r="W105" s="73" t="str">
        <f>'DATA INPUT'!S89</f>
        <v/>
      </c>
      <c r="X105" s="73" t="str">
        <f>'DATA INPUT'!T89</f>
        <v/>
      </c>
      <c r="Y105" s="73" t="str">
        <f>'DATA INPUT'!U89</f>
        <v/>
      </c>
      <c r="Z105" s="73" t="str">
        <f>'DATA INPUT'!V89</f>
        <v/>
      </c>
      <c r="AA105" s="111" t="str">
        <f>'DATA INPUT'!W89</f>
        <v/>
      </c>
      <c r="AB105" s="111" t="str">
        <f>'DATA INPUT'!X89</f>
        <v/>
      </c>
      <c r="AC105" s="111" t="str">
        <f>'DATA INPUT'!Y89</f>
        <v/>
      </c>
    </row>
    <row r="106" spans="1:33" ht="2.25" customHeight="1" x14ac:dyDescent="0.25">
      <c r="N106" s="179"/>
    </row>
    <row r="107" spans="1:33" ht="18" customHeight="1" x14ac:dyDescent="0.25">
      <c r="A107" s="3" t="s">
        <v>102</v>
      </c>
      <c r="B107" s="3"/>
      <c r="C107" s="3"/>
      <c r="D107" s="3"/>
      <c r="E107" s="3"/>
      <c r="F107" s="3"/>
      <c r="G107" s="3"/>
      <c r="N107" s="179"/>
    </row>
    <row r="108" spans="1:33" ht="2.25" customHeight="1" x14ac:dyDescent="0.25">
      <c r="N108" s="179"/>
    </row>
    <row r="109" spans="1:33" ht="18" customHeight="1" x14ac:dyDescent="0.25">
      <c r="D109" s="2" t="s">
        <v>103</v>
      </c>
      <c r="E109" s="100" t="s">
        <v>198</v>
      </c>
      <c r="F109" s="100"/>
      <c r="G109" s="100"/>
      <c r="H109" s="13"/>
      <c r="I109" s="106"/>
      <c r="L109" s="106"/>
      <c r="N109" s="33" t="s">
        <v>351</v>
      </c>
      <c r="O109" s="27" t="str">
        <f>'DATA INPUT'!K92</f>
        <v/>
      </c>
      <c r="P109" s="27" t="str">
        <f>'DATA INPUT'!L92</f>
        <v/>
      </c>
      <c r="Q109" s="27" t="str">
        <f>'DATA INPUT'!M92</f>
        <v/>
      </c>
      <c r="R109" s="27" t="str">
        <f>'DATA INPUT'!N92</f>
        <v/>
      </c>
      <c r="S109" s="27" t="str">
        <f>'DATA INPUT'!O92</f>
        <v/>
      </c>
      <c r="T109" s="27" t="str">
        <f>'DATA INPUT'!P92</f>
        <v/>
      </c>
      <c r="U109" s="27" t="str">
        <f>'DATA INPUT'!Q92</f>
        <v/>
      </c>
      <c r="V109" s="27" t="str">
        <f>'DATA INPUT'!R92</f>
        <v/>
      </c>
    </row>
    <row r="110" spans="1:33" ht="18" customHeight="1" x14ac:dyDescent="0.25">
      <c r="D110" s="2" t="s">
        <v>104</v>
      </c>
      <c r="E110" s="100" t="s">
        <v>105</v>
      </c>
      <c r="F110" s="100"/>
      <c r="G110" s="100"/>
      <c r="H110" s="13"/>
      <c r="I110" s="106"/>
      <c r="L110" s="106"/>
      <c r="N110" s="33" t="s">
        <v>351</v>
      </c>
      <c r="O110" s="27" t="str">
        <f>'DATA INPUT'!K93</f>
        <v/>
      </c>
      <c r="P110" s="27" t="str">
        <f>'DATA INPUT'!L93</f>
        <v/>
      </c>
      <c r="Q110" s="27" t="str">
        <f>'DATA INPUT'!M93</f>
        <v/>
      </c>
      <c r="R110" s="27" t="str">
        <f>'DATA INPUT'!N93</f>
        <v/>
      </c>
      <c r="S110" s="27" t="str">
        <f>'DATA INPUT'!O93</f>
        <v/>
      </c>
      <c r="T110" s="27" t="str">
        <f>'DATA INPUT'!P93</f>
        <v/>
      </c>
      <c r="U110" s="27" t="str">
        <f>'DATA INPUT'!Q93</f>
        <v/>
      </c>
      <c r="V110" s="27" t="str">
        <f>'DATA INPUT'!R93</f>
        <v/>
      </c>
    </row>
    <row r="111" spans="1:33" ht="18" customHeight="1" x14ac:dyDescent="0.25">
      <c r="D111" s="2" t="s">
        <v>106</v>
      </c>
      <c r="E111" s="100" t="s">
        <v>107</v>
      </c>
      <c r="F111" s="100"/>
      <c r="G111" s="100"/>
      <c r="H111" s="13"/>
      <c r="I111" s="106"/>
      <c r="L111" s="106"/>
      <c r="N111" s="33" t="s">
        <v>351</v>
      </c>
      <c r="O111" s="27" t="str">
        <f>'DATA INPUT'!K94</f>
        <v/>
      </c>
      <c r="P111" s="27" t="str">
        <f>'DATA INPUT'!L94</f>
        <v/>
      </c>
      <c r="Q111" s="27" t="str">
        <f>'DATA INPUT'!M94</f>
        <v/>
      </c>
      <c r="R111" s="27" t="str">
        <f>'DATA INPUT'!N94</f>
        <v/>
      </c>
      <c r="S111" s="27" t="str">
        <f>'DATA INPUT'!O94</f>
        <v/>
      </c>
      <c r="T111" s="27" t="str">
        <f>'DATA INPUT'!P94</f>
        <v/>
      </c>
      <c r="U111" s="27" t="str">
        <f>'DATA INPUT'!Q94</f>
        <v/>
      </c>
      <c r="V111" s="27" t="str">
        <f>'DATA INPUT'!R94</f>
        <v/>
      </c>
    </row>
    <row r="112" spans="1:33" ht="18" customHeight="1" x14ac:dyDescent="0.25">
      <c r="D112" s="2" t="s">
        <v>108</v>
      </c>
      <c r="E112" s="100" t="s">
        <v>109</v>
      </c>
      <c r="F112" s="100"/>
      <c r="G112" s="100"/>
      <c r="H112" s="13"/>
      <c r="I112" s="106"/>
      <c r="L112" s="106"/>
      <c r="N112" s="33" t="s">
        <v>351</v>
      </c>
      <c r="O112" s="27" t="str">
        <f>'DATA INPUT'!K95</f>
        <v/>
      </c>
      <c r="P112" s="27" t="str">
        <f>'DATA INPUT'!L95</f>
        <v/>
      </c>
      <c r="Q112" s="27" t="str">
        <f>'DATA INPUT'!M95</f>
        <v/>
      </c>
      <c r="R112" s="27" t="str">
        <f>'DATA INPUT'!N95</f>
        <v/>
      </c>
      <c r="S112" s="27" t="str">
        <f>'DATA INPUT'!O95</f>
        <v/>
      </c>
      <c r="T112" s="27" t="str">
        <f>'DATA INPUT'!P95</f>
        <v/>
      </c>
      <c r="U112" s="27" t="str">
        <f>'DATA INPUT'!Q95</f>
        <v/>
      </c>
      <c r="V112" s="27" t="str">
        <f>'DATA INPUT'!R95</f>
        <v/>
      </c>
    </row>
    <row r="113" spans="5:29" ht="18" customHeight="1" x14ac:dyDescent="0.25">
      <c r="E113" s="458"/>
      <c r="F113" s="459"/>
      <c r="G113" s="459"/>
      <c r="H113" s="459"/>
      <c r="I113" s="459"/>
      <c r="J113" s="460"/>
    </row>
    <row r="115" spans="5:29" ht="24.75" customHeight="1" x14ac:dyDescent="0.25">
      <c r="M115" s="463" t="s">
        <v>110</v>
      </c>
      <c r="N115" s="463"/>
      <c r="O115" s="463"/>
      <c r="P115" s="463"/>
      <c r="Q115" s="463"/>
      <c r="R115" s="463"/>
      <c r="S115" s="463"/>
      <c r="T115" s="463"/>
      <c r="U115" s="463"/>
      <c r="V115" s="463"/>
      <c r="W115" s="463"/>
      <c r="X115" s="463"/>
      <c r="Y115" s="463"/>
      <c r="Z115" s="463"/>
      <c r="AA115" s="463"/>
      <c r="AB115" s="463"/>
      <c r="AC115" s="463"/>
    </row>
  </sheetData>
  <sheetProtection password="C345" sheet="1" objects="1" scenarios="1" selectLockedCells="1"/>
  <mergeCells count="143">
    <mergeCell ref="M115:AC115"/>
    <mergeCell ref="A99:J99"/>
    <mergeCell ref="E100:J100"/>
    <mergeCell ref="D101:J101"/>
    <mergeCell ref="D103:J103"/>
    <mergeCell ref="A105:G105"/>
    <mergeCell ref="Y96:Z96"/>
    <mergeCell ref="AA96:AC96"/>
    <mergeCell ref="B97:G97"/>
    <mergeCell ref="H97:I97"/>
    <mergeCell ref="J97:K97"/>
    <mergeCell ref="L97:N97"/>
    <mergeCell ref="P97:V97"/>
    <mergeCell ref="W97:X97"/>
    <mergeCell ref="Y97:Z97"/>
    <mergeCell ref="AA97:AC97"/>
    <mergeCell ref="B96:G96"/>
    <mergeCell ref="H96:I96"/>
    <mergeCell ref="J96:K96"/>
    <mergeCell ref="L96:N96"/>
    <mergeCell ref="P96:V96"/>
    <mergeCell ref="W96:X96"/>
    <mergeCell ref="E113:J113"/>
    <mergeCell ref="AA94:AC94"/>
    <mergeCell ref="B95:G95"/>
    <mergeCell ref="H95:I95"/>
    <mergeCell ref="J95:K95"/>
    <mergeCell ref="L95:N95"/>
    <mergeCell ref="P95:V95"/>
    <mergeCell ref="W95:X95"/>
    <mergeCell ref="Y95:Z95"/>
    <mergeCell ref="AA95:AC95"/>
    <mergeCell ref="B92:W92"/>
    <mergeCell ref="B94:G94"/>
    <mergeCell ref="H94:I94"/>
    <mergeCell ref="J94:K94"/>
    <mergeCell ref="L94:N94"/>
    <mergeCell ref="P94:V94"/>
    <mergeCell ref="W94:X94"/>
    <mergeCell ref="B86:H86"/>
    <mergeCell ref="V89:Y89"/>
    <mergeCell ref="V90:Y90"/>
    <mergeCell ref="T89:U89"/>
    <mergeCell ref="T90:U90"/>
    <mergeCell ref="R89:S89"/>
    <mergeCell ref="R90:S90"/>
    <mergeCell ref="B89:Q89"/>
    <mergeCell ref="B90:Q90"/>
    <mergeCell ref="Y94:Z94"/>
    <mergeCell ref="AA73:AC73"/>
    <mergeCell ref="AA72:AC72"/>
    <mergeCell ref="X72:Z72"/>
    <mergeCell ref="X73:Z73"/>
    <mergeCell ref="L72:O72"/>
    <mergeCell ref="L73:O73"/>
    <mergeCell ref="P72:W72"/>
    <mergeCell ref="P73:W73"/>
    <mergeCell ref="J77:Q77"/>
    <mergeCell ref="R77:Y77"/>
    <mergeCell ref="C72:K72"/>
    <mergeCell ref="C73:K73"/>
    <mergeCell ref="AA71:AC71"/>
    <mergeCell ref="AA69:AC69"/>
    <mergeCell ref="AA70:AC70"/>
    <mergeCell ref="X69:Z69"/>
    <mergeCell ref="X70:Z70"/>
    <mergeCell ref="X71:Z71"/>
    <mergeCell ref="P69:W69"/>
    <mergeCell ref="L69:O69"/>
    <mergeCell ref="L70:O70"/>
    <mergeCell ref="L71:O71"/>
    <mergeCell ref="A2:AC2"/>
    <mergeCell ref="A3:AC3"/>
    <mergeCell ref="A4:AC4"/>
    <mergeCell ref="O15:T15"/>
    <mergeCell ref="A26:AC26"/>
    <mergeCell ref="A37:AC37"/>
    <mergeCell ref="B64:H64"/>
    <mergeCell ref="X60:AC60"/>
    <mergeCell ref="B62:J62"/>
    <mergeCell ref="K62:L62"/>
    <mergeCell ref="N62:O62"/>
    <mergeCell ref="Q62:R62"/>
    <mergeCell ref="T62:U62"/>
    <mergeCell ref="W62:X62"/>
    <mergeCell ref="Z62:AB62"/>
    <mergeCell ref="B60:F60"/>
    <mergeCell ref="I60:K60"/>
    <mergeCell ref="N60:Q60"/>
    <mergeCell ref="T60:V60"/>
    <mergeCell ref="B58:R58"/>
    <mergeCell ref="B17:E17"/>
    <mergeCell ref="O17:U17"/>
    <mergeCell ref="B48:M48"/>
    <mergeCell ref="N48:AC48"/>
    <mergeCell ref="P7:S7"/>
    <mergeCell ref="F15:G15"/>
    <mergeCell ref="H15:I15"/>
    <mergeCell ref="J15:M15"/>
    <mergeCell ref="V15:W15"/>
    <mergeCell ref="X15:Y15"/>
    <mergeCell ref="Z15:AC15"/>
    <mergeCell ref="F17:G17"/>
    <mergeCell ref="H17:I17"/>
    <mergeCell ref="J17:M17"/>
    <mergeCell ref="V17:W17"/>
    <mergeCell ref="X17:Y17"/>
    <mergeCell ref="Z17:AC17"/>
    <mergeCell ref="B66:N66"/>
    <mergeCell ref="M49:N49"/>
    <mergeCell ref="B51:E51"/>
    <mergeCell ref="B53:L53"/>
    <mergeCell ref="B57:F57"/>
    <mergeCell ref="B55:F55"/>
    <mergeCell ref="B7:K7"/>
    <mergeCell ref="B5:G5"/>
    <mergeCell ref="B9:G9"/>
    <mergeCell ref="L7:M7"/>
    <mergeCell ref="N7:O7"/>
    <mergeCell ref="A1:AC1"/>
    <mergeCell ref="J81:Q81"/>
    <mergeCell ref="R81:Y81"/>
    <mergeCell ref="J83:Q83"/>
    <mergeCell ref="R83:Y83"/>
    <mergeCell ref="J85:Q85"/>
    <mergeCell ref="R85:Y85"/>
    <mergeCell ref="P66:Q66"/>
    <mergeCell ref="R66:S66"/>
    <mergeCell ref="T66:W66"/>
    <mergeCell ref="P70:W70"/>
    <mergeCell ref="P71:W71"/>
    <mergeCell ref="B75:J75"/>
    <mergeCell ref="B77:F77"/>
    <mergeCell ref="B79:F79"/>
    <mergeCell ref="B81:G81"/>
    <mergeCell ref="B83:G83"/>
    <mergeCell ref="B85:G85"/>
    <mergeCell ref="J79:Q79"/>
    <mergeCell ref="R79:Y79"/>
    <mergeCell ref="C69:K69"/>
    <mergeCell ref="C70:K70"/>
    <mergeCell ref="C71:K71"/>
    <mergeCell ref="B68:H68"/>
  </mergeCells>
  <printOptions horizontalCentered="1"/>
  <pageMargins left="0.19685039370078741" right="0.19685039370078741" top="0.19685039370078741" bottom="0.19685039370078741" header="0" footer="0"/>
  <pageSetup paperSize="9" orientation="portrait" r:id="rId1"/>
  <headerFooter>
    <oddHeader>&amp;R&amp;"-,Bold Italic"psh*</oddHeader>
    <oddFooter>&amp;L&amp;"-,Bold Italic"&amp;10psh*&amp;RPage-&amp;P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63"/>
  <sheetViews>
    <sheetView zoomScaleNormal="100" workbookViewId="0">
      <selection activeCell="B26" sqref="B26:D26"/>
    </sheetView>
  </sheetViews>
  <sheetFormatPr defaultRowHeight="15" x14ac:dyDescent="0.25"/>
  <cols>
    <col min="1" max="1" width="5.140625" style="179" customWidth="1"/>
    <col min="2" max="2" width="20.42578125" style="38" customWidth="1"/>
    <col min="3" max="3" width="11.140625" style="39" customWidth="1"/>
    <col min="4" max="4" width="13.28515625" style="39" customWidth="1"/>
    <col min="5" max="5" width="12.28515625" style="39" customWidth="1"/>
    <col min="6" max="6" width="11.85546875" style="39" customWidth="1"/>
    <col min="7" max="7" width="13" style="39" customWidth="1"/>
    <col min="8" max="8" width="8.7109375" style="39" customWidth="1"/>
    <col min="9" max="16384" width="9.140625" style="39"/>
  </cols>
  <sheetData>
    <row r="1" spans="1:7" s="38" customFormat="1" ht="23.25" customHeight="1" x14ac:dyDescent="0.25">
      <c r="A1" s="479" t="s">
        <v>0</v>
      </c>
      <c r="B1" s="479"/>
      <c r="C1" s="479"/>
      <c r="D1" s="479"/>
      <c r="E1" s="479"/>
      <c r="F1" s="479"/>
      <c r="G1" s="479"/>
    </row>
    <row r="2" spans="1:7" s="38" customFormat="1" ht="23.25" customHeight="1" x14ac:dyDescent="0.25">
      <c r="A2" s="479" t="s">
        <v>1</v>
      </c>
      <c r="B2" s="479"/>
      <c r="C2" s="479"/>
      <c r="D2" s="479"/>
      <c r="E2" s="479"/>
      <c r="F2" s="479"/>
      <c r="G2" s="479"/>
    </row>
    <row r="3" spans="1:7" ht="51" customHeight="1" x14ac:dyDescent="0.25">
      <c r="A3" s="272">
        <v>1</v>
      </c>
      <c r="B3" s="462" t="s">
        <v>147</v>
      </c>
      <c r="C3" s="462"/>
      <c r="D3" s="462"/>
      <c r="E3" s="467" t="str">
        <f>'DATA INPUT'!$I$6</f>
        <v/>
      </c>
      <c r="F3" s="468"/>
      <c r="G3" s="469"/>
    </row>
    <row r="4" spans="1:7" ht="44.25" customHeight="1" x14ac:dyDescent="0.25">
      <c r="A4" s="272">
        <v>2</v>
      </c>
      <c r="B4" s="464" t="s">
        <v>200</v>
      </c>
      <c r="C4" s="464"/>
      <c r="D4" s="464"/>
      <c r="E4" s="470">
        <f>'DATA INPUT'!$C$97</f>
        <v>0</v>
      </c>
      <c r="F4" s="470"/>
      <c r="G4" s="470"/>
    </row>
    <row r="5" spans="1:7" ht="103.5" customHeight="1" x14ac:dyDescent="0.25">
      <c r="A5" s="272">
        <v>3</v>
      </c>
      <c r="B5" s="464" t="s">
        <v>199</v>
      </c>
      <c r="C5" s="464"/>
      <c r="D5" s="464"/>
      <c r="E5" s="467" t="str">
        <f>'DATA INPUT'!$I$17</f>
        <v>, , , , -</v>
      </c>
      <c r="F5" s="468"/>
      <c r="G5" s="469"/>
    </row>
    <row r="6" spans="1:7" ht="48.75" customHeight="1" x14ac:dyDescent="0.25">
      <c r="A6" s="272">
        <v>4</v>
      </c>
      <c r="B6" s="464" t="s">
        <v>2</v>
      </c>
      <c r="C6" s="464"/>
      <c r="D6" s="464"/>
      <c r="E6" s="471">
        <f>'DATA INPUT'!$C$98</f>
        <v>0</v>
      </c>
      <c r="F6" s="472"/>
      <c r="G6" s="473"/>
    </row>
    <row r="7" spans="1:7" ht="38.25" customHeight="1" x14ac:dyDescent="0.25">
      <c r="A7" s="272">
        <v>5</v>
      </c>
      <c r="B7" s="464" t="s">
        <v>3</v>
      </c>
      <c r="C7" s="464"/>
      <c r="D7" s="464"/>
      <c r="E7" s="470">
        <f>'DATA INPUT'!$C$99</f>
        <v>0</v>
      </c>
      <c r="F7" s="470"/>
      <c r="G7" s="470"/>
    </row>
    <row r="8" spans="1:7" ht="33" customHeight="1" x14ac:dyDescent="0.25">
      <c r="A8" s="272">
        <v>6</v>
      </c>
      <c r="B8" s="464" t="s">
        <v>4</v>
      </c>
      <c r="C8" s="464"/>
      <c r="D8" s="464"/>
      <c r="E8" s="474" t="str">
        <f>'FORM 7'!D9</f>
        <v>ELIGIBLE</v>
      </c>
      <c r="F8" s="474"/>
      <c r="G8" s="474"/>
    </row>
    <row r="9" spans="1:7" ht="38.25" customHeight="1" x14ac:dyDescent="0.25">
      <c r="A9" s="272">
        <v>7</v>
      </c>
      <c r="B9" s="464" t="s">
        <v>284</v>
      </c>
      <c r="C9" s="464"/>
      <c r="D9" s="464"/>
      <c r="E9" s="474" t="str">
        <f>'FORM 7'!$D$10</f>
        <v>Karnataka State Government</v>
      </c>
      <c r="F9" s="474"/>
      <c r="G9" s="474"/>
    </row>
    <row r="10" spans="1:7" ht="18" customHeight="1" x14ac:dyDescent="0.25">
      <c r="A10" s="480">
        <v>8</v>
      </c>
      <c r="B10" s="464" t="s">
        <v>116</v>
      </c>
      <c r="C10" s="464"/>
      <c r="D10" s="464"/>
      <c r="E10" s="271" t="s">
        <v>254</v>
      </c>
      <c r="F10" s="271" t="s">
        <v>255</v>
      </c>
      <c r="G10" s="271" t="s">
        <v>256</v>
      </c>
    </row>
    <row r="11" spans="1:7" ht="18" customHeight="1" x14ac:dyDescent="0.25">
      <c r="A11" s="481"/>
      <c r="B11" s="464" t="s">
        <v>117</v>
      </c>
      <c r="C11" s="464"/>
      <c r="D11" s="464"/>
      <c r="E11" s="290">
        <f>Psh!$F$6</f>
        <v>0</v>
      </c>
      <c r="F11" s="290">
        <f>Psh!$J$6</f>
        <v>0</v>
      </c>
      <c r="G11" s="290">
        <f>Psh!$K$6</f>
        <v>0</v>
      </c>
    </row>
    <row r="12" spans="1:7" ht="18" customHeight="1" x14ac:dyDescent="0.25">
      <c r="A12" s="481"/>
      <c r="B12" s="464" t="s">
        <v>118</v>
      </c>
      <c r="C12" s="464"/>
      <c r="D12" s="464"/>
      <c r="E12" s="291"/>
      <c r="F12" s="291"/>
      <c r="G12" s="291"/>
    </row>
    <row r="13" spans="1:7" ht="35.25" customHeight="1" x14ac:dyDescent="0.25">
      <c r="A13" s="481"/>
      <c r="B13" s="464" t="s">
        <v>257</v>
      </c>
      <c r="C13" s="464"/>
      <c r="D13" s="464"/>
      <c r="E13" s="458"/>
      <c r="F13" s="459"/>
      <c r="G13" s="460"/>
    </row>
    <row r="14" spans="1:7" ht="35.25" customHeight="1" x14ac:dyDescent="0.25">
      <c r="A14" s="482"/>
      <c r="B14" s="464" t="s">
        <v>119</v>
      </c>
      <c r="C14" s="464"/>
      <c r="D14" s="464"/>
      <c r="E14" s="458"/>
      <c r="F14" s="459"/>
      <c r="G14" s="460"/>
    </row>
    <row r="15" spans="1:7" ht="29.25" customHeight="1" x14ac:dyDescent="0.25">
      <c r="A15" s="480">
        <v>9</v>
      </c>
      <c r="B15" s="464" t="s">
        <v>120</v>
      </c>
      <c r="C15" s="464"/>
      <c r="D15" s="464"/>
      <c r="E15" s="495" t="s">
        <v>316</v>
      </c>
      <c r="F15" s="496"/>
      <c r="G15" s="497"/>
    </row>
    <row r="16" spans="1:7" ht="29.25" customHeight="1" x14ac:dyDescent="0.25">
      <c r="A16" s="482"/>
      <c r="B16" s="464" t="s">
        <v>121</v>
      </c>
      <c r="C16" s="464"/>
      <c r="D16" s="464"/>
      <c r="E16" s="498"/>
      <c r="F16" s="499"/>
      <c r="G16" s="500"/>
    </row>
    <row r="17" spans="1:10" ht="29.25" customHeight="1" x14ac:dyDescent="0.25">
      <c r="A17" s="40">
        <v>10</v>
      </c>
      <c r="B17" s="464" t="s">
        <v>128</v>
      </c>
      <c r="C17" s="464"/>
      <c r="D17" s="483"/>
      <c r="E17" s="198" t="s">
        <v>245</v>
      </c>
      <c r="F17" s="348">
        <f>IF('DATA INPUT'!$I$83="STATE SCALE",Psh!$A$6,Psh!$A$9)</f>
        <v>0</v>
      </c>
      <c r="G17" s="292"/>
    </row>
    <row r="18" spans="1:10" ht="29.25" customHeight="1" x14ac:dyDescent="0.25">
      <c r="A18" s="40">
        <v>11</v>
      </c>
      <c r="B18" s="464" t="s">
        <v>111</v>
      </c>
      <c r="C18" s="464"/>
      <c r="D18" s="483"/>
      <c r="E18" s="198" t="s">
        <v>245</v>
      </c>
      <c r="F18" s="348">
        <f>IF('DATA INPUT'!$I$83="STATE SCALE",Psh!$AW$6,Psh!$AW$9)</f>
        <v>8500</v>
      </c>
      <c r="G18" s="292"/>
      <c r="J18" s="179"/>
    </row>
    <row r="19" spans="1:10" ht="29.25" customHeight="1" x14ac:dyDescent="0.25">
      <c r="A19" s="40">
        <v>12</v>
      </c>
      <c r="B19" s="464" t="s">
        <v>112</v>
      </c>
      <c r="C19" s="464"/>
      <c r="D19" s="483"/>
      <c r="E19" s="198" t="s">
        <v>245</v>
      </c>
      <c r="F19" s="348">
        <f>IF('DATA INPUT'!$I$83="STATE SCALE",Psh!$AQ$6,Psh!$AQ$9)</f>
        <v>0</v>
      </c>
      <c r="G19" s="292"/>
    </row>
    <row r="20" spans="1:10" ht="88.5" customHeight="1" x14ac:dyDescent="0.25">
      <c r="A20" s="40">
        <v>13</v>
      </c>
      <c r="B20" s="464" t="s">
        <v>258</v>
      </c>
      <c r="C20" s="464"/>
      <c r="D20" s="464"/>
      <c r="E20" s="476" t="s">
        <v>315</v>
      </c>
      <c r="F20" s="477"/>
      <c r="G20" s="478"/>
    </row>
    <row r="21" spans="1:10" ht="34.5" customHeight="1" x14ac:dyDescent="0.25">
      <c r="A21" s="40">
        <v>14</v>
      </c>
      <c r="B21" s="464" t="s">
        <v>5</v>
      </c>
      <c r="C21" s="464"/>
      <c r="D21" s="464"/>
      <c r="E21" s="475">
        <f>'DATA INPUT'!$I$10</f>
        <v>1</v>
      </c>
      <c r="F21" s="470"/>
      <c r="G21" s="470"/>
    </row>
    <row r="22" spans="1:10" ht="15.75" x14ac:dyDescent="0.25">
      <c r="A22" s="480">
        <v>15</v>
      </c>
      <c r="B22" s="464" t="s">
        <v>201</v>
      </c>
      <c r="C22" s="464"/>
      <c r="D22" s="464"/>
      <c r="E22" s="470">
        <f>'DATA INPUT'!$C$33</f>
        <v>0</v>
      </c>
      <c r="F22" s="470"/>
      <c r="G22" s="470"/>
    </row>
    <row r="23" spans="1:10" ht="24" customHeight="1" x14ac:dyDescent="0.25">
      <c r="A23" s="481"/>
      <c r="B23" s="464" t="s">
        <v>122</v>
      </c>
      <c r="C23" s="464"/>
      <c r="D23" s="464"/>
      <c r="E23" s="470"/>
      <c r="F23" s="470"/>
      <c r="G23" s="470"/>
    </row>
    <row r="24" spans="1:10" ht="24" customHeight="1" x14ac:dyDescent="0.25">
      <c r="A24" s="482"/>
      <c r="B24" s="484" t="s">
        <v>123</v>
      </c>
      <c r="C24" s="484"/>
      <c r="D24" s="484"/>
      <c r="E24" s="470"/>
      <c r="F24" s="470"/>
      <c r="G24" s="470"/>
    </row>
    <row r="25" spans="1:10" ht="20.25" customHeight="1" x14ac:dyDescent="0.25">
      <c r="A25" s="480">
        <v>16</v>
      </c>
      <c r="B25" s="464" t="s">
        <v>202</v>
      </c>
      <c r="C25" s="464"/>
      <c r="D25" s="464"/>
      <c r="E25" s="490"/>
      <c r="F25" s="491"/>
      <c r="G25" s="492"/>
    </row>
    <row r="26" spans="1:10" ht="35.25" customHeight="1" x14ac:dyDescent="0.25">
      <c r="A26" s="481"/>
      <c r="B26" s="464" t="s">
        <v>124</v>
      </c>
      <c r="C26" s="464"/>
      <c r="D26" s="464"/>
      <c r="E26" s="494">
        <f>IF('DATA INPUT'!H104="APPLICABLE",'FORM 7'!Q27,"  ")</f>
        <v>8500</v>
      </c>
      <c r="F26" s="494"/>
      <c r="G26" s="494"/>
    </row>
    <row r="27" spans="1:10" ht="33.75" customHeight="1" x14ac:dyDescent="0.25">
      <c r="A27" s="482"/>
      <c r="B27" s="464" t="s">
        <v>125</v>
      </c>
      <c r="C27" s="464"/>
      <c r="D27" s="464"/>
      <c r="E27" s="494">
        <f>'FORM 7'!$D$28</f>
        <v>0</v>
      </c>
      <c r="F27" s="494"/>
      <c r="G27" s="494"/>
    </row>
    <row r="28" spans="1:10" ht="37.5" customHeight="1" x14ac:dyDescent="0.25">
      <c r="A28" s="40">
        <v>17</v>
      </c>
      <c r="B28" s="464" t="s">
        <v>6</v>
      </c>
      <c r="C28" s="464"/>
      <c r="D28" s="464"/>
      <c r="E28" s="487" t="s">
        <v>317</v>
      </c>
      <c r="F28" s="487"/>
      <c r="G28" s="487"/>
    </row>
    <row r="29" spans="1:10" ht="18" customHeight="1" x14ac:dyDescent="0.25">
      <c r="A29" s="480">
        <v>18</v>
      </c>
      <c r="B29" s="464" t="s">
        <v>126</v>
      </c>
      <c r="C29" s="464"/>
      <c r="D29" s="483"/>
      <c r="E29" s="490"/>
      <c r="F29" s="491"/>
      <c r="G29" s="492"/>
    </row>
    <row r="30" spans="1:10" ht="25.5" customHeight="1" x14ac:dyDescent="0.25">
      <c r="A30" s="481"/>
      <c r="B30" s="464" t="s">
        <v>261</v>
      </c>
      <c r="C30" s="464"/>
      <c r="D30" s="483"/>
      <c r="E30" s="493">
        <f>'DATA INPUT'!$C$7</f>
        <v>0</v>
      </c>
      <c r="F30" s="487"/>
      <c r="G30" s="487"/>
    </row>
    <row r="31" spans="1:10" ht="25.5" customHeight="1" x14ac:dyDescent="0.25">
      <c r="A31" s="482"/>
      <c r="B31" s="464" t="s">
        <v>127</v>
      </c>
      <c r="C31" s="464"/>
      <c r="D31" s="464"/>
      <c r="E31" s="475">
        <f>'DATA INPUT'!$C$51</f>
        <v>0</v>
      </c>
      <c r="F31" s="470"/>
      <c r="G31" s="470"/>
    </row>
    <row r="32" spans="1:10" ht="25.5" customHeight="1" x14ac:dyDescent="0.25">
      <c r="A32" s="40">
        <v>19</v>
      </c>
      <c r="B32" s="464" t="s">
        <v>7</v>
      </c>
      <c r="C32" s="464"/>
      <c r="D32" s="464"/>
      <c r="E32" s="488">
        <f>'DATA INPUT'!$C$101</f>
        <v>0</v>
      </c>
      <c r="F32" s="488"/>
      <c r="G32" s="488"/>
    </row>
    <row r="33" spans="1:7" ht="27" customHeight="1" x14ac:dyDescent="0.25">
      <c r="A33" s="40">
        <v>20</v>
      </c>
      <c r="B33" s="464" t="s">
        <v>8</v>
      </c>
      <c r="C33" s="464"/>
      <c r="D33" s="464"/>
      <c r="E33" s="470">
        <f>'DATA INPUT'!$C$102</f>
        <v>0</v>
      </c>
      <c r="F33" s="470"/>
      <c r="G33" s="470"/>
    </row>
    <row r="34" spans="1:7" s="57" customFormat="1" ht="15.75" x14ac:dyDescent="0.25">
      <c r="A34" s="285">
        <v>21</v>
      </c>
      <c r="B34" s="489" t="s">
        <v>9</v>
      </c>
      <c r="C34" s="489"/>
      <c r="D34" s="489"/>
      <c r="E34" s="489"/>
      <c r="F34" s="489"/>
      <c r="G34" s="489"/>
    </row>
    <row r="35" spans="1:7" s="60" customFormat="1" ht="21" customHeight="1" x14ac:dyDescent="0.25">
      <c r="A35" s="285" t="s">
        <v>170</v>
      </c>
      <c r="B35" s="293" t="s">
        <v>172</v>
      </c>
      <c r="C35" s="58" t="s">
        <v>10</v>
      </c>
      <c r="D35" s="58" t="s">
        <v>11</v>
      </c>
      <c r="E35" s="59" t="s">
        <v>177</v>
      </c>
      <c r="F35" s="285" t="s">
        <v>12</v>
      </c>
      <c r="G35" s="285" t="s">
        <v>13</v>
      </c>
    </row>
    <row r="36" spans="1:7" s="60" customFormat="1" ht="68.25" customHeight="1" x14ac:dyDescent="0.25">
      <c r="A36" s="285"/>
      <c r="B36" s="285"/>
      <c r="C36" s="58"/>
      <c r="D36" s="58"/>
      <c r="E36" s="285"/>
      <c r="F36" s="285"/>
      <c r="G36" s="285"/>
    </row>
    <row r="37" spans="1:7" s="60" customFormat="1" ht="25.5" x14ac:dyDescent="0.25">
      <c r="A37" s="285" t="s">
        <v>171</v>
      </c>
      <c r="B37" s="293" t="s">
        <v>173</v>
      </c>
      <c r="C37" s="58" t="s">
        <v>10</v>
      </c>
      <c r="D37" s="58" t="s">
        <v>11</v>
      </c>
      <c r="E37" s="59" t="s">
        <v>177</v>
      </c>
      <c r="F37" s="285" t="s">
        <v>12</v>
      </c>
      <c r="G37" s="285" t="s">
        <v>13</v>
      </c>
    </row>
    <row r="38" spans="1:7" s="60" customFormat="1" ht="75.75" customHeight="1" x14ac:dyDescent="0.25">
      <c r="A38" s="285"/>
      <c r="B38" s="61"/>
      <c r="C38" s="58"/>
      <c r="D38" s="58"/>
      <c r="E38" s="285"/>
      <c r="F38" s="285"/>
      <c r="G38" s="285"/>
    </row>
    <row r="39" spans="1:7" s="41" customFormat="1" ht="15.75" x14ac:dyDescent="0.25">
      <c r="A39" s="286"/>
      <c r="B39" s="42"/>
      <c r="C39" s="43"/>
      <c r="D39" s="25"/>
    </row>
    <row r="40" spans="1:7" s="41" customFormat="1" ht="15.75" x14ac:dyDescent="0.25">
      <c r="A40" s="286"/>
      <c r="B40" s="42"/>
      <c r="C40" s="43"/>
      <c r="D40" s="25"/>
    </row>
    <row r="41" spans="1:7" s="41" customFormat="1" ht="20.25" customHeight="1" x14ac:dyDescent="0.25">
      <c r="A41" s="286"/>
      <c r="D41" s="25"/>
    </row>
    <row r="42" spans="1:7" s="41" customFormat="1" ht="17.25" customHeight="1" x14ac:dyDescent="0.25">
      <c r="A42" s="286"/>
      <c r="B42" s="44"/>
      <c r="C42" s="43"/>
      <c r="D42" s="25"/>
      <c r="E42" s="486" t="s">
        <v>14</v>
      </c>
      <c r="F42" s="486"/>
      <c r="G42" s="486"/>
    </row>
    <row r="43" spans="1:7" s="41" customFormat="1" ht="15.75" customHeight="1" x14ac:dyDescent="0.25">
      <c r="A43" s="286"/>
      <c r="C43" s="43"/>
      <c r="D43" s="25"/>
      <c r="E43" s="485" t="s">
        <v>15</v>
      </c>
      <c r="F43" s="485"/>
      <c r="G43" s="485"/>
    </row>
    <row r="44" spans="1:7" s="41" customFormat="1" ht="9.75" customHeight="1" x14ac:dyDescent="0.25">
      <c r="A44" s="286"/>
      <c r="B44" s="44"/>
      <c r="C44" s="43"/>
      <c r="D44" s="25"/>
    </row>
    <row r="45" spans="1:7" ht="9.75" customHeight="1" x14ac:dyDescent="0.25">
      <c r="B45" s="274"/>
      <c r="C45" s="1"/>
      <c r="D45" s="1"/>
    </row>
    <row r="46" spans="1:7" ht="112.5" customHeight="1" x14ac:dyDescent="0.25">
      <c r="A46" s="465" t="s">
        <v>16</v>
      </c>
      <c r="B46" s="465"/>
      <c r="C46" s="465"/>
      <c r="D46" s="465"/>
      <c r="E46" s="465"/>
      <c r="F46" s="465"/>
      <c r="G46" s="465"/>
    </row>
    <row r="47" spans="1:7" ht="3.75" customHeight="1" x14ac:dyDescent="0.25">
      <c r="B47" s="274"/>
      <c r="C47" s="1"/>
      <c r="D47" s="1"/>
    </row>
    <row r="48" spans="1:7" ht="14.45" customHeight="1" x14ac:dyDescent="0.25">
      <c r="A48" s="179" t="s">
        <v>17</v>
      </c>
      <c r="B48" s="466" t="s">
        <v>18</v>
      </c>
      <c r="C48" s="466"/>
      <c r="D48" s="466"/>
    </row>
    <row r="49" spans="2:2" x14ac:dyDescent="0.25">
      <c r="B49" s="45"/>
    </row>
    <row r="50" spans="2:2" x14ac:dyDescent="0.25">
      <c r="B50" s="45"/>
    </row>
    <row r="51" spans="2:2" x14ac:dyDescent="0.25">
      <c r="B51" s="45"/>
    </row>
    <row r="52" spans="2:2" x14ac:dyDescent="0.25">
      <c r="B52" s="45"/>
    </row>
    <row r="53" spans="2:2" x14ac:dyDescent="0.25">
      <c r="B53" s="45"/>
    </row>
    <row r="54" spans="2:2" x14ac:dyDescent="0.25">
      <c r="B54" s="45"/>
    </row>
    <row r="55" spans="2:2" x14ac:dyDescent="0.25">
      <c r="B55" s="45"/>
    </row>
    <row r="56" spans="2:2" x14ac:dyDescent="0.25">
      <c r="B56" s="45"/>
    </row>
    <row r="57" spans="2:2" x14ac:dyDescent="0.25">
      <c r="B57" s="45"/>
    </row>
    <row r="58" spans="2:2" x14ac:dyDescent="0.25">
      <c r="B58" s="45"/>
    </row>
    <row r="59" spans="2:2" x14ac:dyDescent="0.25">
      <c r="B59" s="45"/>
    </row>
    <row r="60" spans="2:2" x14ac:dyDescent="0.25">
      <c r="B60" s="45"/>
    </row>
    <row r="61" spans="2:2" x14ac:dyDescent="0.25">
      <c r="B61" s="45"/>
    </row>
    <row r="62" spans="2:2" x14ac:dyDescent="0.25">
      <c r="B62" s="45"/>
    </row>
    <row r="63" spans="2:2" x14ac:dyDescent="0.25">
      <c r="B63" s="45"/>
    </row>
  </sheetData>
  <sheetProtection password="C345" sheet="1" objects="1" scenarios="1" selectLockedCells="1"/>
  <mergeCells count="65">
    <mergeCell ref="E13:G13"/>
    <mergeCell ref="E14:G14"/>
    <mergeCell ref="E29:G29"/>
    <mergeCell ref="E30:G30"/>
    <mergeCell ref="E31:G31"/>
    <mergeCell ref="E25:G25"/>
    <mergeCell ref="E26:G26"/>
    <mergeCell ref="E27:G27"/>
    <mergeCell ref="E15:G16"/>
    <mergeCell ref="E43:G43"/>
    <mergeCell ref="A25:A27"/>
    <mergeCell ref="A22:A24"/>
    <mergeCell ref="B30:D30"/>
    <mergeCell ref="B31:D31"/>
    <mergeCell ref="A29:A31"/>
    <mergeCell ref="E42:G42"/>
    <mergeCell ref="E28:G28"/>
    <mergeCell ref="E32:G32"/>
    <mergeCell ref="E33:G33"/>
    <mergeCell ref="B29:D29"/>
    <mergeCell ref="B32:D32"/>
    <mergeCell ref="B34:G34"/>
    <mergeCell ref="B25:D25"/>
    <mergeCell ref="B28:D28"/>
    <mergeCell ref="B26:D26"/>
    <mergeCell ref="B23:D23"/>
    <mergeCell ref="E22:G24"/>
    <mergeCell ref="B15:D15"/>
    <mergeCell ref="B17:D17"/>
    <mergeCell ref="B18:D18"/>
    <mergeCell ref="B19:D19"/>
    <mergeCell ref="B21:D21"/>
    <mergeCell ref="B22:D22"/>
    <mergeCell ref="B24:D24"/>
    <mergeCell ref="B20:D20"/>
    <mergeCell ref="B14:D14"/>
    <mergeCell ref="A10:A14"/>
    <mergeCell ref="B10:D10"/>
    <mergeCell ref="B16:D16"/>
    <mergeCell ref="A15:A16"/>
    <mergeCell ref="A1:G1"/>
    <mergeCell ref="B6:D6"/>
    <mergeCell ref="B7:D7"/>
    <mergeCell ref="B8:D8"/>
    <mergeCell ref="B9:D9"/>
    <mergeCell ref="B3:D3"/>
    <mergeCell ref="B4:D4"/>
    <mergeCell ref="A2:G2"/>
    <mergeCell ref="B5:D5"/>
    <mergeCell ref="B27:D27"/>
    <mergeCell ref="A46:G46"/>
    <mergeCell ref="B48:D48"/>
    <mergeCell ref="E3:G3"/>
    <mergeCell ref="E4:G4"/>
    <mergeCell ref="E5:G5"/>
    <mergeCell ref="E6:G6"/>
    <mergeCell ref="E7:G7"/>
    <mergeCell ref="E8:G8"/>
    <mergeCell ref="E9:G9"/>
    <mergeCell ref="E21:G21"/>
    <mergeCell ref="E20:G20"/>
    <mergeCell ref="B33:D33"/>
    <mergeCell ref="B11:D11"/>
    <mergeCell ref="B12:D12"/>
    <mergeCell ref="B13:D13"/>
  </mergeCells>
  <printOptions horizontalCentered="1"/>
  <pageMargins left="0.39370078740157483" right="0.39370078740157483" top="0.59055118110236227"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E38"/>
  <sheetViews>
    <sheetView zoomScaleNormal="100" zoomScaleSheetLayoutView="100" workbookViewId="0">
      <selection sqref="A1:E1"/>
    </sheetView>
  </sheetViews>
  <sheetFormatPr defaultRowHeight="15" x14ac:dyDescent="0.25"/>
  <cols>
    <col min="1" max="1" width="4.140625" style="273" customWidth="1"/>
    <col min="2" max="2" width="44" style="39" customWidth="1"/>
    <col min="3" max="3" width="15.85546875" style="39" customWidth="1"/>
    <col min="4" max="4" width="16.85546875" style="39" customWidth="1"/>
    <col min="5" max="5" width="16.28515625" style="39" customWidth="1"/>
    <col min="6" max="16384" width="9.140625" style="39"/>
  </cols>
  <sheetData>
    <row r="1" spans="1:5" s="41" customFormat="1" ht="26.25" customHeight="1" x14ac:dyDescent="0.25">
      <c r="A1" s="504" t="s">
        <v>19</v>
      </c>
      <c r="B1" s="504"/>
      <c r="C1" s="504"/>
      <c r="D1" s="504"/>
      <c r="E1" s="504"/>
    </row>
    <row r="2" spans="1:5" s="41" customFormat="1" ht="75" customHeight="1" x14ac:dyDescent="0.25">
      <c r="A2" s="507" t="s">
        <v>263</v>
      </c>
      <c r="B2" s="507"/>
      <c r="C2" s="507"/>
      <c r="D2" s="507"/>
      <c r="E2" s="507"/>
    </row>
    <row r="3" spans="1:5" s="41" customFormat="1" ht="45.75" customHeight="1" x14ac:dyDescent="0.25">
      <c r="A3" s="276">
        <v>1</v>
      </c>
      <c r="B3" s="46" t="s">
        <v>129</v>
      </c>
      <c r="C3" s="505" t="str">
        <f>GRATUITY!$E$3</f>
        <v/>
      </c>
      <c r="D3" s="505"/>
      <c r="E3" s="505"/>
    </row>
    <row r="4" spans="1:5" s="41" customFormat="1" ht="40.5" customHeight="1" x14ac:dyDescent="0.25">
      <c r="A4" s="276">
        <v>2</v>
      </c>
      <c r="B4" s="46" t="s">
        <v>130</v>
      </c>
      <c r="C4" s="506">
        <f>'DATA INPUT'!$C$7</f>
        <v>0</v>
      </c>
      <c r="D4" s="505"/>
      <c r="E4" s="505"/>
    </row>
    <row r="5" spans="1:5" s="41" customFormat="1" ht="40.5" customHeight="1" x14ac:dyDescent="0.25">
      <c r="A5" s="276"/>
      <c r="B5" s="46" t="s">
        <v>131</v>
      </c>
      <c r="C5" s="506">
        <f>'DATA INPUT'!$C$10</f>
        <v>0</v>
      </c>
      <c r="D5" s="505"/>
      <c r="E5" s="505"/>
    </row>
    <row r="6" spans="1:5" s="41" customFormat="1" ht="57" customHeight="1" x14ac:dyDescent="0.25">
      <c r="A6" s="276">
        <v>3</v>
      </c>
      <c r="B6" s="46" t="s">
        <v>132</v>
      </c>
      <c r="C6" s="505" t="s">
        <v>307</v>
      </c>
      <c r="D6" s="505"/>
      <c r="E6" s="505"/>
    </row>
    <row r="7" spans="1:5" ht="57" customHeight="1" x14ac:dyDescent="0.25">
      <c r="A7" s="276">
        <v>4</v>
      </c>
      <c r="B7" s="46" t="s">
        <v>133</v>
      </c>
      <c r="C7" s="505" t="s">
        <v>307</v>
      </c>
      <c r="D7" s="505"/>
      <c r="E7" s="505"/>
    </row>
    <row r="8" spans="1:5" ht="57" customHeight="1" x14ac:dyDescent="0.25">
      <c r="A8" s="276">
        <v>5</v>
      </c>
      <c r="B8" s="46" t="s">
        <v>134</v>
      </c>
      <c r="C8" s="505" t="s">
        <v>307</v>
      </c>
      <c r="D8" s="505"/>
      <c r="E8" s="505"/>
    </row>
    <row r="9" spans="1:5" ht="135.75" customHeight="1" x14ac:dyDescent="0.25">
      <c r="A9" s="276">
        <v>6</v>
      </c>
      <c r="B9" s="46" t="s">
        <v>135</v>
      </c>
      <c r="C9" s="505" t="str">
        <f>GRATUITY!$E$5</f>
        <v>, , , , -</v>
      </c>
      <c r="D9" s="505"/>
      <c r="E9" s="505"/>
    </row>
    <row r="10" spans="1:5" ht="137.25" customHeight="1" x14ac:dyDescent="0.25">
      <c r="A10" s="276">
        <v>7</v>
      </c>
      <c r="B10" s="46" t="s">
        <v>136</v>
      </c>
      <c r="C10" s="505" t="str">
        <f>'DATA INPUT'!$I$24</f>
        <v>, , , , -</v>
      </c>
      <c r="D10" s="505"/>
      <c r="E10" s="505"/>
    </row>
    <row r="11" spans="1:5" ht="78.75" customHeight="1" x14ac:dyDescent="0.25">
      <c r="A11" s="276">
        <v>8</v>
      </c>
      <c r="B11" s="46" t="s">
        <v>137</v>
      </c>
      <c r="C11" s="505">
        <f>'DATA INPUT'!$C$33</f>
        <v>0</v>
      </c>
      <c r="D11" s="505"/>
      <c r="E11" s="505"/>
    </row>
    <row r="12" spans="1:5" ht="24.75" customHeight="1" x14ac:dyDescent="0.25">
      <c r="A12" s="276">
        <v>9</v>
      </c>
      <c r="B12" s="501" t="s">
        <v>138</v>
      </c>
      <c r="C12" s="501"/>
      <c r="D12" s="501"/>
      <c r="E12" s="501"/>
    </row>
    <row r="13" spans="1:5" ht="63.75" customHeight="1" x14ac:dyDescent="0.25">
      <c r="A13" s="276" t="s">
        <v>139</v>
      </c>
      <c r="B13" s="276" t="s">
        <v>140</v>
      </c>
      <c r="C13" s="276" t="s">
        <v>141</v>
      </c>
      <c r="D13" s="276" t="s">
        <v>80</v>
      </c>
      <c r="E13" s="276" t="s">
        <v>142</v>
      </c>
    </row>
    <row r="14" spans="1:5" ht="50.25" customHeight="1" x14ac:dyDescent="0.25">
      <c r="A14" s="276">
        <v>1</v>
      </c>
      <c r="B14" s="277" t="str">
        <f>PENSION!$C$70</f>
        <v xml:space="preserve"> </v>
      </c>
      <c r="C14" s="277" t="str">
        <f>PENSION!L70</f>
        <v xml:space="preserve"> </v>
      </c>
      <c r="D14" s="294" t="str">
        <f>PENSION!P70</f>
        <v xml:space="preserve"> </v>
      </c>
      <c r="E14" s="277" t="str">
        <f>PENSION!X70</f>
        <v xml:space="preserve"> </v>
      </c>
    </row>
    <row r="15" spans="1:5" ht="50.25" customHeight="1" x14ac:dyDescent="0.25">
      <c r="A15" s="276">
        <v>2</v>
      </c>
      <c r="B15" s="277" t="str">
        <f>PENSION!C71</f>
        <v xml:space="preserve"> </v>
      </c>
      <c r="C15" s="277" t="str">
        <f>PENSION!L71</f>
        <v xml:space="preserve"> </v>
      </c>
      <c r="D15" s="294" t="str">
        <f>PENSION!P71</f>
        <v xml:space="preserve"> </v>
      </c>
      <c r="E15" s="277" t="str">
        <f>PENSION!X71</f>
        <v xml:space="preserve"> </v>
      </c>
    </row>
    <row r="16" spans="1:5" ht="50.25" customHeight="1" x14ac:dyDescent="0.25">
      <c r="A16" s="276">
        <v>3</v>
      </c>
      <c r="B16" s="277" t="str">
        <f>PENSION!C72</f>
        <v xml:space="preserve"> </v>
      </c>
      <c r="C16" s="277" t="str">
        <f>PENSION!L72</f>
        <v xml:space="preserve"> </v>
      </c>
      <c r="D16" s="294" t="str">
        <f>PENSION!P72</f>
        <v xml:space="preserve"> </v>
      </c>
      <c r="E16" s="277" t="str">
        <f>PENSION!X72</f>
        <v xml:space="preserve"> </v>
      </c>
    </row>
    <row r="17" spans="1:5" ht="50.25" customHeight="1" x14ac:dyDescent="0.25">
      <c r="A17" s="276">
        <v>4</v>
      </c>
      <c r="B17" s="277" t="str">
        <f>PENSION!C73</f>
        <v xml:space="preserve"> </v>
      </c>
      <c r="C17" s="277" t="str">
        <f>PENSION!L73</f>
        <v xml:space="preserve"> </v>
      </c>
      <c r="D17" s="294" t="str">
        <f>PENSION!P73</f>
        <v xml:space="preserve"> </v>
      </c>
      <c r="E17" s="277" t="str">
        <f>PENSION!X73</f>
        <v xml:space="preserve"> </v>
      </c>
    </row>
    <row r="18" spans="1:5" ht="50.25" customHeight="1" x14ac:dyDescent="0.25">
      <c r="A18" s="276">
        <v>5</v>
      </c>
      <c r="B18" s="277"/>
      <c r="C18" s="277"/>
      <c r="D18" s="295"/>
      <c r="E18" s="277"/>
    </row>
    <row r="19" spans="1:5" ht="50.25" customHeight="1" x14ac:dyDescent="0.25">
      <c r="A19" s="276">
        <v>6</v>
      </c>
      <c r="B19" s="277"/>
      <c r="C19" s="277"/>
      <c r="D19" s="295"/>
      <c r="E19" s="277"/>
    </row>
    <row r="20" spans="1:5" ht="18.75" x14ac:dyDescent="0.3">
      <c r="A20" s="47"/>
      <c r="B20" s="48"/>
      <c r="C20" s="49"/>
      <c r="D20" s="49"/>
      <c r="E20" s="49"/>
    </row>
    <row r="21" spans="1:5" ht="18.75" x14ac:dyDescent="0.3">
      <c r="A21" s="47"/>
      <c r="B21" s="48"/>
      <c r="C21" s="49"/>
      <c r="D21" s="49"/>
      <c r="E21" s="49"/>
    </row>
    <row r="22" spans="1:5" x14ac:dyDescent="0.25">
      <c r="A22" s="275"/>
      <c r="B22" s="50"/>
      <c r="C22" s="51"/>
      <c r="D22" s="51"/>
      <c r="E22" s="51"/>
    </row>
    <row r="23" spans="1:5" ht="18" customHeight="1" x14ac:dyDescent="0.25">
      <c r="A23" s="275"/>
      <c r="B23" s="50"/>
      <c r="C23" s="502" t="s">
        <v>25</v>
      </c>
      <c r="D23" s="502"/>
      <c r="E23" s="502"/>
    </row>
    <row r="24" spans="1:5" ht="28.5" customHeight="1" x14ac:dyDescent="0.25">
      <c r="A24" s="275"/>
      <c r="B24" s="50"/>
      <c r="C24" s="51"/>
      <c r="D24" s="51"/>
      <c r="E24" s="51"/>
    </row>
    <row r="25" spans="1:5" x14ac:dyDescent="0.25">
      <c r="A25" s="275"/>
      <c r="B25" s="503" t="s">
        <v>143</v>
      </c>
      <c r="C25" s="503"/>
      <c r="D25" s="503"/>
      <c r="E25" s="503"/>
    </row>
    <row r="26" spans="1:5" x14ac:dyDescent="0.25">
      <c r="A26" s="275"/>
      <c r="B26" s="50"/>
      <c r="C26" s="51"/>
      <c r="D26" s="51"/>
      <c r="E26" s="51"/>
    </row>
    <row r="27" spans="1:5" x14ac:dyDescent="0.25">
      <c r="A27" s="275"/>
      <c r="B27" s="50"/>
      <c r="C27" s="51"/>
      <c r="D27" s="51"/>
      <c r="E27" s="51"/>
    </row>
    <row r="28" spans="1:5" x14ac:dyDescent="0.25">
      <c r="A28" s="275"/>
      <c r="B28" s="50"/>
      <c r="C28" s="51"/>
      <c r="D28" s="51"/>
      <c r="E28" s="51"/>
    </row>
    <row r="29" spans="1:5" x14ac:dyDescent="0.25">
      <c r="A29" s="275"/>
      <c r="B29" s="503" t="s">
        <v>26</v>
      </c>
      <c r="C29" s="503"/>
      <c r="D29" s="503"/>
      <c r="E29" s="503"/>
    </row>
    <row r="30" spans="1:5" x14ac:dyDescent="0.25">
      <c r="A30" s="275"/>
      <c r="B30" s="41"/>
    </row>
    <row r="31" spans="1:5" x14ac:dyDescent="0.25">
      <c r="A31" s="275"/>
      <c r="B31" s="41"/>
    </row>
    <row r="32" spans="1:5" x14ac:dyDescent="0.25">
      <c r="A32" s="275"/>
      <c r="B32" s="41"/>
    </row>
    <row r="33" spans="1:2" x14ac:dyDescent="0.25">
      <c r="A33" s="275"/>
      <c r="B33" s="41"/>
    </row>
    <row r="34" spans="1:2" x14ac:dyDescent="0.25">
      <c r="A34" s="275"/>
      <c r="B34" s="41"/>
    </row>
    <row r="35" spans="1:2" x14ac:dyDescent="0.25">
      <c r="A35" s="275"/>
      <c r="B35" s="41"/>
    </row>
    <row r="36" spans="1:2" x14ac:dyDescent="0.25">
      <c r="A36" s="275"/>
      <c r="B36" s="41"/>
    </row>
    <row r="37" spans="1:2" x14ac:dyDescent="0.25">
      <c r="A37" s="275"/>
      <c r="B37" s="41"/>
    </row>
    <row r="38" spans="1:2" x14ac:dyDescent="0.25">
      <c r="A38" s="275"/>
      <c r="B38" s="41"/>
    </row>
  </sheetData>
  <sheetProtection password="C345" sheet="1" objects="1" scenarios="1" selectLockedCells="1"/>
  <mergeCells count="15">
    <mergeCell ref="B12:E12"/>
    <mergeCell ref="C23:E23"/>
    <mergeCell ref="B25:E25"/>
    <mergeCell ref="B29:E29"/>
    <mergeCell ref="A1:E1"/>
    <mergeCell ref="C3:E3"/>
    <mergeCell ref="C4:E4"/>
    <mergeCell ref="C5:E5"/>
    <mergeCell ref="C6:E6"/>
    <mergeCell ref="C7:E7"/>
    <mergeCell ref="C8:E8"/>
    <mergeCell ref="C9:E9"/>
    <mergeCell ref="C10:E10"/>
    <mergeCell ref="C11:E11"/>
    <mergeCell ref="A2:E2"/>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Italic"&amp;9psh*&amp;RPage-&amp;P</oddFooter>
  </headerFooter>
  <rowBreaks count="1" manualBreakCount="1">
    <brk id="11"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R158"/>
  <sheetViews>
    <sheetView zoomScaleNormal="100" workbookViewId="0">
      <selection activeCell="A6" sqref="A6:N6"/>
    </sheetView>
  </sheetViews>
  <sheetFormatPr defaultRowHeight="14.25" x14ac:dyDescent="0.2"/>
  <cols>
    <col min="1" max="11" width="6.42578125" style="51" customWidth="1"/>
    <col min="12" max="12" width="6.85546875" style="51" customWidth="1"/>
    <col min="13" max="13" width="6.7109375" style="51" customWidth="1"/>
    <col min="14" max="14" width="7" style="51" customWidth="1"/>
    <col min="15" max="15" width="9.140625" style="51"/>
    <col min="16" max="16" width="28.5703125" style="51" customWidth="1"/>
    <col min="17" max="17" width="51.140625" style="51" customWidth="1"/>
    <col min="18" max="18" width="15.5703125" style="51" customWidth="1"/>
    <col min="19" max="16384" width="9.140625" style="51"/>
  </cols>
  <sheetData>
    <row r="1" spans="1:18" ht="15.75" x14ac:dyDescent="0.25">
      <c r="A1" s="542" t="s">
        <v>20</v>
      </c>
      <c r="B1" s="542"/>
      <c r="C1" s="542"/>
      <c r="D1" s="542"/>
      <c r="E1" s="542"/>
      <c r="F1" s="542"/>
      <c r="G1" s="542"/>
      <c r="H1" s="542"/>
      <c r="I1" s="542"/>
      <c r="J1" s="542"/>
      <c r="K1" s="542"/>
      <c r="L1" s="542"/>
      <c r="M1" s="542"/>
      <c r="N1" s="542"/>
    </row>
    <row r="2" spans="1:18" ht="21.75" customHeight="1" x14ac:dyDescent="0.2">
      <c r="P2" s="52"/>
    </row>
    <row r="3" spans="1:18" ht="18" customHeight="1" x14ac:dyDescent="0.2">
      <c r="B3" s="543" t="s">
        <v>352</v>
      </c>
      <c r="C3" s="543"/>
      <c r="D3" s="543"/>
      <c r="E3" s="543"/>
      <c r="F3" s="535" t="str">
        <f>GRATUITY!$E$3</f>
        <v/>
      </c>
      <c r="G3" s="535"/>
      <c r="H3" s="535"/>
      <c r="I3" s="535"/>
      <c r="J3" s="535"/>
      <c r="K3" s="535"/>
      <c r="L3" s="535"/>
      <c r="M3" s="535"/>
      <c r="N3" s="535"/>
    </row>
    <row r="4" spans="1:18" ht="18" customHeight="1" x14ac:dyDescent="0.2">
      <c r="A4" s="508" t="s">
        <v>410</v>
      </c>
      <c r="B4" s="508"/>
      <c r="C4" s="508"/>
      <c r="D4" s="508"/>
      <c r="E4" s="508"/>
      <c r="F4" s="508"/>
      <c r="G4" s="508"/>
      <c r="H4" s="545" t="str">
        <f>'FORM 7'!$D$8</f>
        <v>SUPERANNUATION</v>
      </c>
      <c r="I4" s="545"/>
      <c r="J4" s="545"/>
      <c r="K4" s="545"/>
      <c r="L4" s="289" t="s">
        <v>411</v>
      </c>
      <c r="M4" s="544">
        <f>PROFORMA!$C$5</f>
        <v>0</v>
      </c>
      <c r="N4" s="544"/>
    </row>
    <row r="5" spans="1:18" ht="16.5" customHeight="1" x14ac:dyDescent="0.2">
      <c r="P5" s="205"/>
      <c r="Q5" s="205"/>
      <c r="R5" s="205"/>
    </row>
    <row r="6" spans="1:18" ht="42" customHeight="1" x14ac:dyDescent="0.2">
      <c r="A6" s="514" t="s">
        <v>364</v>
      </c>
      <c r="B6" s="514"/>
      <c r="C6" s="514"/>
      <c r="D6" s="514"/>
      <c r="E6" s="514"/>
      <c r="F6" s="514"/>
      <c r="G6" s="514"/>
      <c r="H6" s="514"/>
      <c r="I6" s="514"/>
      <c r="J6" s="514"/>
      <c r="K6" s="514"/>
      <c r="L6" s="514"/>
      <c r="M6" s="514"/>
      <c r="N6" s="514"/>
    </row>
    <row r="7" spans="1:18" ht="41.25" customHeight="1" x14ac:dyDescent="0.2">
      <c r="P7" s="53"/>
    </row>
    <row r="8" spans="1:18" ht="19.5" customHeight="1" x14ac:dyDescent="0.2">
      <c r="H8" s="508" t="s">
        <v>353</v>
      </c>
      <c r="I8" s="508"/>
      <c r="J8" s="508"/>
      <c r="K8" s="508"/>
      <c r="L8" s="508"/>
    </row>
    <row r="9" spans="1:18" ht="21" customHeight="1" x14ac:dyDescent="0.2">
      <c r="P9" s="53"/>
      <c r="Q9" s="205"/>
    </row>
    <row r="10" spans="1:18" ht="16.5" customHeight="1" x14ac:dyDescent="0.2">
      <c r="D10" s="533" t="s">
        <v>204</v>
      </c>
      <c r="E10" s="533"/>
      <c r="F10" s="533"/>
      <c r="G10" s="533"/>
      <c r="H10" s="533"/>
      <c r="I10" s="533"/>
      <c r="J10" s="533"/>
      <c r="K10" s="533"/>
    </row>
    <row r="11" spans="1:18" ht="15" customHeight="1" x14ac:dyDescent="0.2">
      <c r="D11" s="204"/>
    </row>
    <row r="12" spans="1:18" ht="15" customHeight="1" x14ac:dyDescent="0.2">
      <c r="D12" s="204"/>
    </row>
    <row r="13" spans="1:18" ht="18.75" customHeight="1" x14ac:dyDescent="0.2">
      <c r="D13" s="508" t="s">
        <v>203</v>
      </c>
      <c r="E13" s="508"/>
      <c r="F13" s="508"/>
      <c r="G13" s="508"/>
      <c r="H13" s="508"/>
      <c r="I13" s="508"/>
      <c r="J13" s="508"/>
      <c r="K13" s="508"/>
    </row>
    <row r="14" spans="1:18" x14ac:dyDescent="0.2">
      <c r="P14" s="53"/>
    </row>
    <row r="15" spans="1:18" ht="15" customHeight="1" x14ac:dyDescent="0.2">
      <c r="P15" s="53"/>
    </row>
    <row r="16" spans="1:18" x14ac:dyDescent="0.2">
      <c r="P16" s="53"/>
    </row>
    <row r="17" spans="1:18" ht="27.6" customHeight="1" x14ac:dyDescent="0.2">
      <c r="A17" s="534" t="s">
        <v>205</v>
      </c>
      <c r="B17" s="534"/>
      <c r="C17" s="534"/>
      <c r="D17" s="534"/>
      <c r="E17" s="534"/>
      <c r="F17" s="534"/>
      <c r="G17" s="534"/>
      <c r="H17" s="534"/>
      <c r="I17" s="534"/>
      <c r="J17" s="534"/>
      <c r="K17" s="534"/>
      <c r="L17" s="534"/>
      <c r="M17" s="534"/>
      <c r="N17" s="534"/>
    </row>
    <row r="18" spans="1:18" ht="17.45" customHeight="1" x14ac:dyDescent="0.2">
      <c r="P18" s="55"/>
    </row>
    <row r="19" spans="1:18" ht="18" customHeight="1" x14ac:dyDescent="0.2">
      <c r="A19" s="13"/>
      <c r="B19" s="546" t="s">
        <v>354</v>
      </c>
      <c r="C19" s="546"/>
      <c r="D19" s="546"/>
      <c r="E19" s="546"/>
      <c r="F19" s="546"/>
      <c r="G19" s="512" t="str">
        <f>F3</f>
        <v/>
      </c>
      <c r="H19" s="512"/>
      <c r="I19" s="512"/>
      <c r="J19" s="512"/>
      <c r="K19" s="512"/>
      <c r="L19" s="512"/>
      <c r="M19" s="512"/>
      <c r="N19" s="512"/>
    </row>
    <row r="20" spans="1:18" ht="18" customHeight="1" x14ac:dyDescent="0.2">
      <c r="A20" s="512">
        <f>SERVICE!$C$3</f>
        <v>0</v>
      </c>
      <c r="B20" s="512"/>
      <c r="C20" s="512"/>
      <c r="D20" s="512"/>
      <c r="E20" s="512"/>
      <c r="F20" s="512">
        <f>'DATA INPUT'!$C$13</f>
        <v>0</v>
      </c>
      <c r="G20" s="512"/>
      <c r="H20" s="512"/>
      <c r="I20" s="512"/>
      <c r="J20" s="546" t="s">
        <v>412</v>
      </c>
      <c r="K20" s="546"/>
    </row>
    <row r="21" spans="1:18" ht="18" customHeight="1" x14ac:dyDescent="0.2">
      <c r="A21" s="551" t="str">
        <f t="shared" ref="A21" si="0">$H$4</f>
        <v>SUPERANNUATION</v>
      </c>
      <c r="B21" s="551"/>
      <c r="C21" s="551"/>
      <c r="D21" s="551"/>
      <c r="E21" s="551"/>
      <c r="F21" s="508" t="s">
        <v>413</v>
      </c>
      <c r="G21" s="508"/>
      <c r="H21" s="508"/>
      <c r="I21" s="508"/>
      <c r="J21" s="508"/>
      <c r="K21" s="508"/>
      <c r="L21" s="547">
        <f>M4</f>
        <v>0</v>
      </c>
      <c r="M21" s="547"/>
    </row>
    <row r="22" spans="1:18" ht="24" customHeight="1" x14ac:dyDescent="0.2">
      <c r="P22" s="280"/>
      <c r="Q22" s="280"/>
      <c r="R22" s="296"/>
    </row>
    <row r="23" spans="1:18" ht="54.75" customHeight="1" x14ac:dyDescent="0.2">
      <c r="B23" s="288">
        <v>1</v>
      </c>
      <c r="C23" s="552"/>
      <c r="D23" s="552"/>
      <c r="E23" s="552"/>
      <c r="F23" s="552"/>
      <c r="G23" s="552"/>
      <c r="H23" s="552"/>
      <c r="I23" s="552"/>
      <c r="J23" s="552"/>
      <c r="K23" s="552"/>
      <c r="L23" s="552"/>
      <c r="M23" s="552"/>
    </row>
    <row r="24" spans="1:18" ht="54.75" customHeight="1" x14ac:dyDescent="0.2">
      <c r="B24" s="288">
        <v>2</v>
      </c>
      <c r="C24" s="552"/>
      <c r="D24" s="552"/>
      <c r="E24" s="552"/>
      <c r="F24" s="552"/>
      <c r="G24" s="552"/>
      <c r="H24" s="552"/>
      <c r="I24" s="552"/>
      <c r="J24" s="552"/>
      <c r="K24" s="552"/>
      <c r="L24" s="552"/>
      <c r="M24" s="552"/>
    </row>
    <row r="25" spans="1:18" ht="54.75" customHeight="1" x14ac:dyDescent="0.2">
      <c r="B25" s="288">
        <v>3</v>
      </c>
      <c r="C25" s="552"/>
      <c r="D25" s="552"/>
      <c r="E25" s="552"/>
      <c r="F25" s="552"/>
      <c r="G25" s="552"/>
      <c r="H25" s="552"/>
      <c r="I25" s="552"/>
      <c r="J25" s="552"/>
      <c r="K25" s="552"/>
      <c r="L25" s="552"/>
      <c r="M25" s="552"/>
    </row>
    <row r="26" spans="1:18" ht="30.75" customHeight="1" x14ac:dyDescent="0.2">
      <c r="P26" s="53"/>
    </row>
    <row r="27" spans="1:18" ht="46.5" customHeight="1" x14ac:dyDescent="0.2">
      <c r="H27" s="508" t="s">
        <v>365</v>
      </c>
      <c r="I27" s="508"/>
      <c r="J27" s="508"/>
      <c r="K27" s="508"/>
      <c r="L27" s="508"/>
    </row>
    <row r="28" spans="1:18" ht="34.5" customHeight="1" x14ac:dyDescent="0.2">
      <c r="E28" s="511" t="s">
        <v>21</v>
      </c>
      <c r="F28" s="511"/>
      <c r="G28" s="511"/>
      <c r="H28" s="511"/>
      <c r="I28" s="511"/>
      <c r="J28" s="511"/>
    </row>
    <row r="29" spans="1:18" ht="28.5" customHeight="1" x14ac:dyDescent="0.2">
      <c r="E29" s="56"/>
    </row>
    <row r="30" spans="1:18" ht="32.25" customHeight="1" x14ac:dyDescent="0.2">
      <c r="E30" s="553" t="s">
        <v>359</v>
      </c>
      <c r="F30" s="553"/>
      <c r="G30" s="553"/>
      <c r="H30" s="553"/>
      <c r="I30" s="553"/>
      <c r="J30" s="553"/>
    </row>
    <row r="32" spans="1:18" ht="15.75" x14ac:dyDescent="0.2">
      <c r="A32" s="548" t="s">
        <v>249</v>
      </c>
      <c r="B32" s="548"/>
      <c r="C32" s="548"/>
      <c r="D32" s="548"/>
      <c r="E32" s="548"/>
      <c r="F32" s="548"/>
      <c r="G32" s="548"/>
      <c r="H32" s="548"/>
      <c r="I32" s="548"/>
      <c r="J32" s="548"/>
      <c r="K32" s="548"/>
      <c r="L32" s="548"/>
      <c r="M32" s="548"/>
      <c r="N32" s="548"/>
    </row>
    <row r="34" spans="1:16" ht="19.5" customHeight="1" x14ac:dyDescent="0.2">
      <c r="B34" s="278" t="s">
        <v>355</v>
      </c>
      <c r="C34" s="517" t="str">
        <f>G19</f>
        <v/>
      </c>
      <c r="D34" s="517"/>
      <c r="E34" s="517"/>
      <c r="F34" s="517"/>
      <c r="G34" s="517"/>
      <c r="H34" s="517"/>
      <c r="I34" s="517"/>
      <c r="J34" s="517"/>
      <c r="K34" s="517"/>
      <c r="L34" s="517"/>
      <c r="M34" s="517"/>
      <c r="N34" s="517"/>
    </row>
    <row r="35" spans="1:16" ht="19.5" customHeight="1" x14ac:dyDescent="0.2">
      <c r="A35" s="535">
        <f>A20</f>
        <v>0</v>
      </c>
      <c r="B35" s="535"/>
      <c r="C35" s="535"/>
      <c r="D35" s="535"/>
      <c r="E35" s="535"/>
      <c r="F35" s="512">
        <f>F20</f>
        <v>0</v>
      </c>
      <c r="G35" s="512"/>
      <c r="H35" s="512"/>
      <c r="I35" s="512"/>
      <c r="J35" s="512"/>
      <c r="K35" s="512"/>
      <c r="L35" s="513" t="s">
        <v>366</v>
      </c>
      <c r="M35" s="513"/>
      <c r="N35" s="513"/>
    </row>
    <row r="36" spans="1:16" s="53" customFormat="1" ht="37.5" customHeight="1" x14ac:dyDescent="0.25">
      <c r="A36" s="514" t="s">
        <v>367</v>
      </c>
      <c r="B36" s="514"/>
      <c r="C36" s="514"/>
      <c r="D36" s="514"/>
      <c r="E36" s="514"/>
      <c r="F36" s="514"/>
      <c r="G36" s="514"/>
      <c r="H36" s="514"/>
      <c r="I36" s="514"/>
      <c r="J36" s="514"/>
      <c r="K36" s="514"/>
      <c r="L36" s="514"/>
      <c r="M36" s="514"/>
      <c r="N36" s="514"/>
    </row>
    <row r="37" spans="1:16" s="53" customFormat="1" x14ac:dyDescent="0.25">
      <c r="P37" s="281"/>
    </row>
    <row r="38" spans="1:16" s="53" customFormat="1" ht="41.25" customHeight="1" x14ac:dyDescent="0.25"/>
    <row r="39" spans="1:16" s="53" customFormat="1" ht="15.75" customHeight="1" x14ac:dyDescent="0.25">
      <c r="A39" s="538">
        <f>'DATA INPUT'!$C$21</f>
        <v>0</v>
      </c>
      <c r="B39" s="538"/>
      <c r="C39" s="538"/>
      <c r="H39" s="541" t="s">
        <v>356</v>
      </c>
      <c r="I39" s="541"/>
      <c r="J39" s="541"/>
      <c r="K39" s="541"/>
      <c r="L39" s="541"/>
    </row>
    <row r="40" spans="1:16" s="53" customFormat="1" ht="15.75" customHeight="1" x14ac:dyDescent="0.25">
      <c r="A40" s="554">
        <f>'DATA INPUT'!$C$3</f>
        <v>0</v>
      </c>
      <c r="B40" s="554"/>
      <c r="C40" s="554"/>
      <c r="H40" s="541">
        <f>A20</f>
        <v>0</v>
      </c>
      <c r="I40" s="541"/>
      <c r="J40" s="541"/>
      <c r="K40" s="541"/>
      <c r="L40" s="541"/>
    </row>
    <row r="41" spans="1:16" s="53" customFormat="1" ht="15.75" customHeight="1" x14ac:dyDescent="0.25">
      <c r="H41" s="541">
        <f>F20</f>
        <v>0</v>
      </c>
      <c r="I41" s="541"/>
      <c r="J41" s="541"/>
      <c r="K41" s="541"/>
      <c r="L41" s="541"/>
    </row>
    <row r="42" spans="1:16" s="53" customFormat="1" ht="30.75" customHeight="1" x14ac:dyDescent="0.25"/>
    <row r="43" spans="1:16" s="53" customFormat="1" ht="24" customHeight="1" x14ac:dyDescent="0.25">
      <c r="A43" s="508" t="s">
        <v>22</v>
      </c>
      <c r="B43" s="508"/>
      <c r="C43" s="508"/>
      <c r="D43" s="508"/>
      <c r="E43" s="508"/>
      <c r="F43" s="508"/>
      <c r="G43" s="508"/>
      <c r="H43" s="508"/>
      <c r="I43" s="508"/>
      <c r="J43" s="508"/>
      <c r="K43" s="508"/>
      <c r="L43" s="508"/>
      <c r="M43" s="508"/>
      <c r="N43" s="508"/>
    </row>
    <row r="44" spans="1:16" s="53" customFormat="1" ht="174" customHeight="1" x14ac:dyDescent="0.25"/>
    <row r="45" spans="1:16" s="53" customFormat="1" ht="32.25" customHeight="1" x14ac:dyDescent="0.25"/>
    <row r="46" spans="1:16" s="53" customFormat="1" ht="18.75" customHeight="1" x14ac:dyDescent="0.25">
      <c r="A46" s="549" t="s">
        <v>368</v>
      </c>
      <c r="B46" s="549"/>
      <c r="C46" s="549"/>
      <c r="D46" s="549"/>
      <c r="E46" s="549"/>
      <c r="F46" s="549"/>
      <c r="G46" s="549"/>
      <c r="H46" s="549"/>
      <c r="I46" s="549"/>
      <c r="J46" s="549"/>
      <c r="K46" s="549"/>
      <c r="L46" s="549"/>
      <c r="M46" s="549"/>
      <c r="N46" s="549"/>
    </row>
    <row r="47" spans="1:16" s="53" customFormat="1" ht="18.75" customHeight="1" x14ac:dyDescent="0.25">
      <c r="A47" s="550" t="str">
        <f>F3</f>
        <v/>
      </c>
      <c r="B47" s="550"/>
      <c r="C47" s="550"/>
      <c r="D47" s="550"/>
      <c r="E47" s="550"/>
      <c r="F47" s="550"/>
      <c r="G47" s="550"/>
      <c r="H47" s="550"/>
      <c r="I47" s="550"/>
      <c r="J47" s="550"/>
      <c r="K47" s="550"/>
      <c r="L47" s="514" t="s">
        <v>358</v>
      </c>
      <c r="M47" s="514"/>
      <c r="N47" s="514"/>
    </row>
    <row r="48" spans="1:16" s="53" customFormat="1" ht="18.75" customHeight="1" x14ac:dyDescent="0.25">
      <c r="A48" s="514" t="s">
        <v>357</v>
      </c>
      <c r="B48" s="514"/>
      <c r="C48" s="514"/>
      <c r="D48" s="514"/>
      <c r="E48" s="536">
        <f>'FORM 7'!$E$21</f>
        <v>0</v>
      </c>
      <c r="F48" s="536"/>
      <c r="G48" s="536"/>
      <c r="H48" s="536"/>
      <c r="I48" s="536"/>
      <c r="J48" s="536"/>
      <c r="K48" s="536"/>
      <c r="L48" s="536"/>
      <c r="M48" s="536"/>
      <c r="N48" s="536"/>
    </row>
    <row r="49" spans="1:18" s="53" customFormat="1" ht="63" customHeight="1" x14ac:dyDescent="0.25"/>
    <row r="50" spans="1:18" s="53" customFormat="1" ht="17.25" customHeight="1" x14ac:dyDescent="0.25">
      <c r="A50" s="514">
        <f>A39</f>
        <v>0</v>
      </c>
      <c r="B50" s="514"/>
      <c r="C50" s="514"/>
      <c r="G50" s="508" t="s">
        <v>359</v>
      </c>
      <c r="H50" s="508"/>
      <c r="I50" s="508"/>
      <c r="J50" s="508"/>
      <c r="K50" s="508"/>
      <c r="L50" s="508"/>
    </row>
    <row r="51" spans="1:18" s="53" customFormat="1" ht="17.25" customHeight="1" x14ac:dyDescent="0.25">
      <c r="A51" s="540">
        <f>A40</f>
        <v>0</v>
      </c>
      <c r="B51" s="540"/>
      <c r="C51" s="540"/>
      <c r="G51" s="541">
        <f>H40</f>
        <v>0</v>
      </c>
      <c r="H51" s="541"/>
      <c r="I51" s="541"/>
      <c r="J51" s="541"/>
      <c r="K51" s="541"/>
      <c r="L51" s="541"/>
    </row>
    <row r="52" spans="1:18" s="53" customFormat="1" ht="28.5" customHeight="1" x14ac:dyDescent="0.25"/>
    <row r="53" spans="1:18" s="53" customFormat="1" ht="21.75" customHeight="1" x14ac:dyDescent="0.25">
      <c r="A53" s="533" t="s">
        <v>144</v>
      </c>
      <c r="B53" s="533"/>
      <c r="C53" s="533"/>
      <c r="D53" s="533"/>
      <c r="E53" s="533"/>
      <c r="F53" s="533"/>
      <c r="G53" s="533"/>
      <c r="H53" s="533"/>
      <c r="I53" s="533"/>
      <c r="J53" s="533"/>
      <c r="K53" s="533"/>
      <c r="L53" s="533"/>
      <c r="M53" s="533"/>
      <c r="N53" s="533"/>
    </row>
    <row r="54" spans="1:18" s="53" customFormat="1" ht="24" customHeight="1" x14ac:dyDescent="0.25">
      <c r="P54" s="281"/>
    </row>
    <row r="55" spans="1:18" s="53" customFormat="1" ht="21.75" customHeight="1" x14ac:dyDescent="0.25">
      <c r="A55" s="508" t="s">
        <v>145</v>
      </c>
      <c r="B55" s="508"/>
      <c r="C55" s="508"/>
      <c r="D55" s="508"/>
      <c r="E55" s="508"/>
      <c r="F55" s="508"/>
      <c r="G55" s="508"/>
      <c r="H55" s="508"/>
      <c r="I55" s="508"/>
      <c r="J55" s="508"/>
      <c r="K55" s="508"/>
      <c r="L55" s="508"/>
      <c r="M55" s="508"/>
      <c r="N55" s="508"/>
    </row>
    <row r="56" spans="1:18" s="53" customFormat="1" x14ac:dyDescent="0.25"/>
    <row r="57" spans="1:18" s="53" customFormat="1" x14ac:dyDescent="0.25"/>
    <row r="58" spans="1:18" s="53" customFormat="1" ht="28.5" customHeight="1" x14ac:dyDescent="0.25">
      <c r="A58" s="548" t="s">
        <v>23</v>
      </c>
      <c r="B58" s="548"/>
      <c r="C58" s="548"/>
      <c r="D58" s="548"/>
      <c r="E58" s="548"/>
      <c r="F58" s="548"/>
      <c r="G58" s="548"/>
      <c r="H58" s="548"/>
      <c r="I58" s="548"/>
      <c r="J58" s="548"/>
      <c r="K58" s="548"/>
      <c r="L58" s="548"/>
      <c r="M58" s="548"/>
      <c r="N58" s="548"/>
      <c r="Q58" s="210"/>
      <c r="R58" s="210"/>
    </row>
    <row r="59" spans="1:18" s="53" customFormat="1" ht="20.25" customHeight="1" x14ac:dyDescent="0.25"/>
    <row r="60" spans="1:18" s="53" customFormat="1" ht="18" customHeight="1" x14ac:dyDescent="0.25">
      <c r="A60" s="514" t="s">
        <v>369</v>
      </c>
      <c r="B60" s="514"/>
      <c r="C60" s="514"/>
      <c r="D60" s="514"/>
      <c r="E60" s="514"/>
      <c r="F60" s="514"/>
      <c r="G60" s="514"/>
      <c r="H60" s="514"/>
      <c r="I60" s="514"/>
      <c r="J60" s="514"/>
      <c r="K60" s="514"/>
      <c r="L60" s="514"/>
      <c r="M60" s="514"/>
      <c r="N60" s="514"/>
    </row>
    <row r="61" spans="1:18" s="53" customFormat="1" ht="18" customHeight="1" x14ac:dyDescent="0.25">
      <c r="A61" s="514" t="s">
        <v>363</v>
      </c>
      <c r="B61" s="514"/>
      <c r="C61" s="536" t="str">
        <f>F3</f>
        <v/>
      </c>
      <c r="D61" s="536"/>
      <c r="E61" s="536"/>
      <c r="F61" s="536"/>
      <c r="G61" s="536"/>
      <c r="H61" s="536"/>
      <c r="I61" s="536"/>
      <c r="J61" s="536"/>
      <c r="K61" s="536"/>
      <c r="L61" s="536"/>
      <c r="M61" s="536"/>
      <c r="N61" s="536"/>
    </row>
    <row r="62" spans="1:18" s="53" customFormat="1" ht="18" customHeight="1" x14ac:dyDescent="0.25">
      <c r="A62" s="514" t="s">
        <v>360</v>
      </c>
      <c r="B62" s="514"/>
      <c r="C62" s="514"/>
      <c r="D62" s="539">
        <f>M4</f>
        <v>0</v>
      </c>
      <c r="E62" s="539"/>
      <c r="F62" s="508" t="s">
        <v>412</v>
      </c>
      <c r="G62" s="508"/>
      <c r="H62" s="514" t="str">
        <f t="shared" ref="H62" si="1">$A$21</f>
        <v>SUPERANNUATION</v>
      </c>
      <c r="I62" s="514"/>
      <c r="J62" s="514"/>
      <c r="K62" s="514"/>
      <c r="L62" s="514"/>
      <c r="M62" s="514"/>
      <c r="N62" s="514"/>
    </row>
    <row r="63" spans="1:18" s="53" customFormat="1" ht="27" customHeight="1" x14ac:dyDescent="0.25"/>
    <row r="64" spans="1:18" s="53" customFormat="1" ht="28.5" customHeight="1" x14ac:dyDescent="0.25"/>
    <row r="65" spans="1:18" s="53" customFormat="1" ht="15.75" customHeight="1" x14ac:dyDescent="0.25">
      <c r="G65" s="508" t="s">
        <v>25</v>
      </c>
      <c r="H65" s="508"/>
      <c r="I65" s="508"/>
      <c r="J65" s="508"/>
      <c r="K65" s="508"/>
    </row>
    <row r="66" spans="1:18" s="53" customFormat="1" ht="21.75" customHeight="1" x14ac:dyDescent="0.25">
      <c r="Q66" s="209"/>
      <c r="R66" s="209"/>
    </row>
    <row r="67" spans="1:18" s="53" customFormat="1" ht="21.75" customHeight="1" x14ac:dyDescent="0.25">
      <c r="A67" s="533" t="s">
        <v>144</v>
      </c>
      <c r="B67" s="533"/>
      <c r="C67" s="533"/>
      <c r="D67" s="533"/>
      <c r="E67" s="533"/>
      <c r="F67" s="533"/>
      <c r="G67" s="533"/>
      <c r="H67" s="533"/>
      <c r="I67" s="533"/>
      <c r="J67" s="533"/>
      <c r="K67" s="533"/>
      <c r="L67" s="533"/>
      <c r="M67" s="533"/>
      <c r="N67" s="533"/>
      <c r="P67" s="281"/>
    </row>
    <row r="68" spans="1:18" s="53" customFormat="1" ht="21.75" customHeight="1" x14ac:dyDescent="0.25">
      <c r="A68" s="204"/>
    </row>
    <row r="69" spans="1:18" s="53" customFormat="1" ht="21.75" customHeight="1" x14ac:dyDescent="0.25">
      <c r="A69" s="508" t="s">
        <v>145</v>
      </c>
      <c r="B69" s="508"/>
      <c r="C69" s="508"/>
      <c r="D69" s="508"/>
      <c r="E69" s="508"/>
      <c r="F69" s="508"/>
      <c r="G69" s="508"/>
      <c r="H69" s="508"/>
      <c r="I69" s="508"/>
      <c r="J69" s="508"/>
      <c r="K69" s="508"/>
      <c r="L69" s="508"/>
      <c r="M69" s="508"/>
      <c r="N69" s="508"/>
      <c r="P69" s="281"/>
    </row>
    <row r="70" spans="1:18" s="53" customFormat="1" ht="21.75" customHeight="1" x14ac:dyDescent="0.25">
      <c r="P70" s="281"/>
    </row>
    <row r="71" spans="1:18" s="53" customFormat="1" ht="30" customHeight="1" x14ac:dyDescent="0.25"/>
    <row r="72" spans="1:18" s="53" customFormat="1" ht="25.5" customHeight="1" x14ac:dyDescent="0.25">
      <c r="A72" s="534" t="s">
        <v>24</v>
      </c>
      <c r="B72" s="534"/>
      <c r="C72" s="534"/>
      <c r="D72" s="534"/>
      <c r="E72" s="534"/>
      <c r="F72" s="534"/>
      <c r="G72" s="534"/>
      <c r="H72" s="534"/>
      <c r="I72" s="534"/>
      <c r="J72" s="534"/>
      <c r="K72" s="534"/>
      <c r="L72" s="534"/>
      <c r="M72" s="534"/>
      <c r="N72" s="534"/>
      <c r="Q72" s="211"/>
      <c r="R72" s="211"/>
    </row>
    <row r="73" spans="1:18" s="53" customFormat="1" ht="14.25" customHeight="1" x14ac:dyDescent="0.25">
      <c r="P73" s="54"/>
    </row>
    <row r="74" spans="1:18" s="53" customFormat="1" ht="21" customHeight="1" x14ac:dyDescent="0.25">
      <c r="A74" s="538" t="s">
        <v>362</v>
      </c>
      <c r="B74" s="538"/>
      <c r="C74" s="538"/>
      <c r="D74" s="538"/>
      <c r="E74" s="538"/>
      <c r="F74" s="538"/>
      <c r="G74" s="535" t="str">
        <f>F3</f>
        <v/>
      </c>
      <c r="H74" s="535"/>
      <c r="I74" s="535"/>
      <c r="J74" s="535"/>
      <c r="K74" s="535"/>
      <c r="L74" s="535"/>
      <c r="M74" s="535"/>
      <c r="N74" s="535"/>
    </row>
    <row r="75" spans="1:18" s="53" customFormat="1" ht="21" customHeight="1" x14ac:dyDescent="0.25">
      <c r="A75" s="535">
        <f>H40</f>
        <v>0</v>
      </c>
      <c r="B75" s="535"/>
      <c r="C75" s="535"/>
      <c r="D75" s="535"/>
      <c r="E75" s="535"/>
      <c r="F75" s="536">
        <f>F20</f>
        <v>0</v>
      </c>
      <c r="G75" s="536"/>
      <c r="H75" s="536"/>
      <c r="I75" s="536"/>
      <c r="J75" s="536"/>
      <c r="K75" s="536"/>
      <c r="L75" s="514" t="s">
        <v>370</v>
      </c>
      <c r="M75" s="514"/>
      <c r="N75" s="514"/>
    </row>
    <row r="76" spans="1:18" s="53" customFormat="1" ht="21" customHeight="1" x14ac:dyDescent="0.25">
      <c r="A76" s="537" t="s">
        <v>371</v>
      </c>
      <c r="B76" s="537"/>
      <c r="C76" s="537"/>
      <c r="D76" s="547">
        <f>M4</f>
        <v>0</v>
      </c>
      <c r="E76" s="547"/>
      <c r="F76" s="508" t="s">
        <v>412</v>
      </c>
      <c r="G76" s="508"/>
      <c r="H76" s="533" t="str">
        <f t="shared" ref="H76" si="2">$H$62</f>
        <v>SUPERANNUATION</v>
      </c>
      <c r="I76" s="533"/>
      <c r="J76" s="533"/>
      <c r="K76" s="533"/>
      <c r="L76" s="533"/>
      <c r="M76" s="514" t="s">
        <v>415</v>
      </c>
      <c r="N76" s="514"/>
    </row>
    <row r="77" spans="1:18" s="53" customFormat="1" ht="14.25" customHeight="1" x14ac:dyDescent="0.25">
      <c r="P77" s="508"/>
      <c r="Q77" s="508"/>
      <c r="R77" s="508"/>
    </row>
    <row r="78" spans="1:18" s="53" customFormat="1" ht="14.25" customHeight="1" thickBot="1" x14ac:dyDescent="0.3">
      <c r="D78" s="514" t="s">
        <v>361</v>
      </c>
      <c r="E78" s="514"/>
      <c r="F78" s="514"/>
      <c r="G78" s="514"/>
      <c r="P78" s="278"/>
      <c r="Q78" s="278"/>
      <c r="R78" s="278"/>
    </row>
    <row r="79" spans="1:18" s="53" customFormat="1" ht="116.25" customHeight="1" thickBot="1" x14ac:dyDescent="0.3">
      <c r="D79" s="529" t="str">
        <f>GRATUITY!$E$5</f>
        <v>, , , , -</v>
      </c>
      <c r="E79" s="530"/>
      <c r="F79" s="530"/>
      <c r="G79" s="530"/>
      <c r="H79" s="530"/>
      <c r="I79" s="530"/>
      <c r="J79" s="531"/>
      <c r="P79" s="297"/>
    </row>
    <row r="80" spans="1:18" s="53" customFormat="1" ht="21" customHeight="1" thickBot="1" x14ac:dyDescent="0.3">
      <c r="P80" s="298"/>
      <c r="Q80" s="206"/>
    </row>
    <row r="81" spans="1:18" s="53" customFormat="1" ht="21" customHeight="1" x14ac:dyDescent="0.25">
      <c r="I81" s="514" t="s">
        <v>25</v>
      </c>
      <c r="J81" s="514"/>
      <c r="K81" s="514"/>
      <c r="L81" s="514"/>
    </row>
    <row r="82" spans="1:18" s="53" customFormat="1" x14ac:dyDescent="0.25"/>
    <row r="83" spans="1:18" s="53" customFormat="1" ht="12.75" customHeight="1" x14ac:dyDescent="0.25"/>
    <row r="84" spans="1:18" s="53" customFormat="1" ht="25.15" customHeight="1" x14ac:dyDescent="0.25">
      <c r="A84" s="511" t="s">
        <v>21</v>
      </c>
      <c r="B84" s="511"/>
      <c r="C84" s="511"/>
      <c r="D84" s="511"/>
      <c r="E84" s="511"/>
      <c r="F84" s="511"/>
      <c r="G84" s="511"/>
      <c r="H84" s="511"/>
      <c r="I84" s="511"/>
      <c r="J84" s="511"/>
      <c r="K84" s="511"/>
      <c r="L84" s="511"/>
      <c r="M84" s="511"/>
      <c r="N84" s="511"/>
      <c r="Q84" s="209"/>
      <c r="R84" s="209"/>
    </row>
    <row r="85" spans="1:18" s="53" customFormat="1" ht="38.25" customHeight="1" x14ac:dyDescent="0.25">
      <c r="P85" s="56"/>
    </row>
    <row r="86" spans="1:18" s="53" customFormat="1" ht="14.25" customHeight="1" x14ac:dyDescent="0.25">
      <c r="A86" s="511" t="s">
        <v>26</v>
      </c>
      <c r="B86" s="511"/>
      <c r="C86" s="511"/>
      <c r="D86" s="511"/>
      <c r="E86" s="511"/>
      <c r="F86" s="511"/>
      <c r="G86" s="511"/>
      <c r="H86" s="511"/>
      <c r="I86" s="511"/>
      <c r="J86" s="511"/>
      <c r="K86" s="511"/>
      <c r="L86" s="511"/>
      <c r="M86" s="511"/>
      <c r="N86" s="511"/>
      <c r="Q86" s="209"/>
      <c r="R86" s="209"/>
    </row>
    <row r="87" spans="1:18" s="53" customFormat="1" ht="18" customHeight="1" x14ac:dyDescent="0.25"/>
    <row r="88" spans="1:18" s="53" customFormat="1" ht="9" customHeight="1" x14ac:dyDescent="0.25"/>
    <row r="89" spans="1:18" s="53" customFormat="1" ht="16.5" customHeight="1" x14ac:dyDescent="0.25">
      <c r="A89" s="532" t="s">
        <v>250</v>
      </c>
      <c r="B89" s="532"/>
      <c r="C89" s="532"/>
      <c r="D89" s="532"/>
      <c r="E89" s="532"/>
      <c r="F89" s="532"/>
      <c r="G89" s="532"/>
      <c r="H89" s="532"/>
      <c r="I89" s="532"/>
      <c r="J89" s="532"/>
      <c r="K89" s="532"/>
      <c r="L89" s="532"/>
      <c r="M89" s="532"/>
      <c r="N89" s="532"/>
    </row>
    <row r="90" spans="1:18" s="53" customFormat="1" ht="18" customHeight="1" x14ac:dyDescent="0.25"/>
    <row r="91" spans="1:18" s="53" customFormat="1" ht="24.75" customHeight="1" x14ac:dyDescent="0.25">
      <c r="A91" s="524" t="s">
        <v>374</v>
      </c>
      <c r="B91" s="524"/>
      <c r="C91" s="524"/>
      <c r="D91" s="522" t="str">
        <f>F3</f>
        <v/>
      </c>
      <c r="E91" s="522"/>
      <c r="F91" s="522"/>
      <c r="G91" s="522"/>
      <c r="H91" s="522"/>
      <c r="I91" s="522"/>
      <c r="J91" s="522"/>
      <c r="K91" s="522"/>
      <c r="L91" s="522"/>
      <c r="M91" s="522"/>
      <c r="N91" s="522"/>
    </row>
    <row r="92" spans="1:18" s="53" customFormat="1" ht="24.75" customHeight="1" x14ac:dyDescent="0.25">
      <c r="A92" s="524" t="s">
        <v>375</v>
      </c>
      <c r="B92" s="524"/>
      <c r="C92" s="524"/>
      <c r="D92" s="522">
        <f>A20</f>
        <v>0</v>
      </c>
      <c r="E92" s="522"/>
      <c r="F92" s="522"/>
      <c r="G92" s="522"/>
      <c r="H92" s="522"/>
      <c r="I92" s="522"/>
      <c r="J92" s="522"/>
      <c r="K92" s="522"/>
      <c r="L92" s="522"/>
      <c r="M92" s="522"/>
      <c r="N92" s="522"/>
    </row>
    <row r="93" spans="1:18" s="53" customFormat="1" ht="24.75" customHeight="1" x14ac:dyDescent="0.25">
      <c r="A93" s="525" t="s">
        <v>376</v>
      </c>
      <c r="B93" s="525"/>
      <c r="C93" s="525"/>
      <c r="D93" s="523">
        <f>F20</f>
        <v>0</v>
      </c>
      <c r="E93" s="523"/>
      <c r="F93" s="523"/>
      <c r="G93" s="523"/>
      <c r="H93" s="523"/>
      <c r="I93" s="523"/>
      <c r="J93" s="523"/>
      <c r="K93" s="523"/>
      <c r="L93" s="523"/>
      <c r="M93" s="523"/>
      <c r="N93" s="523"/>
    </row>
    <row r="94" spans="1:18" s="53" customFormat="1" ht="24.75" customHeight="1" x14ac:dyDescent="0.25">
      <c r="A94" s="525" t="s">
        <v>377</v>
      </c>
      <c r="B94" s="525"/>
      <c r="C94" s="525"/>
      <c r="D94" s="523">
        <f>GRATUITY!$E$32</f>
        <v>0</v>
      </c>
      <c r="E94" s="523"/>
      <c r="F94" s="523"/>
      <c r="G94" s="523"/>
      <c r="H94" s="523"/>
      <c r="I94" s="523"/>
      <c r="J94" s="523"/>
      <c r="K94" s="523"/>
      <c r="L94" s="523"/>
      <c r="M94" s="523"/>
      <c r="N94" s="523"/>
    </row>
    <row r="95" spans="1:18" s="53" customFormat="1" ht="20.25" customHeight="1" x14ac:dyDescent="0.25">
      <c r="A95" s="203"/>
      <c r="B95" s="203"/>
      <c r="C95" s="203"/>
      <c r="D95" s="203"/>
      <c r="E95" s="204"/>
    </row>
    <row r="96" spans="1:18" s="53" customFormat="1" ht="33.75" customHeight="1" x14ac:dyDescent="0.25">
      <c r="A96" s="509" t="s">
        <v>372</v>
      </c>
      <c r="B96" s="509"/>
      <c r="C96" s="509"/>
      <c r="D96" s="299">
        <v>1</v>
      </c>
      <c r="E96" s="526">
        <f>GRATUITY!$E$33</f>
        <v>0</v>
      </c>
      <c r="F96" s="527"/>
      <c r="G96" s="527"/>
      <c r="H96" s="527"/>
      <c r="I96" s="527"/>
      <c r="J96" s="527"/>
      <c r="K96" s="527"/>
      <c r="L96" s="527"/>
      <c r="M96" s="528"/>
    </row>
    <row r="97" spans="1:16" s="53" customFormat="1" ht="33.75" customHeight="1" x14ac:dyDescent="0.25">
      <c r="A97" s="204"/>
      <c r="B97" s="204"/>
      <c r="C97" s="204"/>
      <c r="D97" s="299">
        <v>2</v>
      </c>
      <c r="E97" s="518"/>
      <c r="F97" s="519"/>
      <c r="G97" s="519"/>
      <c r="H97" s="519"/>
      <c r="I97" s="519"/>
      <c r="J97" s="519"/>
      <c r="K97" s="519"/>
      <c r="L97" s="519"/>
      <c r="M97" s="520"/>
    </row>
    <row r="98" spans="1:16" s="53" customFormat="1" ht="33.75" customHeight="1" x14ac:dyDescent="0.25">
      <c r="A98" s="204"/>
      <c r="B98" s="204"/>
      <c r="C98" s="204"/>
      <c r="D98" s="299">
        <v>3</v>
      </c>
      <c r="E98" s="518"/>
      <c r="F98" s="519"/>
      <c r="G98" s="519"/>
      <c r="H98" s="519"/>
      <c r="I98" s="519"/>
      <c r="J98" s="519"/>
      <c r="K98" s="519"/>
      <c r="L98" s="519"/>
      <c r="M98" s="520"/>
    </row>
    <row r="99" spans="1:16" s="53" customFormat="1" ht="20.25" customHeight="1" x14ac:dyDescent="0.25"/>
    <row r="100" spans="1:16" s="53" customFormat="1" ht="38.25" customHeight="1" x14ac:dyDescent="0.25"/>
    <row r="101" spans="1:16" s="53" customFormat="1" ht="17.25" customHeight="1" x14ac:dyDescent="0.25">
      <c r="A101" s="508">
        <f>A50</f>
        <v>0</v>
      </c>
      <c r="B101" s="508"/>
      <c r="G101" s="509" t="s">
        <v>373</v>
      </c>
      <c r="H101" s="509"/>
      <c r="I101" s="509"/>
      <c r="J101" s="509"/>
      <c r="K101" s="509"/>
    </row>
    <row r="102" spans="1:16" ht="17.25" customHeight="1" x14ac:dyDescent="0.2">
      <c r="A102" s="510">
        <f>A40</f>
        <v>0</v>
      </c>
      <c r="B102" s="510"/>
      <c r="C102" s="510"/>
    </row>
    <row r="103" spans="1:16" ht="9" customHeight="1" x14ac:dyDescent="0.2"/>
    <row r="104" spans="1:16" s="53" customFormat="1" ht="25.15" customHeight="1" x14ac:dyDescent="0.25">
      <c r="A104" s="511" t="s">
        <v>21</v>
      </c>
      <c r="B104" s="511"/>
      <c r="C104" s="511"/>
      <c r="D104" s="511"/>
      <c r="E104" s="511"/>
      <c r="F104" s="511"/>
      <c r="G104" s="511"/>
      <c r="H104" s="511"/>
      <c r="I104" s="511"/>
      <c r="J104" s="511"/>
      <c r="K104" s="511"/>
      <c r="L104" s="511"/>
      <c r="M104" s="511"/>
      <c r="N104" s="511"/>
    </row>
    <row r="105" spans="1:16" s="53" customFormat="1" ht="26.25" customHeight="1" x14ac:dyDescent="0.25">
      <c r="P105" s="56"/>
    </row>
    <row r="106" spans="1:16" s="53" customFormat="1" ht="25.5" customHeight="1" x14ac:dyDescent="0.25">
      <c r="A106" s="511" t="s">
        <v>26</v>
      </c>
      <c r="B106" s="511"/>
      <c r="C106" s="511"/>
      <c r="D106" s="511"/>
      <c r="E106" s="511"/>
      <c r="F106" s="511"/>
      <c r="G106" s="511"/>
      <c r="H106" s="511"/>
      <c r="I106" s="511"/>
      <c r="J106" s="511"/>
      <c r="K106" s="511"/>
      <c r="L106" s="511"/>
      <c r="M106" s="511"/>
      <c r="N106" s="511"/>
    </row>
    <row r="108" spans="1:16" ht="27.75" customHeight="1" x14ac:dyDescent="0.2"/>
    <row r="110" spans="1:16" ht="35.25" customHeight="1" x14ac:dyDescent="0.2">
      <c r="A110" s="515" t="s">
        <v>251</v>
      </c>
      <c r="B110" s="515"/>
      <c r="C110" s="515"/>
      <c r="D110" s="515"/>
      <c r="E110" s="515"/>
      <c r="F110" s="515"/>
      <c r="G110" s="515"/>
      <c r="H110" s="515"/>
      <c r="I110" s="515"/>
      <c r="J110" s="515"/>
      <c r="K110" s="515"/>
      <c r="L110" s="515"/>
      <c r="M110" s="515"/>
      <c r="N110" s="515"/>
    </row>
    <row r="111" spans="1:16" ht="15" customHeight="1" x14ac:dyDescent="0.2"/>
    <row r="112" spans="1:16" ht="21" customHeight="1" x14ac:dyDescent="0.2">
      <c r="A112" s="205"/>
      <c r="B112" s="207" t="s">
        <v>355</v>
      </c>
      <c r="C112" s="517" t="str">
        <f>D91</f>
        <v/>
      </c>
      <c r="D112" s="517"/>
      <c r="E112" s="517"/>
      <c r="F112" s="517"/>
      <c r="G112" s="517"/>
      <c r="H112" s="517"/>
      <c r="I112" s="517"/>
      <c r="J112" s="517"/>
      <c r="K112" s="517"/>
      <c r="L112" s="517"/>
      <c r="M112" s="517"/>
      <c r="N112" s="517"/>
    </row>
    <row r="113" spans="1:16" ht="15.75" customHeight="1" x14ac:dyDescent="0.2">
      <c r="A113" s="512">
        <f>SERVICE!$C$3</f>
        <v>0</v>
      </c>
      <c r="B113" s="512"/>
      <c r="C113" s="512"/>
      <c r="D113" s="512"/>
      <c r="E113" s="512"/>
      <c r="F113" s="512">
        <f>'DATA INPUT'!$C$13</f>
        <v>0</v>
      </c>
      <c r="G113" s="512"/>
      <c r="H113" s="512"/>
      <c r="I113" s="512"/>
      <c r="J113" s="512"/>
      <c r="K113" s="513" t="s">
        <v>378</v>
      </c>
      <c r="L113" s="513"/>
      <c r="M113" s="513"/>
      <c r="N113" s="513"/>
    </row>
    <row r="114" spans="1:16" ht="33.75" customHeight="1" x14ac:dyDescent="0.2">
      <c r="A114" s="514" t="s">
        <v>379</v>
      </c>
      <c r="B114" s="514"/>
      <c r="C114" s="514"/>
      <c r="D114" s="514"/>
      <c r="E114" s="514"/>
      <c r="F114" s="514"/>
      <c r="G114" s="514"/>
      <c r="H114" s="514"/>
      <c r="I114" s="514"/>
      <c r="J114" s="514"/>
      <c r="K114" s="514"/>
      <c r="L114" s="514"/>
      <c r="M114" s="514"/>
      <c r="N114" s="514"/>
    </row>
    <row r="115" spans="1:16" ht="33.75" customHeight="1" x14ac:dyDescent="0.2">
      <c r="A115" s="280"/>
      <c r="B115" s="280"/>
      <c r="C115" s="280"/>
      <c r="D115" s="280"/>
      <c r="E115" s="280"/>
      <c r="F115" s="280"/>
      <c r="G115" s="280"/>
      <c r="H115" s="280"/>
      <c r="I115" s="280"/>
      <c r="J115" s="280"/>
      <c r="K115" s="280"/>
      <c r="L115" s="280"/>
      <c r="M115" s="280"/>
      <c r="N115" s="280"/>
    </row>
    <row r="117" spans="1:16" s="53" customFormat="1" ht="17.25" customHeight="1" x14ac:dyDescent="0.25">
      <c r="A117" s="508">
        <f>A101</f>
        <v>0</v>
      </c>
      <c r="B117" s="508"/>
      <c r="G117" s="509" t="s">
        <v>373</v>
      </c>
      <c r="H117" s="509"/>
      <c r="I117" s="509"/>
      <c r="J117" s="509"/>
      <c r="K117" s="509"/>
    </row>
    <row r="118" spans="1:16" ht="17.25" customHeight="1" x14ac:dyDescent="0.2">
      <c r="A118" s="510">
        <f>A102</f>
        <v>0</v>
      </c>
      <c r="B118" s="510"/>
      <c r="C118" s="510"/>
    </row>
    <row r="119" spans="1:16" ht="7.5" customHeight="1" x14ac:dyDescent="0.2"/>
    <row r="120" spans="1:16" s="53" customFormat="1" ht="25.15" customHeight="1" x14ac:dyDescent="0.25">
      <c r="A120" s="511" t="s">
        <v>21</v>
      </c>
      <c r="B120" s="511"/>
      <c r="C120" s="511"/>
      <c r="D120" s="511"/>
      <c r="E120" s="511"/>
      <c r="F120" s="511"/>
      <c r="G120" s="511"/>
      <c r="H120" s="511"/>
      <c r="I120" s="511"/>
      <c r="J120" s="511"/>
      <c r="K120" s="511"/>
      <c r="L120" s="511"/>
      <c r="M120" s="511"/>
      <c r="N120" s="511"/>
    </row>
    <row r="121" spans="1:16" s="53" customFormat="1" ht="26.25" customHeight="1" x14ac:dyDescent="0.25">
      <c r="P121" s="56"/>
    </row>
    <row r="122" spans="1:16" s="53" customFormat="1" ht="25.5" customHeight="1" x14ac:dyDescent="0.25">
      <c r="A122" s="511" t="s">
        <v>26</v>
      </c>
      <c r="B122" s="511"/>
      <c r="C122" s="511"/>
      <c r="D122" s="511"/>
      <c r="E122" s="511"/>
      <c r="F122" s="511"/>
      <c r="G122" s="511"/>
      <c r="H122" s="511"/>
      <c r="I122" s="511"/>
      <c r="J122" s="511"/>
      <c r="K122" s="511"/>
      <c r="L122" s="511"/>
      <c r="M122" s="511"/>
      <c r="N122" s="511"/>
    </row>
    <row r="124" spans="1:16" s="53" customFormat="1" ht="25.15" customHeight="1" x14ac:dyDescent="0.25">
      <c r="A124" s="521" t="s">
        <v>252</v>
      </c>
      <c r="B124" s="521"/>
      <c r="C124" s="521"/>
      <c r="D124" s="521"/>
      <c r="E124" s="521"/>
      <c r="F124" s="521"/>
      <c r="G124" s="521"/>
      <c r="H124" s="521"/>
      <c r="I124" s="521"/>
      <c r="J124" s="521"/>
      <c r="K124" s="521"/>
      <c r="L124" s="521"/>
      <c r="M124" s="521"/>
      <c r="N124" s="521"/>
      <c r="P124" s="279"/>
    </row>
    <row r="125" spans="1:16" s="53" customFormat="1" ht="21.75" customHeight="1" x14ac:dyDescent="0.25">
      <c r="P125" s="56"/>
    </row>
    <row r="126" spans="1:16" s="53" customFormat="1" ht="18" customHeight="1" x14ac:dyDescent="0.25">
      <c r="A126" s="208"/>
      <c r="B126" s="207" t="s">
        <v>355</v>
      </c>
      <c r="C126" s="517" t="str">
        <f>C112</f>
        <v/>
      </c>
      <c r="D126" s="517"/>
      <c r="E126" s="517"/>
      <c r="F126" s="517"/>
      <c r="G126" s="517"/>
      <c r="H126" s="517"/>
      <c r="I126" s="517"/>
      <c r="J126" s="517"/>
      <c r="K126" s="517"/>
      <c r="L126" s="517"/>
      <c r="M126" s="517"/>
      <c r="N126" s="517"/>
      <c r="P126" s="279"/>
    </row>
    <row r="127" spans="1:16" s="202" customFormat="1" ht="18" customHeight="1" x14ac:dyDescent="0.25">
      <c r="A127" s="512">
        <f>A113</f>
        <v>0</v>
      </c>
      <c r="B127" s="512"/>
      <c r="C127" s="512"/>
      <c r="D127" s="512"/>
      <c r="E127" s="512"/>
      <c r="F127" s="512">
        <f>F113</f>
        <v>0</v>
      </c>
      <c r="G127" s="512"/>
      <c r="H127" s="512"/>
      <c r="I127" s="512"/>
      <c r="J127" s="512"/>
      <c r="K127" s="513" t="s">
        <v>380</v>
      </c>
      <c r="L127" s="513"/>
      <c r="M127" s="513"/>
      <c r="N127" s="513"/>
    </row>
    <row r="128" spans="1:16" s="202" customFormat="1" ht="18" customHeight="1" x14ac:dyDescent="0.25">
      <c r="A128" s="513" t="s">
        <v>381</v>
      </c>
      <c r="B128" s="513"/>
      <c r="C128" s="513"/>
      <c r="D128" s="513"/>
      <c r="E128" s="513"/>
      <c r="F128" s="513"/>
      <c r="G128" s="513"/>
      <c r="H128" s="513"/>
      <c r="I128" s="513"/>
      <c r="J128" s="513"/>
      <c r="K128" s="513"/>
      <c r="L128" s="513"/>
      <c r="M128" s="513"/>
      <c r="N128" s="513"/>
    </row>
    <row r="129" spans="1:16" s="202" customFormat="1" ht="18" customHeight="1" x14ac:dyDescent="0.25">
      <c r="A129" s="513" t="s">
        <v>382</v>
      </c>
      <c r="B129" s="513"/>
      <c r="C129" s="513"/>
      <c r="D129" s="513"/>
      <c r="E129" s="513"/>
      <c r="F129" s="513"/>
      <c r="G129" s="513"/>
      <c r="H129" s="513"/>
      <c r="I129" s="513"/>
      <c r="J129" s="513"/>
      <c r="K129" s="513"/>
      <c r="L129" s="513"/>
      <c r="M129" s="513"/>
      <c r="N129" s="513"/>
    </row>
    <row r="130" spans="1:16" s="202" customFormat="1" ht="18" customHeight="1" x14ac:dyDescent="0.25">
      <c r="A130" s="514" t="s">
        <v>383</v>
      </c>
      <c r="B130" s="514"/>
      <c r="C130" s="514"/>
      <c r="D130" s="514"/>
      <c r="E130" s="514"/>
      <c r="F130" s="514"/>
      <c r="G130" s="514"/>
      <c r="H130" s="514"/>
      <c r="I130" s="514"/>
      <c r="J130" s="514"/>
      <c r="K130" s="514"/>
      <c r="L130" s="514"/>
      <c r="M130" s="514"/>
      <c r="N130" s="514"/>
    </row>
    <row r="131" spans="1:16" s="202" customFormat="1" ht="18" customHeight="1" x14ac:dyDescent="0.25">
      <c r="A131" s="208" t="s">
        <v>384</v>
      </c>
      <c r="B131" s="208"/>
      <c r="C131" s="208"/>
      <c r="D131" s="208"/>
      <c r="E131" s="208"/>
      <c r="F131" s="208"/>
      <c r="G131" s="208"/>
      <c r="H131" s="208"/>
      <c r="I131" s="208"/>
      <c r="J131" s="208"/>
      <c r="K131" s="208"/>
      <c r="L131" s="208"/>
      <c r="M131" s="208"/>
      <c r="N131" s="208"/>
    </row>
    <row r="132" spans="1:16" ht="28.5" customHeight="1" x14ac:dyDescent="0.2"/>
    <row r="133" spans="1:16" ht="21.75" customHeight="1" x14ac:dyDescent="0.2"/>
    <row r="134" spans="1:16" s="53" customFormat="1" ht="17.25" customHeight="1" x14ac:dyDescent="0.25">
      <c r="A134" s="508">
        <f>A117</f>
        <v>0</v>
      </c>
      <c r="B134" s="508"/>
      <c r="G134" s="509" t="s">
        <v>373</v>
      </c>
      <c r="H134" s="509"/>
      <c r="I134" s="509"/>
      <c r="J134" s="509"/>
      <c r="K134" s="509"/>
    </row>
    <row r="135" spans="1:16" ht="17.25" customHeight="1" x14ac:dyDescent="0.2">
      <c r="A135" s="510">
        <f>A118</f>
        <v>0</v>
      </c>
      <c r="B135" s="510"/>
      <c r="C135" s="510"/>
    </row>
    <row r="136" spans="1:16" ht="13.5" customHeight="1" x14ac:dyDescent="0.2"/>
    <row r="137" spans="1:16" s="53" customFormat="1" ht="25.15" customHeight="1" x14ac:dyDescent="0.25">
      <c r="A137" s="511" t="s">
        <v>21</v>
      </c>
      <c r="B137" s="511"/>
      <c r="C137" s="511"/>
      <c r="D137" s="511"/>
      <c r="E137" s="511"/>
      <c r="F137" s="511"/>
      <c r="G137" s="511"/>
      <c r="H137" s="511"/>
      <c r="I137" s="511"/>
      <c r="J137" s="511"/>
      <c r="K137" s="511"/>
      <c r="L137" s="511"/>
      <c r="M137" s="511"/>
      <c r="N137" s="511"/>
    </row>
    <row r="138" spans="1:16" s="53" customFormat="1" ht="26.25" customHeight="1" x14ac:dyDescent="0.25">
      <c r="P138" s="56"/>
    </row>
    <row r="139" spans="1:16" s="53" customFormat="1" ht="25.5" customHeight="1" x14ac:dyDescent="0.25">
      <c r="A139" s="511" t="s">
        <v>26</v>
      </c>
      <c r="B139" s="511"/>
      <c r="C139" s="511"/>
      <c r="D139" s="511"/>
      <c r="E139" s="511"/>
      <c r="F139" s="511"/>
      <c r="G139" s="511"/>
      <c r="H139" s="511"/>
      <c r="I139" s="511"/>
      <c r="J139" s="511"/>
      <c r="K139" s="511"/>
      <c r="L139" s="511"/>
      <c r="M139" s="511"/>
      <c r="N139" s="511"/>
    </row>
    <row r="140" spans="1:16" s="53" customFormat="1" ht="34.5" customHeight="1" x14ac:dyDescent="0.25"/>
    <row r="141" spans="1:16" ht="24" customHeight="1" x14ac:dyDescent="0.2"/>
    <row r="142" spans="1:16" ht="27" customHeight="1" x14ac:dyDescent="0.2"/>
    <row r="143" spans="1:16" ht="42.75" customHeight="1" x14ac:dyDescent="0.2">
      <c r="A143" s="515" t="s">
        <v>253</v>
      </c>
      <c r="B143" s="515"/>
      <c r="C143" s="515"/>
      <c r="D143" s="515"/>
      <c r="E143" s="515"/>
      <c r="F143" s="515"/>
      <c r="G143" s="515"/>
      <c r="H143" s="515"/>
      <c r="I143" s="515"/>
      <c r="J143" s="515"/>
      <c r="K143" s="515"/>
      <c r="L143" s="515"/>
      <c r="M143" s="515"/>
      <c r="N143" s="515"/>
    </row>
    <row r="144" spans="1:16" ht="10.5" customHeight="1" x14ac:dyDescent="0.2"/>
    <row r="145" spans="1:17" ht="19.5" customHeight="1" x14ac:dyDescent="0.2">
      <c r="A145" s="208"/>
      <c r="B145" s="207" t="s">
        <v>355</v>
      </c>
      <c r="C145" s="517" t="str">
        <f>C126</f>
        <v/>
      </c>
      <c r="D145" s="517"/>
      <c r="E145" s="517"/>
      <c r="F145" s="517"/>
      <c r="G145" s="517"/>
      <c r="H145" s="517"/>
      <c r="I145" s="517"/>
      <c r="J145" s="517"/>
      <c r="K145" s="517"/>
      <c r="L145" s="517"/>
      <c r="M145" s="517"/>
      <c r="N145" s="517"/>
      <c r="P145" s="516"/>
      <c r="Q145" s="516"/>
    </row>
    <row r="146" spans="1:17" ht="19.5" customHeight="1" x14ac:dyDescent="0.2">
      <c r="A146" s="512">
        <f>A127</f>
        <v>0</v>
      </c>
      <c r="B146" s="512"/>
      <c r="C146" s="512"/>
      <c r="D146" s="512"/>
      <c r="E146" s="512"/>
      <c r="F146" s="512">
        <f>F127</f>
        <v>0</v>
      </c>
      <c r="G146" s="512"/>
      <c r="H146" s="512"/>
      <c r="I146" s="512"/>
      <c r="J146" s="512"/>
      <c r="K146" s="513" t="s">
        <v>380</v>
      </c>
      <c r="L146" s="513"/>
      <c r="M146" s="513"/>
      <c r="N146" s="513"/>
    </row>
    <row r="147" spans="1:17" ht="19.5" customHeight="1" x14ac:dyDescent="0.2">
      <c r="A147" s="513" t="s">
        <v>385</v>
      </c>
      <c r="B147" s="513"/>
      <c r="C147" s="513"/>
      <c r="D147" s="513"/>
      <c r="E147" s="513"/>
      <c r="F147" s="513"/>
      <c r="G147" s="513"/>
      <c r="H147" s="513"/>
      <c r="I147" s="513"/>
      <c r="J147" s="513"/>
      <c r="K147" s="513"/>
      <c r="L147" s="513"/>
      <c r="M147" s="513"/>
      <c r="N147" s="513"/>
    </row>
    <row r="148" spans="1:17" ht="19.5" customHeight="1" x14ac:dyDescent="0.2">
      <c r="A148" s="513" t="s">
        <v>386</v>
      </c>
      <c r="B148" s="513"/>
      <c r="C148" s="513"/>
      <c r="D148" s="513"/>
      <c r="E148" s="513"/>
      <c r="F148" s="513"/>
      <c r="G148" s="513"/>
      <c r="H148" s="513"/>
      <c r="I148" s="513"/>
      <c r="J148" s="513"/>
      <c r="K148" s="513"/>
      <c r="L148" s="513"/>
      <c r="M148" s="513"/>
      <c r="N148" s="513"/>
    </row>
    <row r="149" spans="1:17" s="53" customFormat="1" ht="12.75" customHeight="1" x14ac:dyDescent="0.25">
      <c r="A149" s="514"/>
      <c r="B149" s="514"/>
      <c r="C149" s="514"/>
      <c r="D149" s="514"/>
      <c r="E149" s="514"/>
      <c r="F149" s="514"/>
      <c r="G149" s="514"/>
      <c r="H149" s="514"/>
      <c r="I149" s="514"/>
      <c r="J149" s="514"/>
      <c r="K149" s="514"/>
      <c r="L149" s="514"/>
      <c r="M149" s="514"/>
      <c r="N149" s="514"/>
    </row>
    <row r="150" spans="1:17" ht="12.75" customHeight="1" x14ac:dyDescent="0.2">
      <c r="A150" s="208"/>
      <c r="B150" s="208"/>
      <c r="C150" s="208"/>
      <c r="D150" s="208"/>
      <c r="E150" s="208"/>
      <c r="F150" s="208"/>
      <c r="G150" s="208"/>
      <c r="H150" s="208"/>
      <c r="I150" s="208"/>
      <c r="J150" s="208"/>
      <c r="K150" s="208"/>
      <c r="L150" s="208"/>
      <c r="M150" s="208"/>
      <c r="N150" s="208"/>
    </row>
    <row r="151" spans="1:17" ht="12.75" customHeight="1" x14ac:dyDescent="0.2"/>
    <row r="152" spans="1:17" s="53" customFormat="1" ht="16.5" customHeight="1" x14ac:dyDescent="0.2">
      <c r="A152" s="51"/>
      <c r="B152" s="51"/>
      <c r="C152" s="51"/>
      <c r="D152" s="51"/>
      <c r="E152" s="51"/>
      <c r="F152" s="51"/>
      <c r="G152" s="51"/>
      <c r="H152" s="51"/>
      <c r="I152" s="51"/>
      <c r="J152" s="51"/>
      <c r="K152" s="51"/>
      <c r="L152" s="51"/>
      <c r="M152" s="51"/>
      <c r="N152" s="51"/>
      <c r="P152" s="279"/>
    </row>
    <row r="153" spans="1:17" s="53" customFormat="1" ht="18" customHeight="1" x14ac:dyDescent="0.25">
      <c r="A153" s="508">
        <f>A134</f>
        <v>0</v>
      </c>
      <c r="B153" s="508"/>
      <c r="G153" s="509" t="s">
        <v>373</v>
      </c>
      <c r="H153" s="509"/>
      <c r="I153" s="509"/>
      <c r="J153" s="509"/>
      <c r="K153" s="509"/>
      <c r="P153" s="56"/>
    </row>
    <row r="154" spans="1:17" s="53" customFormat="1" ht="18" customHeight="1" x14ac:dyDescent="0.2">
      <c r="A154" s="510">
        <f>A135</f>
        <v>0</v>
      </c>
      <c r="B154" s="510"/>
      <c r="C154" s="510"/>
      <c r="D154" s="51"/>
      <c r="E154" s="51"/>
      <c r="F154" s="51"/>
      <c r="G154" s="51"/>
      <c r="H154" s="51"/>
      <c r="I154" s="51"/>
      <c r="J154" s="51"/>
      <c r="K154" s="51"/>
      <c r="L154" s="51"/>
      <c r="M154" s="51"/>
      <c r="N154" s="51"/>
      <c r="P154" s="279"/>
    </row>
    <row r="155" spans="1:17" ht="16.5" customHeight="1" x14ac:dyDescent="0.2"/>
    <row r="156" spans="1:17" ht="15" x14ac:dyDescent="0.2">
      <c r="A156" s="511" t="s">
        <v>21</v>
      </c>
      <c r="B156" s="511"/>
      <c r="C156" s="511"/>
      <c r="D156" s="511"/>
      <c r="E156" s="511"/>
      <c r="F156" s="511"/>
      <c r="G156" s="511"/>
      <c r="H156" s="511"/>
      <c r="I156" s="511"/>
      <c r="J156" s="511"/>
      <c r="K156" s="511"/>
      <c r="L156" s="511"/>
      <c r="M156" s="511"/>
      <c r="N156" s="511"/>
    </row>
    <row r="157" spans="1:17" ht="32.25" customHeight="1" x14ac:dyDescent="0.2">
      <c r="A157" s="53"/>
      <c r="B157" s="53"/>
      <c r="C157" s="53"/>
      <c r="D157" s="53"/>
      <c r="E157" s="53"/>
      <c r="F157" s="53"/>
      <c r="G157" s="53"/>
      <c r="H157" s="53"/>
      <c r="I157" s="53"/>
      <c r="J157" s="53"/>
      <c r="K157" s="53"/>
      <c r="L157" s="53"/>
      <c r="M157" s="53"/>
      <c r="N157" s="53"/>
    </row>
    <row r="158" spans="1:17" ht="15" x14ac:dyDescent="0.2">
      <c r="A158" s="511" t="s">
        <v>26</v>
      </c>
      <c r="B158" s="511"/>
      <c r="C158" s="511"/>
      <c r="D158" s="511"/>
      <c r="E158" s="511"/>
      <c r="F158" s="511"/>
      <c r="G158" s="511"/>
      <c r="H158" s="511"/>
      <c r="I158" s="511"/>
      <c r="J158" s="511"/>
      <c r="K158" s="511"/>
      <c r="L158" s="511"/>
      <c r="M158" s="511"/>
      <c r="N158" s="511"/>
    </row>
  </sheetData>
  <sheetProtection password="C345" sheet="1" objects="1" scenarios="1" selectLockedCells="1"/>
  <mergeCells count="132">
    <mergeCell ref="A21:E21"/>
    <mergeCell ref="G19:N19"/>
    <mergeCell ref="B19:F19"/>
    <mergeCell ref="F21:K21"/>
    <mergeCell ref="L21:M21"/>
    <mergeCell ref="F62:G62"/>
    <mergeCell ref="H62:N62"/>
    <mergeCell ref="C23:M23"/>
    <mergeCell ref="C24:M24"/>
    <mergeCell ref="C25:M25"/>
    <mergeCell ref="A32:N32"/>
    <mergeCell ref="C34:N34"/>
    <mergeCell ref="A35:E35"/>
    <mergeCell ref="F35:K35"/>
    <mergeCell ref="A36:N36"/>
    <mergeCell ref="L35:N35"/>
    <mergeCell ref="H27:L27"/>
    <mergeCell ref="E28:J28"/>
    <mergeCell ref="E30:J30"/>
    <mergeCell ref="A39:C39"/>
    <mergeCell ref="A40:C40"/>
    <mergeCell ref="H39:L39"/>
    <mergeCell ref="H40:L40"/>
    <mergeCell ref="H41:L41"/>
    <mergeCell ref="P77:R77"/>
    <mergeCell ref="L75:N75"/>
    <mergeCell ref="D76:E76"/>
    <mergeCell ref="A61:B61"/>
    <mergeCell ref="A58:N58"/>
    <mergeCell ref="A60:N60"/>
    <mergeCell ref="A46:N46"/>
    <mergeCell ref="A47:K47"/>
    <mergeCell ref="L47:N47"/>
    <mergeCell ref="A48:D48"/>
    <mergeCell ref="E48:N48"/>
    <mergeCell ref="G65:K65"/>
    <mergeCell ref="F76:G76"/>
    <mergeCell ref="H76:L76"/>
    <mergeCell ref="M76:N76"/>
    <mergeCell ref="A17:N17"/>
    <mergeCell ref="A20:E20"/>
    <mergeCell ref="A1:N1"/>
    <mergeCell ref="B3:E3"/>
    <mergeCell ref="F3:N3"/>
    <mergeCell ref="M4:N4"/>
    <mergeCell ref="A6:N6"/>
    <mergeCell ref="H8:L8"/>
    <mergeCell ref="D13:K13"/>
    <mergeCell ref="D10:K10"/>
    <mergeCell ref="H4:K4"/>
    <mergeCell ref="A4:G4"/>
    <mergeCell ref="F20:I20"/>
    <mergeCell ref="J20:K20"/>
    <mergeCell ref="A43:N43"/>
    <mergeCell ref="A62:C62"/>
    <mergeCell ref="D62:E62"/>
    <mergeCell ref="C61:N61"/>
    <mergeCell ref="A50:C50"/>
    <mergeCell ref="A51:C51"/>
    <mergeCell ref="G50:L50"/>
    <mergeCell ref="G51:L51"/>
    <mergeCell ref="A55:N55"/>
    <mergeCell ref="A53:N53"/>
    <mergeCell ref="D78:G78"/>
    <mergeCell ref="D79:J79"/>
    <mergeCell ref="I81:L81"/>
    <mergeCell ref="A84:N84"/>
    <mergeCell ref="A86:N86"/>
    <mergeCell ref="A89:N89"/>
    <mergeCell ref="A67:N67"/>
    <mergeCell ref="A69:N69"/>
    <mergeCell ref="A72:N72"/>
    <mergeCell ref="A75:E75"/>
    <mergeCell ref="F75:K75"/>
    <mergeCell ref="A76:C76"/>
    <mergeCell ref="A74:F74"/>
    <mergeCell ref="G74:N74"/>
    <mergeCell ref="D91:N91"/>
    <mergeCell ref="D92:N92"/>
    <mergeCell ref="D93:N93"/>
    <mergeCell ref="A91:C91"/>
    <mergeCell ref="A92:C92"/>
    <mergeCell ref="A93:C93"/>
    <mergeCell ref="A94:C94"/>
    <mergeCell ref="A96:C96"/>
    <mergeCell ref="D94:N94"/>
    <mergeCell ref="E96:M96"/>
    <mergeCell ref="E97:M97"/>
    <mergeCell ref="E98:M98"/>
    <mergeCell ref="A122:N122"/>
    <mergeCell ref="A124:N124"/>
    <mergeCell ref="C126:N126"/>
    <mergeCell ref="A127:E127"/>
    <mergeCell ref="F127:J127"/>
    <mergeCell ref="K127:N127"/>
    <mergeCell ref="A114:N114"/>
    <mergeCell ref="A117:B117"/>
    <mergeCell ref="G117:K117"/>
    <mergeCell ref="A118:C118"/>
    <mergeCell ref="A120:N120"/>
    <mergeCell ref="A110:N110"/>
    <mergeCell ref="C112:N112"/>
    <mergeCell ref="A113:E113"/>
    <mergeCell ref="F113:J113"/>
    <mergeCell ref="K113:N113"/>
    <mergeCell ref="G101:K101"/>
    <mergeCell ref="A101:B101"/>
    <mergeCell ref="A102:C102"/>
    <mergeCell ref="A104:N104"/>
    <mergeCell ref="A106:N106"/>
    <mergeCell ref="A135:C135"/>
    <mergeCell ref="A137:N137"/>
    <mergeCell ref="A139:N139"/>
    <mergeCell ref="A143:N143"/>
    <mergeCell ref="P145:Q145"/>
    <mergeCell ref="C145:N145"/>
    <mergeCell ref="A128:N128"/>
    <mergeCell ref="A129:N129"/>
    <mergeCell ref="A130:N130"/>
    <mergeCell ref="A134:B134"/>
    <mergeCell ref="G134:K134"/>
    <mergeCell ref="A153:B153"/>
    <mergeCell ref="G153:K153"/>
    <mergeCell ref="A154:C154"/>
    <mergeCell ref="A156:N156"/>
    <mergeCell ref="A158:N158"/>
    <mergeCell ref="A146:E146"/>
    <mergeCell ref="F146:J146"/>
    <mergeCell ref="K146:N146"/>
    <mergeCell ref="A147:N147"/>
    <mergeCell ref="A148:N148"/>
    <mergeCell ref="A149:N149"/>
  </mergeCells>
  <printOptions horizontalCentered="1"/>
  <pageMargins left="0.39370078740157483" right="0.39370078740157483" top="0.59055118110236227" bottom="0.39370078740157483" header="0.19685039370078741" footer="0.19685039370078741"/>
  <pageSetup paperSize="9" orientation="portrait" r:id="rId1"/>
  <headerFooter>
    <oddHeader>&amp;R&amp;"-,Italic"&amp;8psh*</oddHeader>
    <oddFooter>&amp;L&amp;"-,Bold Italic"&amp;8psh*</oddFooter>
  </headerFooter>
  <rowBreaks count="3" manualBreakCount="3">
    <brk id="31" max="16383" man="1"/>
    <brk id="57" max="16383" man="1"/>
    <brk id="87"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A1:Q47"/>
  <sheetViews>
    <sheetView zoomScaleNormal="100" workbookViewId="0">
      <selection sqref="A1:G1"/>
    </sheetView>
  </sheetViews>
  <sheetFormatPr defaultRowHeight="15.75" x14ac:dyDescent="0.25"/>
  <cols>
    <col min="1" max="1" width="3.85546875" style="64" bestFit="1" customWidth="1"/>
    <col min="2" max="2" width="26.5703125" style="63" customWidth="1"/>
    <col min="3" max="3" width="13.140625" style="64" customWidth="1"/>
    <col min="4" max="4" width="13.42578125" style="57" customWidth="1"/>
    <col min="5" max="7" width="13.140625" style="57" customWidth="1"/>
    <col min="8" max="16" width="9.140625" style="57"/>
    <col min="17" max="17" width="15.5703125" style="57" hidden="1" customWidth="1"/>
    <col min="18" max="16384" width="9.140625" style="57"/>
  </cols>
  <sheetData>
    <row r="1" spans="1:7" ht="24.75" customHeight="1" x14ac:dyDescent="0.25">
      <c r="A1" s="568" t="s">
        <v>146</v>
      </c>
      <c r="B1" s="568"/>
      <c r="C1" s="568"/>
      <c r="D1" s="568"/>
      <c r="E1" s="568"/>
      <c r="F1" s="568"/>
      <c r="G1" s="568"/>
    </row>
    <row r="2" spans="1:7" ht="24.75" customHeight="1" x14ac:dyDescent="0.25">
      <c r="A2" s="569" t="s">
        <v>167</v>
      </c>
      <c r="B2" s="569"/>
      <c r="C2" s="569"/>
      <c r="D2" s="569"/>
      <c r="E2" s="569"/>
      <c r="F2" s="569"/>
      <c r="G2" s="569"/>
    </row>
    <row r="3" spans="1:7" ht="38.25" customHeight="1" x14ac:dyDescent="0.25">
      <c r="A3" s="285">
        <v>1</v>
      </c>
      <c r="B3" s="489" t="s">
        <v>147</v>
      </c>
      <c r="C3" s="489"/>
      <c r="D3" s="583" t="str">
        <f>'FORM 7A'!$C$3</f>
        <v/>
      </c>
      <c r="E3" s="584"/>
      <c r="F3" s="584"/>
      <c r="G3" s="585"/>
    </row>
    <row r="4" spans="1:7" ht="47.25" customHeight="1" x14ac:dyDescent="0.25">
      <c r="A4" s="285">
        <v>2</v>
      </c>
      <c r="B4" s="489" t="s">
        <v>207</v>
      </c>
      <c r="C4" s="489"/>
      <c r="D4" s="586">
        <f>'FORM 7A'!$C$4</f>
        <v>0</v>
      </c>
      <c r="E4" s="587"/>
      <c r="F4" s="587"/>
      <c r="G4" s="588"/>
    </row>
    <row r="5" spans="1:7" ht="30" customHeight="1" x14ac:dyDescent="0.25">
      <c r="A5" s="285">
        <v>3</v>
      </c>
      <c r="B5" s="489" t="s">
        <v>148</v>
      </c>
      <c r="C5" s="489"/>
      <c r="D5" s="474">
        <f>'DATA INPUT'!$C$103</f>
        <v>0</v>
      </c>
      <c r="E5" s="474"/>
      <c r="F5" s="474"/>
      <c r="G5" s="474"/>
    </row>
    <row r="6" spans="1:7" ht="84.75" customHeight="1" x14ac:dyDescent="0.25">
      <c r="A6" s="285">
        <v>4</v>
      </c>
      <c r="B6" s="489" t="s">
        <v>208</v>
      </c>
      <c r="C6" s="489"/>
      <c r="D6" s="583" t="str">
        <f>GRATUITY!$E$5</f>
        <v>, , , , -</v>
      </c>
      <c r="E6" s="584"/>
      <c r="F6" s="584"/>
      <c r="G6" s="585"/>
    </row>
    <row r="7" spans="1:7" ht="73.5" customHeight="1" x14ac:dyDescent="0.25">
      <c r="A7" s="283">
        <v>5</v>
      </c>
      <c r="B7" s="489" t="s">
        <v>206</v>
      </c>
      <c r="C7" s="489"/>
      <c r="D7" s="589">
        <f>'DATA INPUT'!$C$98</f>
        <v>0</v>
      </c>
      <c r="E7" s="590"/>
      <c r="F7" s="590"/>
      <c r="G7" s="591"/>
    </row>
    <row r="8" spans="1:7" ht="34.5" customHeight="1" x14ac:dyDescent="0.25">
      <c r="A8" s="283">
        <v>6</v>
      </c>
      <c r="B8" s="489" t="s">
        <v>209</v>
      </c>
      <c r="C8" s="489"/>
      <c r="D8" s="578" t="str">
        <f>'DATA INPUT'!$C$100</f>
        <v>SUPERANNUATION</v>
      </c>
      <c r="E8" s="578"/>
      <c r="F8" s="578"/>
      <c r="G8" s="578"/>
    </row>
    <row r="9" spans="1:7" ht="21" customHeight="1" x14ac:dyDescent="0.25">
      <c r="A9" s="283">
        <v>7</v>
      </c>
      <c r="B9" s="489" t="s">
        <v>180</v>
      </c>
      <c r="C9" s="489"/>
      <c r="D9" s="578" t="s">
        <v>318</v>
      </c>
      <c r="E9" s="578"/>
      <c r="F9" s="578"/>
      <c r="G9" s="578"/>
    </row>
    <row r="10" spans="1:7" ht="47.25" customHeight="1" x14ac:dyDescent="0.25">
      <c r="A10" s="283">
        <v>8</v>
      </c>
      <c r="B10" s="489" t="s">
        <v>181</v>
      </c>
      <c r="C10" s="489"/>
      <c r="D10" s="582" t="s">
        <v>313</v>
      </c>
      <c r="E10" s="582"/>
      <c r="F10" s="582"/>
      <c r="G10" s="582"/>
    </row>
    <row r="11" spans="1:7" x14ac:dyDescent="0.25">
      <c r="A11" s="561">
        <v>9</v>
      </c>
      <c r="B11" s="489" t="s">
        <v>149</v>
      </c>
      <c r="C11" s="489"/>
      <c r="D11" s="283" t="s">
        <v>254</v>
      </c>
      <c r="E11" s="283" t="s">
        <v>255</v>
      </c>
      <c r="F11" s="283" t="s">
        <v>256</v>
      </c>
      <c r="G11" s="558"/>
    </row>
    <row r="12" spans="1:7" ht="26.25" customHeight="1" x14ac:dyDescent="0.25">
      <c r="A12" s="562"/>
      <c r="B12" s="489" t="s">
        <v>150</v>
      </c>
      <c r="C12" s="489"/>
      <c r="D12" s="290">
        <f>GRATUITY!E11</f>
        <v>0</v>
      </c>
      <c r="E12" s="290">
        <f>GRATUITY!F11</f>
        <v>0</v>
      </c>
      <c r="F12" s="290">
        <f>GRATUITY!G11</f>
        <v>0</v>
      </c>
      <c r="G12" s="559"/>
    </row>
    <row r="13" spans="1:7" ht="26.25" customHeight="1" x14ac:dyDescent="0.25">
      <c r="A13" s="562"/>
      <c r="B13" s="489" t="s">
        <v>151</v>
      </c>
      <c r="C13" s="489"/>
      <c r="D13" s="300"/>
      <c r="E13" s="300"/>
      <c r="F13" s="300"/>
      <c r="G13" s="560"/>
    </row>
    <row r="14" spans="1:7" ht="36" customHeight="1" x14ac:dyDescent="0.25">
      <c r="A14" s="562"/>
      <c r="B14" s="489" t="s">
        <v>174</v>
      </c>
      <c r="C14" s="489"/>
      <c r="D14" s="578" t="s">
        <v>315</v>
      </c>
      <c r="E14" s="578"/>
      <c r="F14" s="578"/>
      <c r="G14" s="578"/>
    </row>
    <row r="15" spans="1:7" ht="36" customHeight="1" x14ac:dyDescent="0.25">
      <c r="A15" s="563"/>
      <c r="B15" s="489" t="s">
        <v>175</v>
      </c>
      <c r="C15" s="489"/>
      <c r="D15" s="578" t="s">
        <v>315</v>
      </c>
      <c r="E15" s="578"/>
      <c r="F15" s="578"/>
      <c r="G15" s="578"/>
    </row>
    <row r="16" spans="1:7" ht="24.75" customHeight="1" x14ac:dyDescent="0.25">
      <c r="A16" s="561">
        <v>10</v>
      </c>
      <c r="B16" s="489" t="s">
        <v>152</v>
      </c>
      <c r="C16" s="489"/>
      <c r="D16" s="578" t="s">
        <v>316</v>
      </c>
      <c r="E16" s="578"/>
      <c r="F16" s="578"/>
      <c r="G16" s="578"/>
    </row>
    <row r="17" spans="1:17" ht="24.75" customHeight="1" x14ac:dyDescent="0.25">
      <c r="A17" s="563"/>
      <c r="B17" s="489" t="s">
        <v>153</v>
      </c>
      <c r="C17" s="489"/>
      <c r="D17" s="578" t="s">
        <v>316</v>
      </c>
      <c r="E17" s="578"/>
      <c r="F17" s="578"/>
      <c r="G17" s="578"/>
    </row>
    <row r="18" spans="1:17" ht="28.5" customHeight="1" x14ac:dyDescent="0.25">
      <c r="A18" s="285">
        <v>11</v>
      </c>
      <c r="B18" s="489" t="s">
        <v>154</v>
      </c>
      <c r="C18" s="489"/>
      <c r="D18" s="198" t="s">
        <v>245</v>
      </c>
      <c r="E18" s="349">
        <f>GRATUITY!F17</f>
        <v>0</v>
      </c>
      <c r="F18" s="301"/>
      <c r="G18" s="292"/>
    </row>
    <row r="19" spans="1:17" ht="28.5" customHeight="1" x14ac:dyDescent="0.25">
      <c r="A19" s="285">
        <v>12</v>
      </c>
      <c r="B19" s="489" t="s">
        <v>155</v>
      </c>
      <c r="C19" s="489"/>
      <c r="D19" s="198" t="s">
        <v>245</v>
      </c>
      <c r="E19" s="349">
        <f>GRATUITY!F18</f>
        <v>8500</v>
      </c>
      <c r="F19" s="301"/>
      <c r="G19" s="292"/>
    </row>
    <row r="20" spans="1:17" ht="28.5" customHeight="1" x14ac:dyDescent="0.25">
      <c r="A20" s="285">
        <v>13</v>
      </c>
      <c r="B20" s="489" t="s">
        <v>156</v>
      </c>
      <c r="C20" s="489"/>
      <c r="D20" s="198" t="s">
        <v>245</v>
      </c>
      <c r="E20" s="349">
        <f>GRATUITY!F19</f>
        <v>0</v>
      </c>
      <c r="F20" s="301"/>
      <c r="G20" s="292"/>
    </row>
    <row r="21" spans="1:17" ht="81" customHeight="1" x14ac:dyDescent="0.25">
      <c r="A21" s="285">
        <v>14</v>
      </c>
      <c r="B21" s="601" t="s">
        <v>157</v>
      </c>
      <c r="C21" s="601"/>
      <c r="D21" s="367" t="str">
        <f>'DATA INPUT'!$H$104</f>
        <v>APPLICABLE</v>
      </c>
      <c r="E21" s="567">
        <f t="shared" ref="E21" si="0">$E$27</f>
        <v>0</v>
      </c>
      <c r="F21" s="567"/>
      <c r="G21" s="359">
        <f>IF($D$21="APPLICABLE",$Q$27,0)</f>
        <v>8500</v>
      </c>
    </row>
    <row r="22" spans="1:17" ht="39" customHeight="1" x14ac:dyDescent="0.25">
      <c r="A22" s="285">
        <v>15</v>
      </c>
      <c r="B22" s="489" t="s">
        <v>158</v>
      </c>
      <c r="C22" s="489"/>
      <c r="D22" s="475">
        <f>'DATA INPUT'!$C$105</f>
        <v>0</v>
      </c>
      <c r="E22" s="470"/>
      <c r="F22" s="470"/>
      <c r="G22" s="470"/>
    </row>
    <row r="23" spans="1:17" x14ac:dyDescent="0.25">
      <c r="A23" s="561">
        <v>16</v>
      </c>
      <c r="B23" s="489" t="s">
        <v>159</v>
      </c>
      <c r="C23" s="489"/>
      <c r="D23" s="555"/>
      <c r="E23" s="556"/>
      <c r="F23" s="556"/>
      <c r="G23" s="557"/>
    </row>
    <row r="24" spans="1:17" ht="31.5" customHeight="1" x14ac:dyDescent="0.25">
      <c r="A24" s="562"/>
      <c r="B24" s="489" t="s">
        <v>182</v>
      </c>
      <c r="C24" s="489"/>
      <c r="D24" s="564">
        <f>'DATA INPUT'!$C$33</f>
        <v>0</v>
      </c>
      <c r="E24" s="565"/>
      <c r="F24" s="565"/>
      <c r="G24" s="566"/>
    </row>
    <row r="25" spans="1:17" ht="35.25" customHeight="1" x14ac:dyDescent="0.25">
      <c r="A25" s="563"/>
      <c r="B25" s="489" t="s">
        <v>178</v>
      </c>
      <c r="C25" s="489"/>
      <c r="D25" s="600">
        <f>$D$24</f>
        <v>0</v>
      </c>
      <c r="E25" s="600"/>
      <c r="F25" s="600"/>
      <c r="G25" s="600"/>
    </row>
    <row r="26" spans="1:17" x14ac:dyDescent="0.25">
      <c r="A26" s="561">
        <v>17</v>
      </c>
      <c r="B26" s="489" t="s">
        <v>160</v>
      </c>
      <c r="C26" s="489"/>
      <c r="D26" s="555"/>
      <c r="E26" s="556"/>
      <c r="F26" s="556"/>
      <c r="G26" s="557"/>
    </row>
    <row r="27" spans="1:17" ht="45.75" customHeight="1" x14ac:dyDescent="0.25">
      <c r="A27" s="562"/>
      <c r="B27" s="489" t="s">
        <v>183</v>
      </c>
      <c r="C27" s="489"/>
      <c r="D27" s="350" t="str">
        <f>IF($D$21="APPLICABLE","YES","NA")</f>
        <v>YES</v>
      </c>
      <c r="E27" s="567">
        <f>IF(D27="YES",'DATA INPUT'!$C$50," ")</f>
        <v>0</v>
      </c>
      <c r="F27" s="567"/>
      <c r="G27" s="351">
        <f>IF($D$21="APPLICABLE",$Q$27,0)</f>
        <v>8500</v>
      </c>
      <c r="Q27" s="354">
        <f>IF('DATA INPUT'!$I$83="STATE SCALE",Psh!$BC$6,Psh!$BC$9)</f>
        <v>8500</v>
      </c>
    </row>
    <row r="28" spans="1:17" ht="45.75" customHeight="1" x14ac:dyDescent="0.25">
      <c r="A28" s="563"/>
      <c r="B28" s="489" t="s">
        <v>161</v>
      </c>
      <c r="C28" s="489"/>
      <c r="D28" s="592">
        <f>IF('DATA INPUT'!$I$83="STATE SCALE",Psh!$AQ$6,Psh!$AQ$9)</f>
        <v>0</v>
      </c>
      <c r="E28" s="592"/>
      <c r="F28" s="592"/>
      <c r="G28" s="592"/>
    </row>
    <row r="29" spans="1:17" ht="37.5" customHeight="1" x14ac:dyDescent="0.25">
      <c r="A29" s="285">
        <v>18</v>
      </c>
      <c r="B29" s="489" t="s">
        <v>176</v>
      </c>
      <c r="C29" s="489"/>
      <c r="D29" s="593" t="s">
        <v>317</v>
      </c>
      <c r="E29" s="593"/>
      <c r="F29" s="593"/>
      <c r="G29" s="593"/>
    </row>
    <row r="30" spans="1:17" x14ac:dyDescent="0.25">
      <c r="A30" s="558">
        <v>19</v>
      </c>
      <c r="B30" s="489" t="s">
        <v>162</v>
      </c>
      <c r="C30" s="489"/>
      <c r="D30" s="597"/>
      <c r="E30" s="598"/>
      <c r="F30" s="598"/>
      <c r="G30" s="599"/>
    </row>
    <row r="31" spans="1:17" ht="25.5" customHeight="1" x14ac:dyDescent="0.25">
      <c r="A31" s="559"/>
      <c r="B31" s="489" t="s">
        <v>163</v>
      </c>
      <c r="C31" s="489"/>
      <c r="D31" s="594">
        <f>'DATA INPUT'!$C$7</f>
        <v>0</v>
      </c>
      <c r="E31" s="595"/>
      <c r="F31" s="595"/>
      <c r="G31" s="596"/>
    </row>
    <row r="32" spans="1:17" ht="31.5" customHeight="1" x14ac:dyDescent="0.25">
      <c r="A32" s="560"/>
      <c r="B32" s="489" t="s">
        <v>210</v>
      </c>
      <c r="C32" s="489"/>
      <c r="D32" s="579">
        <f>'DATA INPUT'!$C$51</f>
        <v>0</v>
      </c>
      <c r="E32" s="580"/>
      <c r="F32" s="580"/>
      <c r="G32" s="581"/>
    </row>
    <row r="33" spans="1:7" ht="27" customHeight="1" x14ac:dyDescent="0.25">
      <c r="A33" s="285">
        <v>20</v>
      </c>
      <c r="B33" s="489" t="s">
        <v>164</v>
      </c>
      <c r="C33" s="489"/>
      <c r="D33" s="572">
        <f>'DATA INPUT'!$C$101</f>
        <v>0</v>
      </c>
      <c r="E33" s="573"/>
      <c r="F33" s="573"/>
      <c r="G33" s="574"/>
    </row>
    <row r="34" spans="1:7" ht="37.5" customHeight="1" x14ac:dyDescent="0.25">
      <c r="A34" s="285">
        <v>21</v>
      </c>
      <c r="B34" s="489" t="s">
        <v>260</v>
      </c>
      <c r="C34" s="489"/>
      <c r="D34" s="575">
        <f>'DATA INPUT'!$C$102</f>
        <v>0</v>
      </c>
      <c r="E34" s="576"/>
      <c r="F34" s="576"/>
      <c r="G34" s="577"/>
    </row>
    <row r="35" spans="1:7" ht="19.5" customHeight="1" x14ac:dyDescent="0.25">
      <c r="A35" s="285">
        <v>22</v>
      </c>
      <c r="B35" s="489" t="s">
        <v>169</v>
      </c>
      <c r="C35" s="489"/>
      <c r="D35" s="489"/>
      <c r="E35" s="489"/>
      <c r="F35" s="489"/>
      <c r="G35" s="489"/>
    </row>
    <row r="36" spans="1:7" s="60" customFormat="1" ht="17.25" customHeight="1" x14ac:dyDescent="0.25">
      <c r="A36" s="285" t="s">
        <v>170</v>
      </c>
      <c r="B36" s="282" t="s">
        <v>172</v>
      </c>
      <c r="C36" s="58" t="s">
        <v>10</v>
      </c>
      <c r="D36" s="58" t="s">
        <v>11</v>
      </c>
      <c r="E36" s="59" t="s">
        <v>177</v>
      </c>
      <c r="F36" s="285" t="s">
        <v>12</v>
      </c>
      <c r="G36" s="285" t="s">
        <v>13</v>
      </c>
    </row>
    <row r="37" spans="1:7" s="60" customFormat="1" ht="76.5" customHeight="1" x14ac:dyDescent="0.25">
      <c r="A37" s="285"/>
      <c r="B37" s="282"/>
      <c r="C37" s="58"/>
      <c r="D37" s="58"/>
      <c r="E37" s="285"/>
      <c r="F37" s="285"/>
      <c r="G37" s="285"/>
    </row>
    <row r="38" spans="1:7" s="60" customFormat="1" ht="31.5" x14ac:dyDescent="0.25">
      <c r="A38" s="285" t="s">
        <v>171</v>
      </c>
      <c r="B38" s="282" t="s">
        <v>173</v>
      </c>
      <c r="C38" s="58" t="s">
        <v>10</v>
      </c>
      <c r="D38" s="58" t="s">
        <v>11</v>
      </c>
      <c r="E38" s="59" t="s">
        <v>177</v>
      </c>
      <c r="F38" s="285" t="s">
        <v>12</v>
      </c>
      <c r="G38" s="285" t="s">
        <v>13</v>
      </c>
    </row>
    <row r="39" spans="1:7" s="60" customFormat="1" ht="75.75" customHeight="1" x14ac:dyDescent="0.25">
      <c r="A39" s="285"/>
      <c r="B39" s="61"/>
      <c r="C39" s="58"/>
      <c r="D39" s="58"/>
      <c r="E39" s="285"/>
      <c r="F39" s="285"/>
      <c r="G39" s="285"/>
    </row>
    <row r="40" spans="1:7" x14ac:dyDescent="0.25">
      <c r="A40" s="571" t="s">
        <v>179</v>
      </c>
      <c r="B40" s="571"/>
      <c r="C40" s="571"/>
      <c r="D40" s="571"/>
      <c r="E40" s="571"/>
      <c r="F40" s="571"/>
      <c r="G40" s="571"/>
    </row>
    <row r="41" spans="1:7" ht="39" customHeight="1" x14ac:dyDescent="0.25">
      <c r="A41" s="61">
        <v>23</v>
      </c>
      <c r="B41" s="489" t="s">
        <v>165</v>
      </c>
      <c r="C41" s="489"/>
      <c r="D41" s="579">
        <f>'DATA INPUT'!$C$3</f>
        <v>0</v>
      </c>
      <c r="E41" s="580"/>
      <c r="F41" s="580"/>
      <c r="G41" s="581"/>
    </row>
    <row r="44" spans="1:7" x14ac:dyDescent="0.25">
      <c r="A44" s="62"/>
    </row>
    <row r="45" spans="1:7" x14ac:dyDescent="0.25">
      <c r="A45" s="62"/>
    </row>
    <row r="46" spans="1:7" x14ac:dyDescent="0.25">
      <c r="C46" s="65"/>
      <c r="D46" s="431" t="s">
        <v>14</v>
      </c>
      <c r="E46" s="431"/>
      <c r="F46" s="431"/>
      <c r="G46" s="431"/>
    </row>
    <row r="47" spans="1:7" x14ac:dyDescent="0.25">
      <c r="C47" s="65"/>
      <c r="D47" s="570" t="s">
        <v>166</v>
      </c>
      <c r="E47" s="570"/>
      <c r="F47" s="570"/>
      <c r="G47" s="570"/>
    </row>
  </sheetData>
  <sheetProtection password="C345" sheet="1" objects="1" scenarios="1" selectLockedCells="1"/>
  <mergeCells count="72">
    <mergeCell ref="B11:C11"/>
    <mergeCell ref="D22:G22"/>
    <mergeCell ref="D25:G25"/>
    <mergeCell ref="B24:C24"/>
    <mergeCell ref="G11:G13"/>
    <mergeCell ref="B18:C18"/>
    <mergeCell ref="B19:C19"/>
    <mergeCell ref="B20:C20"/>
    <mergeCell ref="B21:C21"/>
    <mergeCell ref="B22:C22"/>
    <mergeCell ref="E21:F21"/>
    <mergeCell ref="B41:C41"/>
    <mergeCell ref="D28:G28"/>
    <mergeCell ref="D29:G29"/>
    <mergeCell ref="D32:G32"/>
    <mergeCell ref="B28:C28"/>
    <mergeCell ref="B29:C29"/>
    <mergeCell ref="B30:C30"/>
    <mergeCell ref="B32:C32"/>
    <mergeCell ref="B31:C31"/>
    <mergeCell ref="D31:G31"/>
    <mergeCell ref="D30:G30"/>
    <mergeCell ref="D8:G8"/>
    <mergeCell ref="D9:G9"/>
    <mergeCell ref="D10:G10"/>
    <mergeCell ref="D3:G3"/>
    <mergeCell ref="D4:G4"/>
    <mergeCell ref="D5:G5"/>
    <mergeCell ref="D6:G6"/>
    <mergeCell ref="D7:G7"/>
    <mergeCell ref="B10:C10"/>
    <mergeCell ref="B9:C9"/>
    <mergeCell ref="D46:G46"/>
    <mergeCell ref="D47:G47"/>
    <mergeCell ref="B33:C33"/>
    <mergeCell ref="B34:C34"/>
    <mergeCell ref="B35:G35"/>
    <mergeCell ref="A40:G40"/>
    <mergeCell ref="D33:G33"/>
    <mergeCell ref="D34:G34"/>
    <mergeCell ref="D14:G14"/>
    <mergeCell ref="D15:G15"/>
    <mergeCell ref="D16:G16"/>
    <mergeCell ref="D17:G17"/>
    <mergeCell ref="B23:C23"/>
    <mergeCell ref="D41:G41"/>
    <mergeCell ref="A1:G1"/>
    <mergeCell ref="A2:G2"/>
    <mergeCell ref="B3:C3"/>
    <mergeCell ref="B4:C4"/>
    <mergeCell ref="B17:C17"/>
    <mergeCell ref="B16:C16"/>
    <mergeCell ref="B12:C12"/>
    <mergeCell ref="B13:C13"/>
    <mergeCell ref="B14:C14"/>
    <mergeCell ref="B15:C15"/>
    <mergeCell ref="B5:C5"/>
    <mergeCell ref="B6:C6"/>
    <mergeCell ref="B7:C7"/>
    <mergeCell ref="A11:A15"/>
    <mergeCell ref="B8:C8"/>
    <mergeCell ref="A16:A17"/>
    <mergeCell ref="D26:G26"/>
    <mergeCell ref="A30:A32"/>
    <mergeCell ref="A23:A25"/>
    <mergeCell ref="A26:A28"/>
    <mergeCell ref="B26:C26"/>
    <mergeCell ref="B25:C25"/>
    <mergeCell ref="B27:C27"/>
    <mergeCell ref="D24:G24"/>
    <mergeCell ref="D23:G23"/>
    <mergeCell ref="E27:F27"/>
  </mergeCells>
  <printOptions horizontalCentered="1"/>
  <pageMargins left="0.19685039370078741" right="0.19685039370078741" top="0.39370078740157483" bottom="0.39370078740157483" header="0.19685039370078741" footer="0.19685039370078741"/>
  <pageSetup paperSize="9" orientation="portrait" r:id="rId1"/>
  <headerFooter>
    <oddHeader>&amp;R&amp;"-,Bold Italic"&amp;12psh*</oddHeader>
    <oddFooter>&amp;L&amp;"-,Bold Italic"Psh*&amp;RPage-&amp;P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64"/>
  <sheetViews>
    <sheetView zoomScaleNormal="100" workbookViewId="0">
      <selection sqref="A1:C1"/>
    </sheetView>
  </sheetViews>
  <sheetFormatPr defaultColWidth="8.85546875" defaultRowHeight="15.75" x14ac:dyDescent="0.25"/>
  <cols>
    <col min="1" max="1" width="2.85546875" style="69" customWidth="1"/>
    <col min="2" max="2" width="42.7109375" style="70" customWidth="1"/>
    <col min="3" max="3" width="44.5703125" style="66" customWidth="1"/>
    <col min="4" max="7" width="8.85546875" style="66"/>
    <col min="8" max="8" width="80.28515625" style="66" customWidth="1"/>
    <col min="9" max="16384" width="8.85546875" style="66"/>
  </cols>
  <sheetData>
    <row r="1" spans="1:8" ht="24.75" customHeight="1" x14ac:dyDescent="0.25">
      <c r="A1" s="604" t="s">
        <v>31</v>
      </c>
      <c r="B1" s="605"/>
      <c r="C1" s="606"/>
    </row>
    <row r="2" spans="1:8" ht="24.75" customHeight="1" x14ac:dyDescent="0.25">
      <c r="A2" s="607" t="s">
        <v>32</v>
      </c>
      <c r="B2" s="608"/>
      <c r="C2" s="609"/>
    </row>
    <row r="3" spans="1:8" s="57" customFormat="1" ht="45" customHeight="1" x14ac:dyDescent="0.25">
      <c r="A3" s="67">
        <v>1</v>
      </c>
      <c r="B3" s="282" t="s">
        <v>184</v>
      </c>
      <c r="C3" s="112" t="str">
        <f>GRATUITY!$E$3</f>
        <v/>
      </c>
      <c r="E3" s="66"/>
      <c r="F3" s="66"/>
      <c r="G3" s="66"/>
      <c r="H3" s="66"/>
    </row>
    <row r="4" spans="1:8" s="57" customFormat="1" ht="42" customHeight="1" x14ac:dyDescent="0.25">
      <c r="A4" s="67">
        <v>2</v>
      </c>
      <c r="B4" s="282" t="s">
        <v>259</v>
      </c>
      <c r="C4" s="112">
        <f>'DATA INPUT'!$C$97</f>
        <v>0</v>
      </c>
    </row>
    <row r="5" spans="1:8" s="57" customFormat="1" ht="36.75" customHeight="1" x14ac:dyDescent="0.25">
      <c r="A5" s="67">
        <v>3</v>
      </c>
      <c r="B5" s="282" t="s">
        <v>185</v>
      </c>
      <c r="C5" s="116">
        <f>'DATA INPUT'!$C$98</f>
        <v>0</v>
      </c>
    </row>
    <row r="6" spans="1:8" s="57" customFormat="1" ht="32.25" customHeight="1" x14ac:dyDescent="0.25">
      <c r="A6" s="67"/>
      <c r="B6" s="61" t="s">
        <v>186</v>
      </c>
      <c r="C6" s="352" t="s">
        <v>314</v>
      </c>
    </row>
    <row r="7" spans="1:8" s="57" customFormat="1" ht="32.25" customHeight="1" x14ac:dyDescent="0.25">
      <c r="A7" s="67"/>
      <c r="B7" s="61" t="s">
        <v>187</v>
      </c>
      <c r="C7" s="284" t="s">
        <v>315</v>
      </c>
    </row>
    <row r="8" spans="1:8" s="57" customFormat="1" ht="32.25" customHeight="1" x14ac:dyDescent="0.25">
      <c r="A8" s="67"/>
      <c r="B8" s="282" t="s">
        <v>188</v>
      </c>
      <c r="C8" s="302"/>
    </row>
    <row r="9" spans="1:8" s="57" customFormat="1" ht="32.25" customHeight="1" x14ac:dyDescent="0.25">
      <c r="A9" s="67"/>
      <c r="B9" s="282" t="s">
        <v>190</v>
      </c>
      <c r="C9" s="116" t="s">
        <v>309</v>
      </c>
    </row>
    <row r="10" spans="1:8" s="57" customFormat="1" ht="32.25" customHeight="1" x14ac:dyDescent="0.25">
      <c r="A10" s="67"/>
      <c r="B10" s="282" t="s">
        <v>191</v>
      </c>
      <c r="C10" s="116" t="s">
        <v>315</v>
      </c>
    </row>
    <row r="11" spans="1:8" s="57" customFormat="1" ht="36.75" customHeight="1" x14ac:dyDescent="0.25">
      <c r="A11" s="67"/>
      <c r="B11" s="282" t="s">
        <v>192</v>
      </c>
      <c r="C11" s="302"/>
    </row>
    <row r="12" spans="1:8" s="57" customFormat="1" ht="51.75" customHeight="1" x14ac:dyDescent="0.25">
      <c r="A12" s="67"/>
      <c r="B12" s="282" t="s">
        <v>193</v>
      </c>
      <c r="C12" s="302"/>
    </row>
    <row r="13" spans="1:8" s="57" customFormat="1" ht="31.5" customHeight="1" x14ac:dyDescent="0.25">
      <c r="A13" s="67"/>
      <c r="B13" s="287" t="s">
        <v>189</v>
      </c>
      <c r="C13" s="303"/>
    </row>
    <row r="14" spans="1:8" s="57" customFormat="1" ht="21" customHeight="1" x14ac:dyDescent="0.25">
      <c r="A14" s="619"/>
      <c r="B14" s="615" t="s">
        <v>418</v>
      </c>
      <c r="C14" s="616"/>
    </row>
    <row r="15" spans="1:8" s="57" customFormat="1" ht="21" customHeight="1" x14ac:dyDescent="0.25">
      <c r="A15" s="620"/>
      <c r="B15" s="617" t="str">
        <f>$C$3</f>
        <v/>
      </c>
      <c r="C15" s="618"/>
    </row>
    <row r="16" spans="1:8" s="57" customFormat="1" ht="51.75" customHeight="1" x14ac:dyDescent="0.25">
      <c r="A16" s="621"/>
      <c r="B16" s="610" t="s">
        <v>401</v>
      </c>
      <c r="C16" s="611"/>
    </row>
    <row r="17" spans="1:8" s="57" customFormat="1" ht="18.75" x14ac:dyDescent="0.25">
      <c r="A17" s="67"/>
      <c r="B17" s="612" t="s">
        <v>33</v>
      </c>
      <c r="C17" s="612"/>
    </row>
    <row r="18" spans="1:8" s="57" customFormat="1" ht="78.75" customHeight="1" x14ac:dyDescent="0.25">
      <c r="A18" s="67"/>
      <c r="B18" s="613" t="s">
        <v>211</v>
      </c>
      <c r="C18" s="614"/>
    </row>
    <row r="19" spans="1:8" s="57" customFormat="1" ht="30.75" customHeight="1" x14ac:dyDescent="0.25">
      <c r="A19" s="67"/>
      <c r="B19" s="61" t="s">
        <v>238</v>
      </c>
      <c r="C19" s="282"/>
    </row>
    <row r="20" spans="1:8" s="57" customFormat="1" ht="30.75" customHeight="1" x14ac:dyDescent="0.25">
      <c r="A20" s="67"/>
      <c r="B20" s="61" t="s">
        <v>239</v>
      </c>
      <c r="C20" s="282"/>
    </row>
    <row r="21" spans="1:8" s="57" customFormat="1" ht="33" customHeight="1" x14ac:dyDescent="0.25">
      <c r="A21" s="355"/>
      <c r="B21" s="361" t="s">
        <v>240</v>
      </c>
      <c r="C21" s="362"/>
    </row>
    <row r="22" spans="1:8" s="57" customFormat="1" x14ac:dyDescent="0.25">
      <c r="A22" s="355"/>
      <c r="B22" s="363" t="s">
        <v>419</v>
      </c>
      <c r="C22" s="364" t="str">
        <f>IF('FORM 7'!D21="APPLICABLE",'FORM 7A'!C3," ")</f>
        <v/>
      </c>
    </row>
    <row r="23" spans="1:8" s="57" customFormat="1" x14ac:dyDescent="0.25">
      <c r="A23" s="356"/>
      <c r="B23" s="365" t="s">
        <v>420</v>
      </c>
      <c r="C23" s="366">
        <f>'FORM 7'!$G$21</f>
        <v>8500</v>
      </c>
      <c r="H23" s="360"/>
    </row>
    <row r="24" spans="1:8" s="57" customFormat="1" x14ac:dyDescent="0.25">
      <c r="A24" s="356"/>
      <c r="B24" s="365" t="s">
        <v>421</v>
      </c>
      <c r="C24" s="368">
        <f>'FORM 7'!$E$27</f>
        <v>0</v>
      </c>
      <c r="H24" s="360"/>
    </row>
    <row r="25" spans="1:8" s="57" customFormat="1" x14ac:dyDescent="0.25">
      <c r="A25" s="357"/>
      <c r="B25" s="602" t="s">
        <v>422</v>
      </c>
      <c r="C25" s="603"/>
      <c r="H25" s="360"/>
    </row>
    <row r="26" spans="1:8" s="57" customFormat="1" ht="64.5" customHeight="1" x14ac:dyDescent="0.25">
      <c r="A26" s="67"/>
      <c r="B26" s="623" t="s">
        <v>402</v>
      </c>
      <c r="C26" s="623"/>
    </row>
    <row r="27" spans="1:8" s="57" customFormat="1" ht="43.5" customHeight="1" x14ac:dyDescent="0.25">
      <c r="A27" s="67"/>
      <c r="B27" s="623" t="s">
        <v>194</v>
      </c>
      <c r="C27" s="623"/>
    </row>
    <row r="28" spans="1:8" s="57" customFormat="1" ht="41.25" customHeight="1" x14ac:dyDescent="0.25">
      <c r="A28" s="67"/>
      <c r="B28" s="623" t="s">
        <v>195</v>
      </c>
      <c r="C28" s="623"/>
    </row>
    <row r="29" spans="1:8" s="57" customFormat="1" ht="33.75" customHeight="1" x14ac:dyDescent="0.25">
      <c r="A29" s="67"/>
      <c r="B29" s="61" t="s">
        <v>241</v>
      </c>
      <c r="C29" s="116">
        <f>'DATA INPUT'!$C$11</f>
        <v>0</v>
      </c>
    </row>
    <row r="30" spans="1:8" s="57" customFormat="1" ht="33.75" customHeight="1" x14ac:dyDescent="0.25">
      <c r="A30" s="67"/>
      <c r="B30" s="61" t="s">
        <v>242</v>
      </c>
      <c r="C30" s="358" t="str">
        <f>Psh!$L$6</f>
        <v>0 Year, 0 Month, 0 Days</v>
      </c>
    </row>
    <row r="31" spans="1:8" s="57" customFormat="1" ht="33.75" customHeight="1" x14ac:dyDescent="0.25">
      <c r="A31" s="67"/>
      <c r="B31" s="61" t="s">
        <v>243</v>
      </c>
      <c r="C31" s="304">
        <f>'DATA INPUT'!$C$33</f>
        <v>0</v>
      </c>
    </row>
    <row r="32" spans="1:8" s="57" customFormat="1" ht="33.75" customHeight="1" x14ac:dyDescent="0.25">
      <c r="A32" s="67"/>
      <c r="B32" s="61" t="s">
        <v>244</v>
      </c>
      <c r="C32" s="304">
        <f>'DATA INPUT'!$C$33</f>
        <v>0</v>
      </c>
    </row>
    <row r="33" spans="1:3" s="57" customFormat="1" ht="53.25" customHeight="1" x14ac:dyDescent="0.25">
      <c r="A33" s="67"/>
      <c r="B33" s="624" t="s">
        <v>212</v>
      </c>
      <c r="C33" s="624"/>
    </row>
    <row r="34" spans="1:3" s="57" customFormat="1" ht="92.25" customHeight="1" x14ac:dyDescent="0.25">
      <c r="A34" s="86"/>
      <c r="B34" s="370" t="s">
        <v>264</v>
      </c>
      <c r="C34" s="370" t="s">
        <v>213</v>
      </c>
    </row>
    <row r="35" spans="1:3" s="57" customFormat="1" ht="18" customHeight="1" x14ac:dyDescent="0.25">
      <c r="A35" s="86"/>
      <c r="B35" s="370"/>
      <c r="C35" s="370"/>
    </row>
    <row r="36" spans="1:3" s="57" customFormat="1" ht="41.25" customHeight="1" x14ac:dyDescent="0.25">
      <c r="A36" s="67"/>
      <c r="B36" s="622" t="s">
        <v>215</v>
      </c>
      <c r="C36" s="622"/>
    </row>
    <row r="37" spans="1:3" s="57" customFormat="1" ht="36.75" customHeight="1" x14ac:dyDescent="0.25">
      <c r="A37" s="67"/>
      <c r="B37" s="61" t="s">
        <v>214</v>
      </c>
      <c r="C37" s="61" t="s">
        <v>246</v>
      </c>
    </row>
    <row r="38" spans="1:3" s="57" customFormat="1" ht="44.25" customHeight="1" x14ac:dyDescent="0.25">
      <c r="A38" s="67"/>
      <c r="B38" s="61" t="s">
        <v>216</v>
      </c>
      <c r="C38" s="61" t="s">
        <v>245</v>
      </c>
    </row>
    <row r="39" spans="1:3" s="57" customFormat="1" ht="26.25" customHeight="1" x14ac:dyDescent="0.25">
      <c r="A39" s="67"/>
      <c r="B39" s="68" t="s">
        <v>34</v>
      </c>
      <c r="C39" s="112"/>
    </row>
    <row r="40" spans="1:3" s="57" customFormat="1" ht="39.75" customHeight="1" x14ac:dyDescent="0.25">
      <c r="A40" s="67"/>
      <c r="B40" s="61" t="s">
        <v>217</v>
      </c>
      <c r="C40" s="61" t="s">
        <v>245</v>
      </c>
    </row>
    <row r="41" spans="1:3" s="57" customFormat="1" ht="39.75" customHeight="1" x14ac:dyDescent="0.25">
      <c r="A41" s="67"/>
      <c r="B41" s="61" t="s">
        <v>218</v>
      </c>
      <c r="C41" s="61" t="s">
        <v>245</v>
      </c>
    </row>
    <row r="42" spans="1:3" s="57" customFormat="1" ht="39.75" customHeight="1" x14ac:dyDescent="0.25">
      <c r="A42" s="67"/>
      <c r="B42" s="61" t="s">
        <v>35</v>
      </c>
      <c r="C42" s="61" t="s">
        <v>245</v>
      </c>
    </row>
    <row r="43" spans="1:3" s="57" customFormat="1" ht="68.25" customHeight="1" x14ac:dyDescent="0.25">
      <c r="A43" s="86"/>
      <c r="B43" s="87"/>
      <c r="C43" s="88" t="s">
        <v>219</v>
      </c>
    </row>
    <row r="44" spans="1:3" s="57" customFormat="1" x14ac:dyDescent="0.25">
      <c r="A44" s="69"/>
      <c r="B44" s="63"/>
    </row>
    <row r="45" spans="1:3" s="57" customFormat="1" x14ac:dyDescent="0.25">
      <c r="A45" s="69"/>
      <c r="B45" s="63"/>
    </row>
    <row r="46" spans="1:3" s="57" customFormat="1" x14ac:dyDescent="0.25">
      <c r="A46" s="69"/>
      <c r="B46" s="63"/>
    </row>
    <row r="47" spans="1:3" s="57" customFormat="1" x14ac:dyDescent="0.25">
      <c r="A47" s="69"/>
      <c r="B47" s="63"/>
    </row>
    <row r="48" spans="1:3" s="57" customFormat="1" x14ac:dyDescent="0.25">
      <c r="A48" s="69"/>
      <c r="B48" s="63"/>
    </row>
    <row r="49" spans="1:2" s="57" customFormat="1" x14ac:dyDescent="0.25">
      <c r="A49" s="69"/>
      <c r="B49" s="63"/>
    </row>
    <row r="50" spans="1:2" s="57" customFormat="1" x14ac:dyDescent="0.25">
      <c r="A50" s="69"/>
      <c r="B50" s="63"/>
    </row>
    <row r="51" spans="1:2" s="57" customFormat="1" x14ac:dyDescent="0.25">
      <c r="A51" s="69"/>
      <c r="B51" s="63"/>
    </row>
    <row r="52" spans="1:2" s="57" customFormat="1" x14ac:dyDescent="0.25">
      <c r="A52" s="69"/>
      <c r="B52" s="63"/>
    </row>
    <row r="53" spans="1:2" s="57" customFormat="1" x14ac:dyDescent="0.25">
      <c r="A53" s="69"/>
      <c r="B53" s="63"/>
    </row>
    <row r="54" spans="1:2" s="57" customFormat="1" x14ac:dyDescent="0.25">
      <c r="A54" s="69"/>
      <c r="B54" s="63"/>
    </row>
    <row r="55" spans="1:2" s="57" customFormat="1" x14ac:dyDescent="0.25">
      <c r="A55" s="69"/>
      <c r="B55" s="63"/>
    </row>
    <row r="56" spans="1:2" s="57" customFormat="1" x14ac:dyDescent="0.25">
      <c r="A56" s="69"/>
      <c r="B56" s="63"/>
    </row>
    <row r="57" spans="1:2" s="57" customFormat="1" x14ac:dyDescent="0.25">
      <c r="A57" s="69"/>
      <c r="B57" s="63"/>
    </row>
    <row r="58" spans="1:2" s="57" customFormat="1" x14ac:dyDescent="0.25">
      <c r="A58" s="69"/>
      <c r="B58" s="63"/>
    </row>
    <row r="59" spans="1:2" x14ac:dyDescent="0.25">
      <c r="B59" s="44"/>
    </row>
    <row r="60" spans="1:2" x14ac:dyDescent="0.25">
      <c r="B60" s="44"/>
    </row>
    <row r="61" spans="1:2" x14ac:dyDescent="0.25">
      <c r="B61" s="44"/>
    </row>
    <row r="62" spans="1:2" x14ac:dyDescent="0.25">
      <c r="B62" s="44"/>
    </row>
    <row r="63" spans="1:2" x14ac:dyDescent="0.25">
      <c r="B63" s="44"/>
    </row>
    <row r="64" spans="1:2" x14ac:dyDescent="0.25">
      <c r="B64" s="44"/>
    </row>
  </sheetData>
  <sheetProtection password="C345" sheet="1" objects="1" scenarios="1" selectLockedCells="1"/>
  <mergeCells count="14">
    <mergeCell ref="B36:C36"/>
    <mergeCell ref="B26:C26"/>
    <mergeCell ref="B33:C33"/>
    <mergeCell ref="B27:C27"/>
    <mergeCell ref="B28:C28"/>
    <mergeCell ref="B25:C25"/>
    <mergeCell ref="A1:C1"/>
    <mergeCell ref="A2:C2"/>
    <mergeCell ref="B16:C16"/>
    <mergeCell ref="B17:C17"/>
    <mergeCell ref="B18:C18"/>
    <mergeCell ref="B14:C14"/>
    <mergeCell ref="B15:C15"/>
    <mergeCell ref="A14:A16"/>
  </mergeCells>
  <printOptions horizontalCentered="1"/>
  <pageMargins left="0.59055118110236227" right="0.59055118110236227" top="0.39370078740157483" bottom="0.39370078740157483" header="0.19685039370078741" footer="0.19685039370078741"/>
  <pageSetup paperSize="9" orientation="portrait" r:id="rId1"/>
  <headerFooter>
    <oddHeader>&amp;R&amp;"-,Bold Italic"psh*</oddHeader>
    <oddFooter>&amp;L&amp;"-,Bold Italic"&amp;12psh*&amp;RPage-&amp;P</oddFooter>
  </headerFooter>
  <rowBreaks count="1" manualBreakCount="1">
    <brk id="25" max="2"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F18"/>
  <sheetViews>
    <sheetView workbookViewId="0">
      <selection activeCell="D8" sqref="D8"/>
    </sheetView>
  </sheetViews>
  <sheetFormatPr defaultRowHeight="18.75" x14ac:dyDescent="0.3"/>
  <cols>
    <col min="1" max="1" width="5.5703125" style="76" customWidth="1"/>
    <col min="2" max="2" width="32.85546875" style="76" customWidth="1"/>
    <col min="3" max="3" width="17.140625" style="76" customWidth="1"/>
    <col min="4" max="4" width="15.7109375" style="76" customWidth="1"/>
    <col min="5" max="5" width="4.42578125" style="76" bestFit="1" customWidth="1"/>
    <col min="6" max="6" width="15.7109375" style="76" customWidth="1"/>
    <col min="7" max="256" width="9.140625" style="76"/>
    <col min="257" max="257" width="5.5703125" style="76" customWidth="1"/>
    <col min="258" max="258" width="32.85546875" style="76" customWidth="1"/>
    <col min="259" max="259" width="55.28515625" style="76" customWidth="1"/>
    <col min="260" max="512" width="9.140625" style="76"/>
    <col min="513" max="513" width="5.5703125" style="76" customWidth="1"/>
    <col min="514" max="514" width="32.85546875" style="76" customWidth="1"/>
    <col min="515" max="515" width="55.28515625" style="76" customWidth="1"/>
    <col min="516" max="768" width="9.140625" style="76"/>
    <col min="769" max="769" width="5.5703125" style="76" customWidth="1"/>
    <col min="770" max="770" width="32.85546875" style="76" customWidth="1"/>
    <col min="771" max="771" width="55.28515625" style="76" customWidth="1"/>
    <col min="772" max="1024" width="9.140625" style="76"/>
    <col min="1025" max="1025" width="5.5703125" style="76" customWidth="1"/>
    <col min="1026" max="1026" width="32.85546875" style="76" customWidth="1"/>
    <col min="1027" max="1027" width="55.28515625" style="76" customWidth="1"/>
    <col min="1028" max="1280" width="9.140625" style="76"/>
    <col min="1281" max="1281" width="5.5703125" style="76" customWidth="1"/>
    <col min="1282" max="1282" width="32.85546875" style="76" customWidth="1"/>
    <col min="1283" max="1283" width="55.28515625" style="76" customWidth="1"/>
    <col min="1284" max="1536" width="9.140625" style="76"/>
    <col min="1537" max="1537" width="5.5703125" style="76" customWidth="1"/>
    <col min="1538" max="1538" width="32.85546875" style="76" customWidth="1"/>
    <col min="1539" max="1539" width="55.28515625" style="76" customWidth="1"/>
    <col min="1540" max="1792" width="9.140625" style="76"/>
    <col min="1793" max="1793" width="5.5703125" style="76" customWidth="1"/>
    <col min="1794" max="1794" width="32.85546875" style="76" customWidth="1"/>
    <col min="1795" max="1795" width="55.28515625" style="76" customWidth="1"/>
    <col min="1796" max="2048" width="9.140625" style="76"/>
    <col min="2049" max="2049" width="5.5703125" style="76" customWidth="1"/>
    <col min="2050" max="2050" width="32.85546875" style="76" customWidth="1"/>
    <col min="2051" max="2051" width="55.28515625" style="76" customWidth="1"/>
    <col min="2052" max="2304" width="9.140625" style="76"/>
    <col min="2305" max="2305" width="5.5703125" style="76" customWidth="1"/>
    <col min="2306" max="2306" width="32.85546875" style="76" customWidth="1"/>
    <col min="2307" max="2307" width="55.28515625" style="76" customWidth="1"/>
    <col min="2308" max="2560" width="9.140625" style="76"/>
    <col min="2561" max="2561" width="5.5703125" style="76" customWidth="1"/>
    <col min="2562" max="2562" width="32.85546875" style="76" customWidth="1"/>
    <col min="2563" max="2563" width="55.28515625" style="76" customWidth="1"/>
    <col min="2564" max="2816" width="9.140625" style="76"/>
    <col min="2817" max="2817" width="5.5703125" style="76" customWidth="1"/>
    <col min="2818" max="2818" width="32.85546875" style="76" customWidth="1"/>
    <col min="2819" max="2819" width="55.28515625" style="76" customWidth="1"/>
    <col min="2820" max="3072" width="9.140625" style="76"/>
    <col min="3073" max="3073" width="5.5703125" style="76" customWidth="1"/>
    <col min="3074" max="3074" width="32.85546875" style="76" customWidth="1"/>
    <col min="3075" max="3075" width="55.28515625" style="76" customWidth="1"/>
    <col min="3076" max="3328" width="9.140625" style="76"/>
    <col min="3329" max="3329" width="5.5703125" style="76" customWidth="1"/>
    <col min="3330" max="3330" width="32.85546875" style="76" customWidth="1"/>
    <col min="3331" max="3331" width="55.28515625" style="76" customWidth="1"/>
    <col min="3332" max="3584" width="9.140625" style="76"/>
    <col min="3585" max="3585" width="5.5703125" style="76" customWidth="1"/>
    <col min="3586" max="3586" width="32.85546875" style="76" customWidth="1"/>
    <col min="3587" max="3587" width="55.28515625" style="76" customWidth="1"/>
    <col min="3588" max="3840" width="9.140625" style="76"/>
    <col min="3841" max="3841" width="5.5703125" style="76" customWidth="1"/>
    <col min="3842" max="3842" width="32.85546875" style="76" customWidth="1"/>
    <col min="3843" max="3843" width="55.28515625" style="76" customWidth="1"/>
    <col min="3844" max="4096" width="9.140625" style="76"/>
    <col min="4097" max="4097" width="5.5703125" style="76" customWidth="1"/>
    <col min="4098" max="4098" width="32.85546875" style="76" customWidth="1"/>
    <col min="4099" max="4099" width="55.28515625" style="76" customWidth="1"/>
    <col min="4100" max="4352" width="9.140625" style="76"/>
    <col min="4353" max="4353" width="5.5703125" style="76" customWidth="1"/>
    <col min="4354" max="4354" width="32.85546875" style="76" customWidth="1"/>
    <col min="4355" max="4355" width="55.28515625" style="76" customWidth="1"/>
    <col min="4356" max="4608" width="9.140625" style="76"/>
    <col min="4609" max="4609" width="5.5703125" style="76" customWidth="1"/>
    <col min="4610" max="4610" width="32.85546875" style="76" customWidth="1"/>
    <col min="4611" max="4611" width="55.28515625" style="76" customWidth="1"/>
    <col min="4612" max="4864" width="9.140625" style="76"/>
    <col min="4865" max="4865" width="5.5703125" style="76" customWidth="1"/>
    <col min="4866" max="4866" width="32.85546875" style="76" customWidth="1"/>
    <col min="4867" max="4867" width="55.28515625" style="76" customWidth="1"/>
    <col min="4868" max="5120" width="9.140625" style="76"/>
    <col min="5121" max="5121" width="5.5703125" style="76" customWidth="1"/>
    <col min="5122" max="5122" width="32.85546875" style="76" customWidth="1"/>
    <col min="5123" max="5123" width="55.28515625" style="76" customWidth="1"/>
    <col min="5124" max="5376" width="9.140625" style="76"/>
    <col min="5377" max="5377" width="5.5703125" style="76" customWidth="1"/>
    <col min="5378" max="5378" width="32.85546875" style="76" customWidth="1"/>
    <col min="5379" max="5379" width="55.28515625" style="76" customWidth="1"/>
    <col min="5380" max="5632" width="9.140625" style="76"/>
    <col min="5633" max="5633" width="5.5703125" style="76" customWidth="1"/>
    <col min="5634" max="5634" width="32.85546875" style="76" customWidth="1"/>
    <col min="5635" max="5635" width="55.28515625" style="76" customWidth="1"/>
    <col min="5636" max="5888" width="9.140625" style="76"/>
    <col min="5889" max="5889" width="5.5703125" style="76" customWidth="1"/>
    <col min="5890" max="5890" width="32.85546875" style="76" customWidth="1"/>
    <col min="5891" max="5891" width="55.28515625" style="76" customWidth="1"/>
    <col min="5892" max="6144" width="9.140625" style="76"/>
    <col min="6145" max="6145" width="5.5703125" style="76" customWidth="1"/>
    <col min="6146" max="6146" width="32.85546875" style="76" customWidth="1"/>
    <col min="6147" max="6147" width="55.28515625" style="76" customWidth="1"/>
    <col min="6148" max="6400" width="9.140625" style="76"/>
    <col min="6401" max="6401" width="5.5703125" style="76" customWidth="1"/>
    <col min="6402" max="6402" width="32.85546875" style="76" customWidth="1"/>
    <col min="6403" max="6403" width="55.28515625" style="76" customWidth="1"/>
    <col min="6404" max="6656" width="9.140625" style="76"/>
    <col min="6657" max="6657" width="5.5703125" style="76" customWidth="1"/>
    <col min="6658" max="6658" width="32.85546875" style="76" customWidth="1"/>
    <col min="6659" max="6659" width="55.28515625" style="76" customWidth="1"/>
    <col min="6660" max="6912" width="9.140625" style="76"/>
    <col min="6913" max="6913" width="5.5703125" style="76" customWidth="1"/>
    <col min="6914" max="6914" width="32.85546875" style="76" customWidth="1"/>
    <col min="6915" max="6915" width="55.28515625" style="76" customWidth="1"/>
    <col min="6916" max="7168" width="9.140625" style="76"/>
    <col min="7169" max="7169" width="5.5703125" style="76" customWidth="1"/>
    <col min="7170" max="7170" width="32.85546875" style="76" customWidth="1"/>
    <col min="7171" max="7171" width="55.28515625" style="76" customWidth="1"/>
    <col min="7172" max="7424" width="9.140625" style="76"/>
    <col min="7425" max="7425" width="5.5703125" style="76" customWidth="1"/>
    <col min="7426" max="7426" width="32.85546875" style="76" customWidth="1"/>
    <col min="7427" max="7427" width="55.28515625" style="76" customWidth="1"/>
    <col min="7428" max="7680" width="9.140625" style="76"/>
    <col min="7681" max="7681" width="5.5703125" style="76" customWidth="1"/>
    <col min="7682" max="7682" width="32.85546875" style="76" customWidth="1"/>
    <col min="7683" max="7683" width="55.28515625" style="76" customWidth="1"/>
    <col min="7684" max="7936" width="9.140625" style="76"/>
    <col min="7937" max="7937" width="5.5703125" style="76" customWidth="1"/>
    <col min="7938" max="7938" width="32.85546875" style="76" customWidth="1"/>
    <col min="7939" max="7939" width="55.28515625" style="76" customWidth="1"/>
    <col min="7940" max="8192" width="9.140625" style="76"/>
    <col min="8193" max="8193" width="5.5703125" style="76" customWidth="1"/>
    <col min="8194" max="8194" width="32.85546875" style="76" customWidth="1"/>
    <col min="8195" max="8195" width="55.28515625" style="76" customWidth="1"/>
    <col min="8196" max="8448" width="9.140625" style="76"/>
    <col min="8449" max="8449" width="5.5703125" style="76" customWidth="1"/>
    <col min="8450" max="8450" width="32.85546875" style="76" customWidth="1"/>
    <col min="8451" max="8451" width="55.28515625" style="76" customWidth="1"/>
    <col min="8452" max="8704" width="9.140625" style="76"/>
    <col min="8705" max="8705" width="5.5703125" style="76" customWidth="1"/>
    <col min="8706" max="8706" width="32.85546875" style="76" customWidth="1"/>
    <col min="8707" max="8707" width="55.28515625" style="76" customWidth="1"/>
    <col min="8708" max="8960" width="9.140625" style="76"/>
    <col min="8961" max="8961" width="5.5703125" style="76" customWidth="1"/>
    <col min="8962" max="8962" width="32.85546875" style="76" customWidth="1"/>
    <col min="8963" max="8963" width="55.28515625" style="76" customWidth="1"/>
    <col min="8964" max="9216" width="9.140625" style="76"/>
    <col min="9217" max="9217" width="5.5703125" style="76" customWidth="1"/>
    <col min="9218" max="9218" width="32.85546875" style="76" customWidth="1"/>
    <col min="9219" max="9219" width="55.28515625" style="76" customWidth="1"/>
    <col min="9220" max="9472" width="9.140625" style="76"/>
    <col min="9473" max="9473" width="5.5703125" style="76" customWidth="1"/>
    <col min="9474" max="9474" width="32.85546875" style="76" customWidth="1"/>
    <col min="9475" max="9475" width="55.28515625" style="76" customWidth="1"/>
    <col min="9476" max="9728" width="9.140625" style="76"/>
    <col min="9729" max="9729" width="5.5703125" style="76" customWidth="1"/>
    <col min="9730" max="9730" width="32.85546875" style="76" customWidth="1"/>
    <col min="9731" max="9731" width="55.28515625" style="76" customWidth="1"/>
    <col min="9732" max="9984" width="9.140625" style="76"/>
    <col min="9985" max="9985" width="5.5703125" style="76" customWidth="1"/>
    <col min="9986" max="9986" width="32.85546875" style="76" customWidth="1"/>
    <col min="9987" max="9987" width="55.28515625" style="76" customWidth="1"/>
    <col min="9988" max="10240" width="9.140625" style="76"/>
    <col min="10241" max="10241" width="5.5703125" style="76" customWidth="1"/>
    <col min="10242" max="10242" width="32.85546875" style="76" customWidth="1"/>
    <col min="10243" max="10243" width="55.28515625" style="76" customWidth="1"/>
    <col min="10244" max="10496" width="9.140625" style="76"/>
    <col min="10497" max="10497" width="5.5703125" style="76" customWidth="1"/>
    <col min="10498" max="10498" width="32.85546875" style="76" customWidth="1"/>
    <col min="10499" max="10499" width="55.28515625" style="76" customWidth="1"/>
    <col min="10500" max="10752" width="9.140625" style="76"/>
    <col min="10753" max="10753" width="5.5703125" style="76" customWidth="1"/>
    <col min="10754" max="10754" width="32.85546875" style="76" customWidth="1"/>
    <col min="10755" max="10755" width="55.28515625" style="76" customWidth="1"/>
    <col min="10756" max="11008" width="9.140625" style="76"/>
    <col min="11009" max="11009" width="5.5703125" style="76" customWidth="1"/>
    <col min="11010" max="11010" width="32.85546875" style="76" customWidth="1"/>
    <col min="11011" max="11011" width="55.28515625" style="76" customWidth="1"/>
    <col min="11012" max="11264" width="9.140625" style="76"/>
    <col min="11265" max="11265" width="5.5703125" style="76" customWidth="1"/>
    <col min="11266" max="11266" width="32.85546875" style="76" customWidth="1"/>
    <col min="11267" max="11267" width="55.28515625" style="76" customWidth="1"/>
    <col min="11268" max="11520" width="9.140625" style="76"/>
    <col min="11521" max="11521" width="5.5703125" style="76" customWidth="1"/>
    <col min="11522" max="11522" width="32.85546875" style="76" customWidth="1"/>
    <col min="11523" max="11523" width="55.28515625" style="76" customWidth="1"/>
    <col min="11524" max="11776" width="9.140625" style="76"/>
    <col min="11777" max="11777" width="5.5703125" style="76" customWidth="1"/>
    <col min="11778" max="11778" width="32.85546875" style="76" customWidth="1"/>
    <col min="11779" max="11779" width="55.28515625" style="76" customWidth="1"/>
    <col min="11780" max="12032" width="9.140625" style="76"/>
    <col min="12033" max="12033" width="5.5703125" style="76" customWidth="1"/>
    <col min="12034" max="12034" width="32.85546875" style="76" customWidth="1"/>
    <col min="12035" max="12035" width="55.28515625" style="76" customWidth="1"/>
    <col min="12036" max="12288" width="9.140625" style="76"/>
    <col min="12289" max="12289" width="5.5703125" style="76" customWidth="1"/>
    <col min="12290" max="12290" width="32.85546875" style="76" customWidth="1"/>
    <col min="12291" max="12291" width="55.28515625" style="76" customWidth="1"/>
    <col min="12292" max="12544" width="9.140625" style="76"/>
    <col min="12545" max="12545" width="5.5703125" style="76" customWidth="1"/>
    <col min="12546" max="12546" width="32.85546875" style="76" customWidth="1"/>
    <col min="12547" max="12547" width="55.28515625" style="76" customWidth="1"/>
    <col min="12548" max="12800" width="9.140625" style="76"/>
    <col min="12801" max="12801" width="5.5703125" style="76" customWidth="1"/>
    <col min="12802" max="12802" width="32.85546875" style="76" customWidth="1"/>
    <col min="12803" max="12803" width="55.28515625" style="76" customWidth="1"/>
    <col min="12804" max="13056" width="9.140625" style="76"/>
    <col min="13057" max="13057" width="5.5703125" style="76" customWidth="1"/>
    <col min="13058" max="13058" width="32.85546875" style="76" customWidth="1"/>
    <col min="13059" max="13059" width="55.28515625" style="76" customWidth="1"/>
    <col min="13060" max="13312" width="9.140625" style="76"/>
    <col min="13313" max="13313" width="5.5703125" style="76" customWidth="1"/>
    <col min="13314" max="13314" width="32.85546875" style="76" customWidth="1"/>
    <col min="13315" max="13315" width="55.28515625" style="76" customWidth="1"/>
    <col min="13316" max="13568" width="9.140625" style="76"/>
    <col min="13569" max="13569" width="5.5703125" style="76" customWidth="1"/>
    <col min="13570" max="13570" width="32.85546875" style="76" customWidth="1"/>
    <col min="13571" max="13571" width="55.28515625" style="76" customWidth="1"/>
    <col min="13572" max="13824" width="9.140625" style="76"/>
    <col min="13825" max="13825" width="5.5703125" style="76" customWidth="1"/>
    <col min="13826" max="13826" width="32.85546875" style="76" customWidth="1"/>
    <col min="13827" max="13827" width="55.28515625" style="76" customWidth="1"/>
    <col min="13828" max="14080" width="9.140625" style="76"/>
    <col min="14081" max="14081" width="5.5703125" style="76" customWidth="1"/>
    <col min="14082" max="14082" width="32.85546875" style="76" customWidth="1"/>
    <col min="14083" max="14083" width="55.28515625" style="76" customWidth="1"/>
    <col min="14084" max="14336" width="9.140625" style="76"/>
    <col min="14337" max="14337" width="5.5703125" style="76" customWidth="1"/>
    <col min="14338" max="14338" width="32.85546875" style="76" customWidth="1"/>
    <col min="14339" max="14339" width="55.28515625" style="76" customWidth="1"/>
    <col min="14340" max="14592" width="9.140625" style="76"/>
    <col min="14593" max="14593" width="5.5703125" style="76" customWidth="1"/>
    <col min="14594" max="14594" width="32.85546875" style="76" customWidth="1"/>
    <col min="14595" max="14595" width="55.28515625" style="76" customWidth="1"/>
    <col min="14596" max="14848" width="9.140625" style="76"/>
    <col min="14849" max="14849" width="5.5703125" style="76" customWidth="1"/>
    <col min="14850" max="14850" width="32.85546875" style="76" customWidth="1"/>
    <col min="14851" max="14851" width="55.28515625" style="76" customWidth="1"/>
    <col min="14852" max="15104" width="9.140625" style="76"/>
    <col min="15105" max="15105" width="5.5703125" style="76" customWidth="1"/>
    <col min="15106" max="15106" width="32.85546875" style="76" customWidth="1"/>
    <col min="15107" max="15107" width="55.28515625" style="76" customWidth="1"/>
    <col min="15108" max="15360" width="9.140625" style="76"/>
    <col min="15361" max="15361" width="5.5703125" style="76" customWidth="1"/>
    <col min="15362" max="15362" width="32.85546875" style="76" customWidth="1"/>
    <col min="15363" max="15363" width="55.28515625" style="76" customWidth="1"/>
    <col min="15364" max="15616" width="9.140625" style="76"/>
    <col min="15617" max="15617" width="5.5703125" style="76" customWidth="1"/>
    <col min="15618" max="15618" width="32.85546875" style="76" customWidth="1"/>
    <col min="15619" max="15619" width="55.28515625" style="76" customWidth="1"/>
    <col min="15620" max="15872" width="9.140625" style="76"/>
    <col min="15873" max="15873" width="5.5703125" style="76" customWidth="1"/>
    <col min="15874" max="15874" width="32.85546875" style="76" customWidth="1"/>
    <col min="15875" max="15875" width="55.28515625" style="76" customWidth="1"/>
    <col min="15876" max="16128" width="9.140625" style="76"/>
    <col min="16129" max="16129" width="5.5703125" style="76" customWidth="1"/>
    <col min="16130" max="16130" width="32.85546875" style="76" customWidth="1"/>
    <col min="16131" max="16131" width="55.28515625" style="76" customWidth="1"/>
    <col min="16132" max="16384" width="9.140625" style="76"/>
  </cols>
  <sheetData>
    <row r="1" spans="1:6" ht="48.75" customHeight="1" thickBot="1" x14ac:dyDescent="0.35">
      <c r="A1" s="630" t="s">
        <v>417</v>
      </c>
      <c r="B1" s="630"/>
      <c r="C1" s="630"/>
      <c r="D1" s="630"/>
      <c r="E1" s="630"/>
      <c r="F1" s="630"/>
    </row>
    <row r="2" spans="1:6" ht="50.25" customHeight="1" x14ac:dyDescent="0.3">
      <c r="A2" s="306">
        <v>1</v>
      </c>
      <c r="B2" s="307" t="s">
        <v>229</v>
      </c>
      <c r="C2" s="631" t="str">
        <f>SERVICE!$C$2</f>
        <v/>
      </c>
      <c r="D2" s="631"/>
      <c r="E2" s="631"/>
      <c r="F2" s="632"/>
    </row>
    <row r="3" spans="1:6" ht="36.75" customHeight="1" x14ac:dyDescent="0.3">
      <c r="A3" s="353">
        <v>2</v>
      </c>
      <c r="B3" s="77" t="s">
        <v>28</v>
      </c>
      <c r="C3" s="633">
        <f>SERVICE!$C$3</f>
        <v>0</v>
      </c>
      <c r="D3" s="633"/>
      <c r="E3" s="633"/>
      <c r="F3" s="634"/>
    </row>
    <row r="4" spans="1:6" ht="36.75" customHeight="1" x14ac:dyDescent="0.3">
      <c r="A4" s="353">
        <v>3</v>
      </c>
      <c r="B4" s="77" t="s">
        <v>416</v>
      </c>
      <c r="C4" s="633">
        <f>'DATA INPUT'!$C$13</f>
        <v>0</v>
      </c>
      <c r="D4" s="633"/>
      <c r="E4" s="633"/>
      <c r="F4" s="634"/>
    </row>
    <row r="5" spans="1:6" ht="36.75" customHeight="1" x14ac:dyDescent="0.3">
      <c r="A5" s="353">
        <v>4</v>
      </c>
      <c r="B5" s="77" t="s">
        <v>230</v>
      </c>
      <c r="C5" s="635">
        <f>PROFORMA!$C$4</f>
        <v>0</v>
      </c>
      <c r="D5" s="635"/>
      <c r="E5" s="635"/>
      <c r="F5" s="636"/>
    </row>
    <row r="6" spans="1:6" ht="36.75" customHeight="1" x14ac:dyDescent="0.3">
      <c r="A6" s="353">
        <v>5</v>
      </c>
      <c r="B6" s="77" t="s">
        <v>231</v>
      </c>
      <c r="C6" s="635">
        <f>'DATA INPUT'!$C$8</f>
        <v>0</v>
      </c>
      <c r="D6" s="635"/>
      <c r="E6" s="635"/>
      <c r="F6" s="636"/>
    </row>
    <row r="7" spans="1:6" ht="36.75" customHeight="1" x14ac:dyDescent="0.3">
      <c r="A7" s="353">
        <v>6</v>
      </c>
      <c r="B7" s="77" t="s">
        <v>232</v>
      </c>
      <c r="C7" s="635">
        <f>PROFORMA!$C$5</f>
        <v>0</v>
      </c>
      <c r="D7" s="635"/>
      <c r="E7" s="635"/>
      <c r="F7" s="636"/>
    </row>
    <row r="8" spans="1:6" ht="36.75" customHeight="1" x14ac:dyDescent="0.3">
      <c r="A8" s="353">
        <v>7</v>
      </c>
      <c r="B8" s="77" t="s">
        <v>233</v>
      </c>
      <c r="C8" s="311" t="s">
        <v>403</v>
      </c>
      <c r="D8" s="313"/>
      <c r="E8" s="305" t="s">
        <v>85</v>
      </c>
      <c r="F8" s="315"/>
    </row>
    <row r="9" spans="1:6" ht="33.75" customHeight="1" x14ac:dyDescent="0.3">
      <c r="A9" s="628" t="s">
        <v>222</v>
      </c>
      <c r="B9" s="629"/>
      <c r="C9" s="311" t="s">
        <v>404</v>
      </c>
      <c r="D9" s="313"/>
      <c r="E9" s="305" t="s">
        <v>85</v>
      </c>
      <c r="F9" s="315"/>
    </row>
    <row r="10" spans="1:6" ht="33.75" customHeight="1" x14ac:dyDescent="0.3">
      <c r="A10" s="628"/>
      <c r="B10" s="629"/>
      <c r="C10" s="311" t="s">
        <v>405</v>
      </c>
      <c r="D10" s="313"/>
      <c r="E10" s="305" t="s">
        <v>85</v>
      </c>
      <c r="F10" s="315"/>
    </row>
    <row r="11" spans="1:6" ht="33.75" customHeight="1" x14ac:dyDescent="0.3">
      <c r="A11" s="628"/>
      <c r="B11" s="629"/>
      <c r="C11" s="311" t="s">
        <v>406</v>
      </c>
      <c r="D11" s="312"/>
      <c r="E11" s="305" t="s">
        <v>85</v>
      </c>
      <c r="F11" s="314"/>
    </row>
    <row r="12" spans="1:6" ht="33.75" customHeight="1" x14ac:dyDescent="0.3">
      <c r="A12" s="628"/>
      <c r="B12" s="629"/>
      <c r="C12" s="311" t="s">
        <v>407</v>
      </c>
      <c r="D12" s="312"/>
      <c r="E12" s="305" t="s">
        <v>85</v>
      </c>
      <c r="F12" s="314"/>
    </row>
    <row r="13" spans="1:6" ht="74.25" customHeight="1" x14ac:dyDescent="0.3">
      <c r="A13" s="353">
        <v>8</v>
      </c>
      <c r="B13" s="77" t="s">
        <v>234</v>
      </c>
      <c r="C13" s="629"/>
      <c r="D13" s="629"/>
      <c r="E13" s="629"/>
      <c r="F13" s="637"/>
    </row>
    <row r="14" spans="1:6" ht="75.75" customHeight="1" x14ac:dyDescent="0.3">
      <c r="A14" s="638" t="s">
        <v>235</v>
      </c>
      <c r="B14" s="639"/>
      <c r="C14" s="639"/>
      <c r="D14" s="639"/>
      <c r="E14" s="639"/>
      <c r="F14" s="640"/>
    </row>
    <row r="15" spans="1:6" ht="33" customHeight="1" thickBot="1" x14ac:dyDescent="0.35">
      <c r="A15" s="625" t="s">
        <v>408</v>
      </c>
      <c r="B15" s="626"/>
      <c r="C15" s="626"/>
      <c r="D15" s="309"/>
      <c r="E15" s="308" t="s">
        <v>85</v>
      </c>
      <c r="F15" s="310"/>
    </row>
    <row r="16" spans="1:6" ht="60.75" customHeight="1" x14ac:dyDescent="0.3">
      <c r="A16" s="78"/>
      <c r="B16" s="78"/>
      <c r="C16" s="78"/>
    </row>
    <row r="17" spans="1:3" x14ac:dyDescent="0.3">
      <c r="B17" s="79"/>
      <c r="C17" s="80" t="s">
        <v>236</v>
      </c>
    </row>
    <row r="18" spans="1:3" ht="39.75" customHeight="1" x14ac:dyDescent="0.3">
      <c r="A18" s="627" t="s">
        <v>237</v>
      </c>
      <c r="B18" s="627"/>
    </row>
  </sheetData>
  <sheetProtection password="C345" sheet="1" objects="1" scenarios="1" selectLockedCells="1"/>
  <mergeCells count="12">
    <mergeCell ref="A15:C15"/>
    <mergeCell ref="A18:B18"/>
    <mergeCell ref="A9:B12"/>
    <mergeCell ref="A1:F1"/>
    <mergeCell ref="C2:F2"/>
    <mergeCell ref="C3:F3"/>
    <mergeCell ref="C5:F5"/>
    <mergeCell ref="C6:F6"/>
    <mergeCell ref="C7:F7"/>
    <mergeCell ref="C13:F13"/>
    <mergeCell ref="A14:F14"/>
    <mergeCell ref="C4:F4"/>
  </mergeCells>
  <printOptions horizontalCentered="1"/>
  <pageMargins left="0.39370078740157483" right="0.39370078740157483" top="0.39370078740157483"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2060"/>
  </sheetPr>
  <dimension ref="A1:E20"/>
  <sheetViews>
    <sheetView zoomScaleNormal="100" workbookViewId="0">
      <selection activeCell="B5" sqref="B5"/>
    </sheetView>
  </sheetViews>
  <sheetFormatPr defaultRowHeight="15" x14ac:dyDescent="0.25"/>
  <cols>
    <col min="1" max="1" width="4.85546875" style="39" customWidth="1"/>
    <col min="2" max="2" width="32.85546875" style="17" customWidth="1"/>
    <col min="3" max="3" width="23.85546875" style="17" customWidth="1"/>
    <col min="4" max="5" width="17.140625" style="17" customWidth="1"/>
    <col min="6" max="16384" width="9.140625" style="39"/>
  </cols>
  <sheetData>
    <row r="1" spans="1:5" s="71" customFormat="1" ht="24.75" customHeight="1" x14ac:dyDescent="0.3">
      <c r="A1" s="641" t="s">
        <v>220</v>
      </c>
      <c r="B1" s="641"/>
      <c r="C1" s="641"/>
      <c r="D1" s="641"/>
      <c r="E1" s="641"/>
    </row>
    <row r="2" spans="1:5" s="71" customFormat="1" ht="49.5" customHeight="1" x14ac:dyDescent="0.3">
      <c r="A2" s="648" t="s">
        <v>221</v>
      </c>
      <c r="B2" s="648"/>
      <c r="C2" s="583" t="str">
        <f>'FORM 7A'!$C$3</f>
        <v/>
      </c>
      <c r="D2" s="584"/>
      <c r="E2" s="585"/>
    </row>
    <row r="3" spans="1:5" ht="23.25" customHeight="1" x14ac:dyDescent="0.25">
      <c r="A3" s="648" t="s">
        <v>115</v>
      </c>
      <c r="B3" s="648"/>
      <c r="C3" s="645">
        <f>'DATA INPUT'!$C$11</f>
        <v>0</v>
      </c>
      <c r="D3" s="646"/>
      <c r="E3" s="647"/>
    </row>
    <row r="4" spans="1:5" s="74" customFormat="1" ht="30" x14ac:dyDescent="0.25">
      <c r="A4" s="72" t="s">
        <v>168</v>
      </c>
      <c r="B4" s="73" t="s">
        <v>27</v>
      </c>
      <c r="C4" s="73" t="s">
        <v>28</v>
      </c>
      <c r="D4" s="73" t="s">
        <v>29</v>
      </c>
      <c r="E4" s="73" t="s">
        <v>30</v>
      </c>
    </row>
    <row r="5" spans="1:5" ht="68.25" customHeight="1" x14ac:dyDescent="0.25">
      <c r="A5" s="27">
        <v>1</v>
      </c>
      <c r="B5" s="95"/>
      <c r="C5" s="37"/>
      <c r="D5" s="92"/>
      <c r="E5" s="92"/>
    </row>
    <row r="6" spans="1:5" ht="56.25" customHeight="1" x14ac:dyDescent="0.25">
      <c r="A6" s="27">
        <v>2</v>
      </c>
      <c r="B6" s="95"/>
      <c r="C6" s="94"/>
      <c r="D6" s="92"/>
      <c r="E6" s="92"/>
    </row>
    <row r="7" spans="1:5" ht="56.25" customHeight="1" x14ac:dyDescent="0.25">
      <c r="A7" s="27">
        <v>3</v>
      </c>
      <c r="B7" s="95"/>
      <c r="C7" s="37"/>
      <c r="D7" s="92"/>
      <c r="E7" s="92"/>
    </row>
    <row r="8" spans="1:5" ht="78.75" customHeight="1" x14ac:dyDescent="0.25">
      <c r="A8" s="27">
        <v>4</v>
      </c>
      <c r="B8" s="95"/>
      <c r="C8" s="37"/>
      <c r="D8" s="92"/>
      <c r="E8" s="92"/>
    </row>
    <row r="9" spans="1:5" ht="59.25" customHeight="1" x14ac:dyDescent="0.25">
      <c r="A9" s="27">
        <v>5</v>
      </c>
      <c r="B9" s="95"/>
      <c r="C9" s="37"/>
      <c r="D9" s="92"/>
      <c r="E9" s="92"/>
    </row>
    <row r="10" spans="1:5" ht="50.25" customHeight="1" x14ac:dyDescent="0.25">
      <c r="A10" s="27">
        <v>6</v>
      </c>
      <c r="B10" s="95"/>
      <c r="C10" s="95"/>
      <c r="D10" s="92"/>
      <c r="E10" s="92"/>
    </row>
    <row r="11" spans="1:5" ht="51" customHeight="1" x14ac:dyDescent="0.25">
      <c r="A11" s="27">
        <v>7</v>
      </c>
      <c r="B11" s="37"/>
      <c r="C11" s="37"/>
      <c r="D11" s="89"/>
      <c r="E11" s="89"/>
    </row>
    <row r="12" spans="1:5" ht="51" customHeight="1" x14ac:dyDescent="0.25">
      <c r="A12" s="27">
        <v>8</v>
      </c>
      <c r="B12" s="37"/>
      <c r="C12" s="37"/>
      <c r="D12" s="89"/>
      <c r="E12" s="89"/>
    </row>
    <row r="13" spans="1:5" ht="41.25" customHeight="1" x14ac:dyDescent="0.25">
      <c r="A13" s="27">
        <v>9</v>
      </c>
      <c r="B13" s="37"/>
      <c r="C13" s="37"/>
      <c r="D13" s="89"/>
      <c r="E13" s="89"/>
    </row>
    <row r="14" spans="1:5" ht="41.25" customHeight="1" x14ac:dyDescent="0.25">
      <c r="A14" s="27">
        <v>10</v>
      </c>
      <c r="B14" s="37"/>
      <c r="C14" s="37"/>
      <c r="D14" s="89"/>
      <c r="E14" s="89"/>
    </row>
    <row r="15" spans="1:5" ht="31.5" customHeight="1" x14ac:dyDescent="0.25"/>
    <row r="16" spans="1:5" ht="19.5" customHeight="1" x14ac:dyDescent="0.25">
      <c r="C16" s="642" t="s">
        <v>25</v>
      </c>
      <c r="D16" s="642"/>
      <c r="E16" s="642"/>
    </row>
    <row r="17" spans="2:4" ht="11.25" customHeight="1" x14ac:dyDescent="0.25"/>
    <row r="18" spans="2:4" ht="15.75" x14ac:dyDescent="0.25">
      <c r="B18" s="643" t="s">
        <v>21</v>
      </c>
      <c r="C18" s="643"/>
    </row>
    <row r="19" spans="2:4" ht="19.5" customHeight="1" x14ac:dyDescent="0.25">
      <c r="B19" s="75"/>
    </row>
    <row r="20" spans="2:4" ht="37.5" customHeight="1" x14ac:dyDescent="0.25">
      <c r="B20" s="644" t="s">
        <v>26</v>
      </c>
      <c r="C20" s="644"/>
      <c r="D20" s="17" t="s">
        <v>222</v>
      </c>
    </row>
  </sheetData>
  <sheetProtection password="C345" sheet="1" objects="1" scenarios="1" selectLockedCells="1"/>
  <mergeCells count="8">
    <mergeCell ref="A1:E1"/>
    <mergeCell ref="C16:E16"/>
    <mergeCell ref="B18:C18"/>
    <mergeCell ref="B20:C20"/>
    <mergeCell ref="C2:E2"/>
    <mergeCell ref="C3:E3"/>
    <mergeCell ref="A2:B2"/>
    <mergeCell ref="A3:B3"/>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tint="-0.499984740745262"/>
  </sheetPr>
  <dimension ref="A1:C40"/>
  <sheetViews>
    <sheetView workbookViewId="0">
      <selection sqref="A1:C1"/>
    </sheetView>
  </sheetViews>
  <sheetFormatPr defaultRowHeight="15" x14ac:dyDescent="0.25"/>
  <cols>
    <col min="1" max="1" width="4.85546875" style="107" customWidth="1"/>
    <col min="2" max="2" width="78.5703125" style="107" customWidth="1"/>
    <col min="3" max="3" width="7.140625" style="107" customWidth="1"/>
    <col min="4" max="16384" width="9.140625" style="107"/>
  </cols>
  <sheetData>
    <row r="1" spans="1:3" ht="36.75" customHeight="1" x14ac:dyDescent="0.25">
      <c r="A1" s="649" t="s">
        <v>305</v>
      </c>
      <c r="B1" s="649"/>
      <c r="C1" s="649"/>
    </row>
    <row r="2" spans="1:3" ht="18" customHeight="1" x14ac:dyDescent="0.25"/>
    <row r="3" spans="1:3" ht="18" customHeight="1" x14ac:dyDescent="0.25">
      <c r="A3" s="109">
        <v>1</v>
      </c>
      <c r="B3" s="107" t="s">
        <v>36</v>
      </c>
      <c r="C3" s="110"/>
    </row>
    <row r="4" spans="1:3" ht="18" customHeight="1" x14ac:dyDescent="0.25">
      <c r="A4" s="109"/>
      <c r="C4" s="110"/>
    </row>
    <row r="5" spans="1:3" ht="18" customHeight="1" x14ac:dyDescent="0.25">
      <c r="A5" s="109">
        <v>2</v>
      </c>
      <c r="B5" s="107" t="s">
        <v>319</v>
      </c>
      <c r="C5" s="110"/>
    </row>
    <row r="6" spans="1:3" ht="18" customHeight="1" x14ac:dyDescent="0.25">
      <c r="A6" s="109"/>
      <c r="C6" s="110"/>
    </row>
    <row r="7" spans="1:3" ht="18" customHeight="1" x14ac:dyDescent="0.25">
      <c r="A7" s="109">
        <v>3</v>
      </c>
      <c r="B7" s="107" t="s">
        <v>285</v>
      </c>
      <c r="C7" s="110"/>
    </row>
    <row r="8" spans="1:3" ht="18" customHeight="1" x14ac:dyDescent="0.25">
      <c r="A8" s="109"/>
      <c r="C8" s="110"/>
    </row>
    <row r="9" spans="1:3" ht="30" x14ac:dyDescent="0.25">
      <c r="A9" s="109">
        <v>4</v>
      </c>
      <c r="B9" s="107" t="s">
        <v>286</v>
      </c>
      <c r="C9" s="110"/>
    </row>
    <row r="10" spans="1:3" ht="18" customHeight="1" x14ac:dyDescent="0.25">
      <c r="A10" s="109"/>
      <c r="C10" s="110"/>
    </row>
    <row r="11" spans="1:3" ht="18" customHeight="1" x14ac:dyDescent="0.25">
      <c r="A11" s="109">
        <v>5</v>
      </c>
      <c r="B11" s="107" t="s">
        <v>287</v>
      </c>
      <c r="C11" s="110"/>
    </row>
    <row r="12" spans="1:3" ht="18" customHeight="1" x14ac:dyDescent="0.25">
      <c r="A12" s="109"/>
      <c r="C12" s="110"/>
    </row>
    <row r="13" spans="1:3" ht="18" customHeight="1" x14ac:dyDescent="0.25">
      <c r="A13" s="109">
        <v>6</v>
      </c>
      <c r="B13" s="107" t="s">
        <v>288</v>
      </c>
      <c r="C13" s="110"/>
    </row>
    <row r="14" spans="1:3" ht="18" customHeight="1" x14ac:dyDescent="0.25">
      <c r="A14" s="109"/>
      <c r="C14" s="110"/>
    </row>
    <row r="15" spans="1:3" ht="18" customHeight="1" x14ac:dyDescent="0.25">
      <c r="A15" s="109">
        <v>7</v>
      </c>
      <c r="B15" s="107" t="s">
        <v>289</v>
      </c>
      <c r="C15" s="110"/>
    </row>
    <row r="16" spans="1:3" ht="18" customHeight="1" x14ac:dyDescent="0.25">
      <c r="A16" s="109"/>
      <c r="C16" s="110"/>
    </row>
    <row r="17" spans="1:3" ht="18" customHeight="1" x14ac:dyDescent="0.25">
      <c r="A17" s="109">
        <v>8</v>
      </c>
      <c r="B17" s="107" t="s">
        <v>290</v>
      </c>
      <c r="C17" s="110"/>
    </row>
    <row r="18" spans="1:3" ht="18" customHeight="1" x14ac:dyDescent="0.25">
      <c r="A18" s="109"/>
      <c r="C18" s="110"/>
    </row>
    <row r="19" spans="1:3" ht="18" customHeight="1" x14ac:dyDescent="0.25">
      <c r="A19" s="109">
        <v>9</v>
      </c>
      <c r="B19" s="107" t="s">
        <v>291</v>
      </c>
      <c r="C19" s="110"/>
    </row>
    <row r="20" spans="1:3" ht="18" customHeight="1" x14ac:dyDescent="0.25">
      <c r="A20" s="109"/>
      <c r="C20" s="110"/>
    </row>
    <row r="21" spans="1:3" ht="18" customHeight="1" x14ac:dyDescent="0.25">
      <c r="A21" s="109">
        <v>10</v>
      </c>
      <c r="B21" s="107" t="s">
        <v>292</v>
      </c>
      <c r="C21" s="110"/>
    </row>
    <row r="22" spans="1:3" ht="18" customHeight="1" x14ac:dyDescent="0.25">
      <c r="A22" s="109"/>
      <c r="B22" s="107" t="s">
        <v>293</v>
      </c>
      <c r="C22" s="110"/>
    </row>
    <row r="23" spans="1:3" ht="18" customHeight="1" x14ac:dyDescent="0.25">
      <c r="A23" s="109"/>
      <c r="B23" s="107" t="s">
        <v>294</v>
      </c>
      <c r="C23" s="110"/>
    </row>
    <row r="24" spans="1:3" ht="18" customHeight="1" x14ac:dyDescent="0.25">
      <c r="A24" s="109"/>
      <c r="B24" s="107" t="s">
        <v>295</v>
      </c>
      <c r="C24" s="110"/>
    </row>
    <row r="25" spans="1:3" ht="18" customHeight="1" x14ac:dyDescent="0.25">
      <c r="A25" s="109"/>
      <c r="C25" s="110"/>
    </row>
    <row r="26" spans="1:3" ht="45" x14ac:dyDescent="0.25">
      <c r="A26" s="109">
        <v>11</v>
      </c>
      <c r="B26" s="107" t="s">
        <v>302</v>
      </c>
      <c r="C26" s="110"/>
    </row>
    <row r="27" spans="1:3" ht="18" customHeight="1" x14ac:dyDescent="0.25">
      <c r="A27" s="109"/>
      <c r="C27" s="110"/>
    </row>
    <row r="28" spans="1:3" ht="18" customHeight="1" x14ac:dyDescent="0.25">
      <c r="A28" s="109">
        <v>12</v>
      </c>
      <c r="B28" s="107" t="s">
        <v>296</v>
      </c>
      <c r="C28" s="110"/>
    </row>
    <row r="29" spans="1:3" ht="18" customHeight="1" x14ac:dyDescent="0.25">
      <c r="A29" s="109"/>
      <c r="C29" s="110"/>
    </row>
    <row r="30" spans="1:3" ht="18" customHeight="1" x14ac:dyDescent="0.25">
      <c r="A30" s="109">
        <v>13</v>
      </c>
      <c r="B30" s="107" t="s">
        <v>297</v>
      </c>
      <c r="C30" s="110"/>
    </row>
    <row r="31" spans="1:3" ht="18" customHeight="1" x14ac:dyDescent="0.25">
      <c r="A31" s="109"/>
      <c r="C31" s="110"/>
    </row>
    <row r="32" spans="1:3" ht="18" customHeight="1" x14ac:dyDescent="0.25">
      <c r="A32" s="109">
        <v>14</v>
      </c>
      <c r="B32" s="107" t="s">
        <v>298</v>
      </c>
      <c r="C32" s="110"/>
    </row>
    <row r="33" spans="1:3" ht="18" customHeight="1" x14ac:dyDescent="0.25">
      <c r="A33" s="109"/>
      <c r="C33" s="110"/>
    </row>
    <row r="34" spans="1:3" ht="18" customHeight="1" x14ac:dyDescent="0.25">
      <c r="A34" s="109">
        <v>15</v>
      </c>
      <c r="B34" s="107" t="s">
        <v>299</v>
      </c>
      <c r="C34" s="110"/>
    </row>
    <row r="35" spans="1:3" ht="18" customHeight="1" x14ac:dyDescent="0.25">
      <c r="A35" s="109"/>
      <c r="C35" s="110"/>
    </row>
    <row r="36" spans="1:3" ht="18" customHeight="1" x14ac:dyDescent="0.25">
      <c r="A36" s="109">
        <v>16</v>
      </c>
      <c r="B36" s="107" t="s">
        <v>300</v>
      </c>
      <c r="C36" s="110"/>
    </row>
    <row r="37" spans="1:3" ht="18" customHeight="1" x14ac:dyDescent="0.25">
      <c r="A37" s="109"/>
      <c r="C37" s="110"/>
    </row>
    <row r="38" spans="1:3" ht="45" x14ac:dyDescent="0.25">
      <c r="A38" s="109">
        <v>17</v>
      </c>
      <c r="B38" s="107" t="s">
        <v>301</v>
      </c>
      <c r="C38" s="110"/>
    </row>
    <row r="39" spans="1:3" ht="18.75" x14ac:dyDescent="0.25">
      <c r="A39" s="108"/>
    </row>
    <row r="40" spans="1:3" ht="18.75" x14ac:dyDescent="0.25">
      <c r="A40" s="108"/>
    </row>
  </sheetData>
  <sheetProtection password="C345" sheet="1" objects="1" scenarios="1" selectLockedCells="1"/>
  <mergeCells count="1">
    <mergeCell ref="A1:C1"/>
  </mergeCells>
  <printOptions horizontalCentered="1"/>
  <pageMargins left="0.39370078740157483" right="0.39370078740157483" top="0.39370078740157483" bottom="0.39370078740157483" header="0.11811023622047245" footer="0.11811023622047245"/>
  <pageSetup paperSize="9" orientation="portrait" r:id="rId1"/>
  <headerFooter>
    <oddHeader>&amp;L&amp;"-,Italic"psh*</oddHeader>
    <oddFooter>&amp;R&amp;"-,Italic"Psh*</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499984740745262"/>
  </sheetPr>
  <dimension ref="A1:D20"/>
  <sheetViews>
    <sheetView workbookViewId="0">
      <selection activeCell="B7" sqref="B7"/>
    </sheetView>
  </sheetViews>
  <sheetFormatPr defaultColWidth="33.5703125" defaultRowHeight="22.5" x14ac:dyDescent="0.55000000000000004"/>
  <cols>
    <col min="1" max="1" width="7.28515625" style="81" bestFit="1" customWidth="1"/>
    <col min="2" max="2" width="31.42578125" style="81" customWidth="1"/>
    <col min="3" max="3" width="24.140625" style="81" customWidth="1"/>
    <col min="4" max="4" width="22.140625" style="81" customWidth="1"/>
    <col min="5" max="5" width="20.42578125" style="81" customWidth="1"/>
    <col min="6" max="7" width="27.42578125" style="81" customWidth="1"/>
    <col min="8" max="16384" width="33.5703125" style="81"/>
  </cols>
  <sheetData>
    <row r="1" spans="1:4" ht="27.75" x14ac:dyDescent="0.65">
      <c r="A1" s="650" t="s">
        <v>227</v>
      </c>
      <c r="B1" s="650"/>
      <c r="C1" s="650"/>
      <c r="D1" s="650"/>
    </row>
    <row r="2" spans="1:4" ht="19.5" customHeight="1" x14ac:dyDescent="0.55000000000000004"/>
    <row r="3" spans="1:4" ht="27" customHeight="1" x14ac:dyDescent="0.55000000000000004">
      <c r="A3" s="652" t="s">
        <v>248</v>
      </c>
      <c r="B3" s="652"/>
      <c r="C3" s="652"/>
      <c r="D3" s="652"/>
    </row>
    <row r="4" spans="1:4" ht="81" customHeight="1" x14ac:dyDescent="0.55000000000000004">
      <c r="A4" s="651" t="s">
        <v>247</v>
      </c>
      <c r="B4" s="651"/>
      <c r="C4" s="651"/>
      <c r="D4" s="651"/>
    </row>
    <row r="5" spans="1:4" ht="12.75" customHeight="1" x14ac:dyDescent="0.55000000000000004"/>
    <row r="6" spans="1:4" ht="45" x14ac:dyDescent="0.55000000000000004">
      <c r="A6" s="82" t="s">
        <v>226</v>
      </c>
      <c r="B6" s="82" t="s">
        <v>223</v>
      </c>
      <c r="C6" s="82" t="s">
        <v>224</v>
      </c>
      <c r="D6" s="82" t="s">
        <v>225</v>
      </c>
    </row>
    <row r="7" spans="1:4" ht="42.75" customHeight="1" x14ac:dyDescent="0.55000000000000004">
      <c r="A7" s="83">
        <v>1</v>
      </c>
      <c r="B7" s="93"/>
      <c r="C7" s="93"/>
      <c r="D7" s="93"/>
    </row>
    <row r="8" spans="1:4" ht="42.75" customHeight="1" x14ac:dyDescent="0.55000000000000004">
      <c r="A8" s="83">
        <v>2</v>
      </c>
      <c r="B8" s="93"/>
      <c r="C8" s="93"/>
      <c r="D8" s="93"/>
    </row>
    <row r="9" spans="1:4" ht="42.75" customHeight="1" x14ac:dyDescent="0.55000000000000004">
      <c r="A9" s="83">
        <v>3</v>
      </c>
      <c r="B9" s="93"/>
      <c r="C9" s="93"/>
      <c r="D9" s="93"/>
    </row>
    <row r="10" spans="1:4" ht="42.75" customHeight="1" x14ac:dyDescent="0.55000000000000004">
      <c r="A10" s="83">
        <v>4</v>
      </c>
      <c r="B10" s="93"/>
      <c r="C10" s="93"/>
      <c r="D10" s="93"/>
    </row>
    <row r="11" spans="1:4" ht="42.75" customHeight="1" x14ac:dyDescent="0.55000000000000004">
      <c r="A11" s="83">
        <v>5</v>
      </c>
      <c r="B11" s="93"/>
      <c r="C11" s="93"/>
      <c r="D11" s="93"/>
    </row>
    <row r="12" spans="1:4" ht="42.75" customHeight="1" x14ac:dyDescent="0.55000000000000004">
      <c r="A12" s="83">
        <v>6</v>
      </c>
      <c r="B12" s="93"/>
      <c r="C12" s="93"/>
      <c r="D12" s="93"/>
    </row>
    <row r="13" spans="1:4" s="84" customFormat="1" ht="42.75" customHeight="1" x14ac:dyDescent="0.6">
      <c r="A13" s="83">
        <v>7</v>
      </c>
      <c r="B13" s="93"/>
      <c r="C13" s="93"/>
      <c r="D13" s="93"/>
    </row>
    <row r="14" spans="1:4" ht="42.75" customHeight="1" x14ac:dyDescent="0.55000000000000004">
      <c r="A14" s="83">
        <v>8</v>
      </c>
      <c r="B14" s="93"/>
      <c r="C14" s="93"/>
      <c r="D14" s="93"/>
    </row>
    <row r="15" spans="1:4" ht="42.75" customHeight="1" x14ac:dyDescent="0.55000000000000004">
      <c r="A15" s="83">
        <v>9</v>
      </c>
      <c r="B15" s="93"/>
      <c r="C15" s="93"/>
      <c r="D15" s="93"/>
    </row>
    <row r="16" spans="1:4" ht="42.75" customHeight="1" x14ac:dyDescent="0.55000000000000004">
      <c r="A16" s="83">
        <v>10</v>
      </c>
      <c r="B16" s="93"/>
      <c r="C16" s="93"/>
      <c r="D16" s="93"/>
    </row>
    <row r="17" spans="1:4" ht="45.75" customHeight="1" x14ac:dyDescent="0.55000000000000004">
      <c r="A17" s="83">
        <v>11</v>
      </c>
      <c r="B17" s="93"/>
      <c r="C17" s="93"/>
      <c r="D17" s="93"/>
    </row>
    <row r="18" spans="1:4" ht="45.75" customHeight="1" x14ac:dyDescent="0.55000000000000004">
      <c r="A18" s="83">
        <v>12</v>
      </c>
      <c r="B18" s="93"/>
      <c r="C18" s="93"/>
      <c r="D18" s="93"/>
    </row>
    <row r="19" spans="1:4" ht="49.5" customHeight="1" x14ac:dyDescent="0.55000000000000004"/>
    <row r="20" spans="1:4" ht="24.75" x14ac:dyDescent="0.6">
      <c r="C20" s="85" t="s">
        <v>228</v>
      </c>
    </row>
  </sheetData>
  <sheetProtection password="C345" sheet="1" objects="1" scenarios="1" selectLockedCells="1"/>
  <mergeCells count="3">
    <mergeCell ref="A1:D1"/>
    <mergeCell ref="A4:D4"/>
    <mergeCell ref="A3:D3"/>
  </mergeCells>
  <printOptions horizontalCentered="1"/>
  <pageMargins left="0.39370078740157483" right="0.39370078740157483"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tint="-0.499984740745262"/>
  </sheetPr>
  <dimension ref="A1:BM106"/>
  <sheetViews>
    <sheetView workbookViewId="0"/>
  </sheetViews>
  <sheetFormatPr defaultRowHeight="15" x14ac:dyDescent="0.25"/>
  <cols>
    <col min="1" max="1" width="9.5703125" style="156" customWidth="1"/>
    <col min="2" max="3" width="10.5703125" style="157" customWidth="1"/>
    <col min="4" max="4" width="10.28515625" style="157" customWidth="1"/>
    <col min="5" max="5" width="14.28515625" style="157" customWidth="1"/>
    <col min="6" max="6" width="6.140625" style="157" bestFit="1" customWidth="1"/>
    <col min="7" max="7" width="6.5703125" style="157" customWidth="1"/>
    <col min="8" max="8" width="6.28515625" style="157" customWidth="1"/>
    <col min="9" max="11" width="7.7109375" style="157" customWidth="1"/>
    <col min="12" max="12" width="24.5703125" style="121" customWidth="1"/>
    <col min="13" max="14" width="8.85546875" style="158" customWidth="1"/>
    <col min="15" max="15" width="11" style="159" customWidth="1"/>
    <col min="16" max="16" width="10.7109375" style="159" customWidth="1"/>
    <col min="17" max="17" width="11.140625" style="159" customWidth="1"/>
    <col min="18" max="19" width="10.7109375" style="159" customWidth="1"/>
    <col min="20" max="20" width="11.7109375" style="160" customWidth="1"/>
    <col min="21" max="21" width="8.7109375" style="160" customWidth="1"/>
    <col min="22" max="22" width="7.42578125" style="160" customWidth="1"/>
    <col min="23" max="23" width="7.85546875" style="160" bestFit="1" customWidth="1"/>
    <col min="24" max="24" width="7" style="160" customWidth="1"/>
    <col min="25" max="25" width="12.140625" style="160" customWidth="1"/>
    <col min="26" max="26" width="11.5703125" style="160" customWidth="1"/>
    <col min="27" max="27" width="10.140625" style="160" customWidth="1"/>
    <col min="28" max="28" width="8.28515625" style="160" customWidth="1"/>
    <col min="29" max="29" width="10.7109375" style="160" customWidth="1"/>
    <col min="30" max="30" width="13.42578125" style="160" customWidth="1"/>
    <col min="31" max="34" width="10.140625" style="160" customWidth="1"/>
    <col min="35" max="35" width="18.42578125" style="160" customWidth="1"/>
    <col min="36" max="36" width="11" style="160" customWidth="1"/>
    <col min="37" max="37" width="10.140625" style="160" customWidth="1"/>
    <col min="38" max="38" width="15.28515625" style="160" customWidth="1"/>
    <col min="39" max="40" width="9" style="121" customWidth="1"/>
    <col min="41" max="41" width="10.28515625" style="161" customWidth="1"/>
    <col min="42" max="42" width="11.5703125" style="161" customWidth="1"/>
    <col min="43" max="43" width="11.5703125" style="121" customWidth="1"/>
    <col min="44" max="44" width="10.85546875" style="121" customWidth="1"/>
    <col min="45" max="45" width="12" style="121" customWidth="1"/>
    <col min="46" max="46" width="11.42578125" style="121" customWidth="1"/>
    <col min="47" max="47" width="11.140625" style="121" customWidth="1"/>
    <col min="48" max="48" width="11.28515625" style="121" customWidth="1"/>
    <col min="49" max="51" width="8.28515625" style="121" customWidth="1"/>
    <col min="52" max="52" width="11.85546875" style="121" customWidth="1"/>
    <col min="53" max="53" width="11.7109375" style="121" customWidth="1"/>
    <col min="54" max="55" width="8.28515625" style="121" customWidth="1"/>
    <col min="56" max="56" width="15" style="121" customWidth="1"/>
    <col min="57" max="57" width="10.140625" style="121" customWidth="1"/>
    <col min="58" max="59" width="8.28515625" style="121" customWidth="1"/>
    <col min="60" max="60" width="8.28515625" style="121" hidden="1" customWidth="1"/>
    <col min="61" max="62" width="13" style="121" hidden="1" customWidth="1"/>
    <col min="63" max="65" width="8.28515625" style="121" hidden="1" customWidth="1"/>
    <col min="66" max="86" width="8.28515625" style="121" customWidth="1"/>
    <col min="87" max="87" width="24.7109375" style="121" customWidth="1"/>
    <col min="88" max="89" width="8.28515625" style="121" customWidth="1"/>
    <col min="90" max="90" width="12" style="121" customWidth="1"/>
    <col min="91" max="107" width="8.28515625" style="121" customWidth="1"/>
    <col min="108" max="267" width="9.140625" style="121"/>
    <col min="268" max="268" width="4.5703125" style="121" customWidth="1"/>
    <col min="269" max="269" width="22.5703125" style="121" customWidth="1"/>
    <col min="270" max="270" width="3.85546875" style="121" customWidth="1"/>
    <col min="271" max="271" width="4.140625" style="121" bestFit="1" customWidth="1"/>
    <col min="272" max="272" width="9.85546875" style="121" customWidth="1"/>
    <col min="273" max="274" width="6.7109375" style="121" bestFit="1" customWidth="1"/>
    <col min="275" max="275" width="8.140625" style="121" customWidth="1"/>
    <col min="276" max="276" width="9.140625" style="121" customWidth="1"/>
    <col min="277" max="277" width="10.28515625" style="121" bestFit="1" customWidth="1"/>
    <col min="278" max="278" width="4" style="121" bestFit="1" customWidth="1"/>
    <col min="279" max="279" width="3" style="121" bestFit="1" customWidth="1"/>
    <col min="280" max="280" width="8.140625" style="121" customWidth="1"/>
    <col min="281" max="281" width="9.140625" style="121" customWidth="1"/>
    <col min="282" max="282" width="8.140625" style="121" bestFit="1" customWidth="1"/>
    <col min="283" max="283" width="8" style="121" bestFit="1" customWidth="1"/>
    <col min="284" max="284" width="8.5703125" style="121" bestFit="1" customWidth="1"/>
    <col min="285" max="285" width="6" style="121" bestFit="1" customWidth="1"/>
    <col min="286" max="286" width="6.7109375" style="121" bestFit="1" customWidth="1"/>
    <col min="287" max="288" width="8.28515625" style="121" customWidth="1"/>
    <col min="289" max="289" width="6.7109375" style="121" customWidth="1"/>
    <col min="290" max="290" width="9.140625" style="121" customWidth="1"/>
    <col min="291" max="292" width="9.140625" style="121"/>
    <col min="293" max="363" width="8.28515625" style="121" customWidth="1"/>
    <col min="364" max="523" width="9.140625" style="121"/>
    <col min="524" max="524" width="4.5703125" style="121" customWidth="1"/>
    <col min="525" max="525" width="22.5703125" style="121" customWidth="1"/>
    <col min="526" max="526" width="3.85546875" style="121" customWidth="1"/>
    <col min="527" max="527" width="4.140625" style="121" bestFit="1" customWidth="1"/>
    <col min="528" max="528" width="9.85546875" style="121" customWidth="1"/>
    <col min="529" max="530" width="6.7109375" style="121" bestFit="1" customWidth="1"/>
    <col min="531" max="531" width="8.140625" style="121" customWidth="1"/>
    <col min="532" max="532" width="9.140625" style="121" customWidth="1"/>
    <col min="533" max="533" width="10.28515625" style="121" bestFit="1" customWidth="1"/>
    <col min="534" max="534" width="4" style="121" bestFit="1" customWidth="1"/>
    <col min="535" max="535" width="3" style="121" bestFit="1" customWidth="1"/>
    <col min="536" max="536" width="8.140625" style="121" customWidth="1"/>
    <col min="537" max="537" width="9.140625" style="121" customWidth="1"/>
    <col min="538" max="538" width="8.140625" style="121" bestFit="1" customWidth="1"/>
    <col min="539" max="539" width="8" style="121" bestFit="1" customWidth="1"/>
    <col min="540" max="540" width="8.5703125" style="121" bestFit="1" customWidth="1"/>
    <col min="541" max="541" width="6" style="121" bestFit="1" customWidth="1"/>
    <col min="542" max="542" width="6.7109375" style="121" bestFit="1" customWidth="1"/>
    <col min="543" max="544" width="8.28515625" style="121" customWidth="1"/>
    <col min="545" max="545" width="6.7109375" style="121" customWidth="1"/>
    <col min="546" max="546" width="9.140625" style="121" customWidth="1"/>
    <col min="547" max="548" width="9.140625" style="121"/>
    <col min="549" max="619" width="8.28515625" style="121" customWidth="1"/>
    <col min="620" max="779" width="9.140625" style="121"/>
    <col min="780" max="780" width="4.5703125" style="121" customWidth="1"/>
    <col min="781" max="781" width="22.5703125" style="121" customWidth="1"/>
    <col min="782" max="782" width="3.85546875" style="121" customWidth="1"/>
    <col min="783" max="783" width="4.140625" style="121" bestFit="1" customWidth="1"/>
    <col min="784" max="784" width="9.85546875" style="121" customWidth="1"/>
    <col min="785" max="786" width="6.7109375" style="121" bestFit="1" customWidth="1"/>
    <col min="787" max="787" width="8.140625" style="121" customWidth="1"/>
    <col min="788" max="788" width="9.140625" style="121" customWidth="1"/>
    <col min="789" max="789" width="10.28515625" style="121" bestFit="1" customWidth="1"/>
    <col min="790" max="790" width="4" style="121" bestFit="1" customWidth="1"/>
    <col min="791" max="791" width="3" style="121" bestFit="1" customWidth="1"/>
    <col min="792" max="792" width="8.140625" style="121" customWidth="1"/>
    <col min="793" max="793" width="9.140625" style="121" customWidth="1"/>
    <col min="794" max="794" width="8.140625" style="121" bestFit="1" customWidth="1"/>
    <col min="795" max="795" width="8" style="121" bestFit="1" customWidth="1"/>
    <col min="796" max="796" width="8.5703125" style="121" bestFit="1" customWidth="1"/>
    <col min="797" max="797" width="6" style="121" bestFit="1" customWidth="1"/>
    <col min="798" max="798" width="6.7109375" style="121" bestFit="1" customWidth="1"/>
    <col min="799" max="800" width="8.28515625" style="121" customWidth="1"/>
    <col min="801" max="801" width="6.7109375" style="121" customWidth="1"/>
    <col min="802" max="802" width="9.140625" style="121" customWidth="1"/>
    <col min="803" max="804" width="9.140625" style="121"/>
    <col min="805" max="875" width="8.28515625" style="121" customWidth="1"/>
    <col min="876" max="1035" width="9.140625" style="121"/>
    <col min="1036" max="1036" width="4.5703125" style="121" customWidth="1"/>
    <col min="1037" max="1037" width="22.5703125" style="121" customWidth="1"/>
    <col min="1038" max="1038" width="3.85546875" style="121" customWidth="1"/>
    <col min="1039" max="1039" width="4.140625" style="121" bestFit="1" customWidth="1"/>
    <col min="1040" max="1040" width="9.85546875" style="121" customWidth="1"/>
    <col min="1041" max="1042" width="6.7109375" style="121" bestFit="1" customWidth="1"/>
    <col min="1043" max="1043" width="8.140625" style="121" customWidth="1"/>
    <col min="1044" max="1044" width="9.140625" style="121" customWidth="1"/>
    <col min="1045" max="1045" width="10.28515625" style="121" bestFit="1" customWidth="1"/>
    <col min="1046" max="1046" width="4" style="121" bestFit="1" customWidth="1"/>
    <col min="1047" max="1047" width="3" style="121" bestFit="1" customWidth="1"/>
    <col min="1048" max="1048" width="8.140625" style="121" customWidth="1"/>
    <col min="1049" max="1049" width="9.140625" style="121" customWidth="1"/>
    <col min="1050" max="1050" width="8.140625" style="121" bestFit="1" customWidth="1"/>
    <col min="1051" max="1051" width="8" style="121" bestFit="1" customWidth="1"/>
    <col min="1052" max="1052" width="8.5703125" style="121" bestFit="1" customWidth="1"/>
    <col min="1053" max="1053" width="6" style="121" bestFit="1" customWidth="1"/>
    <col min="1054" max="1054" width="6.7109375" style="121" bestFit="1" customWidth="1"/>
    <col min="1055" max="1056" width="8.28515625" style="121" customWidth="1"/>
    <col min="1057" max="1057" width="6.7109375" style="121" customWidth="1"/>
    <col min="1058" max="1058" width="9.140625" style="121" customWidth="1"/>
    <col min="1059" max="1060" width="9.140625" style="121"/>
    <col min="1061" max="1131" width="8.28515625" style="121" customWidth="1"/>
    <col min="1132" max="1291" width="9.140625" style="121"/>
    <col min="1292" max="1292" width="4.5703125" style="121" customWidth="1"/>
    <col min="1293" max="1293" width="22.5703125" style="121" customWidth="1"/>
    <col min="1294" max="1294" width="3.85546875" style="121" customWidth="1"/>
    <col min="1295" max="1295" width="4.140625" style="121" bestFit="1" customWidth="1"/>
    <col min="1296" max="1296" width="9.85546875" style="121" customWidth="1"/>
    <col min="1297" max="1298" width="6.7109375" style="121" bestFit="1" customWidth="1"/>
    <col min="1299" max="1299" width="8.140625" style="121" customWidth="1"/>
    <col min="1300" max="1300" width="9.140625" style="121" customWidth="1"/>
    <col min="1301" max="1301" width="10.28515625" style="121" bestFit="1" customWidth="1"/>
    <col min="1302" max="1302" width="4" style="121" bestFit="1" customWidth="1"/>
    <col min="1303" max="1303" width="3" style="121" bestFit="1" customWidth="1"/>
    <col min="1304" max="1304" width="8.140625" style="121" customWidth="1"/>
    <col min="1305" max="1305" width="9.140625" style="121" customWidth="1"/>
    <col min="1306" max="1306" width="8.140625" style="121" bestFit="1" customWidth="1"/>
    <col min="1307" max="1307" width="8" style="121" bestFit="1" customWidth="1"/>
    <col min="1308" max="1308" width="8.5703125" style="121" bestFit="1" customWidth="1"/>
    <col min="1309" max="1309" width="6" style="121" bestFit="1" customWidth="1"/>
    <col min="1310" max="1310" width="6.7109375" style="121" bestFit="1" customWidth="1"/>
    <col min="1311" max="1312" width="8.28515625" style="121" customWidth="1"/>
    <col min="1313" max="1313" width="6.7109375" style="121" customWidth="1"/>
    <col min="1314" max="1314" width="9.140625" style="121" customWidth="1"/>
    <col min="1315" max="1316" width="9.140625" style="121"/>
    <col min="1317" max="1387" width="8.28515625" style="121" customWidth="1"/>
    <col min="1388" max="1547" width="9.140625" style="121"/>
    <col min="1548" max="1548" width="4.5703125" style="121" customWidth="1"/>
    <col min="1549" max="1549" width="22.5703125" style="121" customWidth="1"/>
    <col min="1550" max="1550" width="3.85546875" style="121" customWidth="1"/>
    <col min="1551" max="1551" width="4.140625" style="121" bestFit="1" customWidth="1"/>
    <col min="1552" max="1552" width="9.85546875" style="121" customWidth="1"/>
    <col min="1553" max="1554" width="6.7109375" style="121" bestFit="1" customWidth="1"/>
    <col min="1555" max="1555" width="8.140625" style="121" customWidth="1"/>
    <col min="1556" max="1556" width="9.140625" style="121" customWidth="1"/>
    <col min="1557" max="1557" width="10.28515625" style="121" bestFit="1" customWidth="1"/>
    <col min="1558" max="1558" width="4" style="121" bestFit="1" customWidth="1"/>
    <col min="1559" max="1559" width="3" style="121" bestFit="1" customWidth="1"/>
    <col min="1560" max="1560" width="8.140625" style="121" customWidth="1"/>
    <col min="1561" max="1561" width="9.140625" style="121" customWidth="1"/>
    <col min="1562" max="1562" width="8.140625" style="121" bestFit="1" customWidth="1"/>
    <col min="1563" max="1563" width="8" style="121" bestFit="1" customWidth="1"/>
    <col min="1564" max="1564" width="8.5703125" style="121" bestFit="1" customWidth="1"/>
    <col min="1565" max="1565" width="6" style="121" bestFit="1" customWidth="1"/>
    <col min="1566" max="1566" width="6.7109375" style="121" bestFit="1" customWidth="1"/>
    <col min="1567" max="1568" width="8.28515625" style="121" customWidth="1"/>
    <col min="1569" max="1569" width="6.7109375" style="121" customWidth="1"/>
    <col min="1570" max="1570" width="9.140625" style="121" customWidth="1"/>
    <col min="1571" max="1572" width="9.140625" style="121"/>
    <col min="1573" max="1643" width="8.28515625" style="121" customWidth="1"/>
    <col min="1644" max="1803" width="9.140625" style="121"/>
    <col min="1804" max="1804" width="4.5703125" style="121" customWidth="1"/>
    <col min="1805" max="1805" width="22.5703125" style="121" customWidth="1"/>
    <col min="1806" max="1806" width="3.85546875" style="121" customWidth="1"/>
    <col min="1807" max="1807" width="4.140625" style="121" bestFit="1" customWidth="1"/>
    <col min="1808" max="1808" width="9.85546875" style="121" customWidth="1"/>
    <col min="1809" max="1810" width="6.7109375" style="121" bestFit="1" customWidth="1"/>
    <col min="1811" max="1811" width="8.140625" style="121" customWidth="1"/>
    <col min="1812" max="1812" width="9.140625" style="121" customWidth="1"/>
    <col min="1813" max="1813" width="10.28515625" style="121" bestFit="1" customWidth="1"/>
    <col min="1814" max="1814" width="4" style="121" bestFit="1" customWidth="1"/>
    <col min="1815" max="1815" width="3" style="121" bestFit="1" customWidth="1"/>
    <col min="1816" max="1816" width="8.140625" style="121" customWidth="1"/>
    <col min="1817" max="1817" width="9.140625" style="121" customWidth="1"/>
    <col min="1818" max="1818" width="8.140625" style="121" bestFit="1" customWidth="1"/>
    <col min="1819" max="1819" width="8" style="121" bestFit="1" customWidth="1"/>
    <col min="1820" max="1820" width="8.5703125" style="121" bestFit="1" customWidth="1"/>
    <col min="1821" max="1821" width="6" style="121" bestFit="1" customWidth="1"/>
    <col min="1822" max="1822" width="6.7109375" style="121" bestFit="1" customWidth="1"/>
    <col min="1823" max="1824" width="8.28515625" style="121" customWidth="1"/>
    <col min="1825" max="1825" width="6.7109375" style="121" customWidth="1"/>
    <col min="1826" max="1826" width="9.140625" style="121" customWidth="1"/>
    <col min="1827" max="1828" width="9.140625" style="121"/>
    <col min="1829" max="1899" width="8.28515625" style="121" customWidth="1"/>
    <col min="1900" max="2059" width="9.140625" style="121"/>
    <col min="2060" max="2060" width="4.5703125" style="121" customWidth="1"/>
    <col min="2061" max="2061" width="22.5703125" style="121" customWidth="1"/>
    <col min="2062" max="2062" width="3.85546875" style="121" customWidth="1"/>
    <col min="2063" max="2063" width="4.140625" style="121" bestFit="1" customWidth="1"/>
    <col min="2064" max="2064" width="9.85546875" style="121" customWidth="1"/>
    <col min="2065" max="2066" width="6.7109375" style="121" bestFit="1" customWidth="1"/>
    <col min="2067" max="2067" width="8.140625" style="121" customWidth="1"/>
    <col min="2068" max="2068" width="9.140625" style="121" customWidth="1"/>
    <col min="2069" max="2069" width="10.28515625" style="121" bestFit="1" customWidth="1"/>
    <col min="2070" max="2070" width="4" style="121" bestFit="1" customWidth="1"/>
    <col min="2071" max="2071" width="3" style="121" bestFit="1" customWidth="1"/>
    <col min="2072" max="2072" width="8.140625" style="121" customWidth="1"/>
    <col min="2073" max="2073" width="9.140625" style="121" customWidth="1"/>
    <col min="2074" max="2074" width="8.140625" style="121" bestFit="1" customWidth="1"/>
    <col min="2075" max="2075" width="8" style="121" bestFit="1" customWidth="1"/>
    <col min="2076" max="2076" width="8.5703125" style="121" bestFit="1" customWidth="1"/>
    <col min="2077" max="2077" width="6" style="121" bestFit="1" customWidth="1"/>
    <col min="2078" max="2078" width="6.7109375" style="121" bestFit="1" customWidth="1"/>
    <col min="2079" max="2080" width="8.28515625" style="121" customWidth="1"/>
    <col min="2081" max="2081" width="6.7109375" style="121" customWidth="1"/>
    <col min="2082" max="2082" width="9.140625" style="121" customWidth="1"/>
    <col min="2083" max="2084" width="9.140625" style="121"/>
    <col min="2085" max="2155" width="8.28515625" style="121" customWidth="1"/>
    <col min="2156" max="2315" width="9.140625" style="121"/>
    <col min="2316" max="2316" width="4.5703125" style="121" customWidth="1"/>
    <col min="2317" max="2317" width="22.5703125" style="121" customWidth="1"/>
    <col min="2318" max="2318" width="3.85546875" style="121" customWidth="1"/>
    <col min="2319" max="2319" width="4.140625" style="121" bestFit="1" customWidth="1"/>
    <col min="2320" max="2320" width="9.85546875" style="121" customWidth="1"/>
    <col min="2321" max="2322" width="6.7109375" style="121" bestFit="1" customWidth="1"/>
    <col min="2323" max="2323" width="8.140625" style="121" customWidth="1"/>
    <col min="2324" max="2324" width="9.140625" style="121" customWidth="1"/>
    <col min="2325" max="2325" width="10.28515625" style="121" bestFit="1" customWidth="1"/>
    <col min="2326" max="2326" width="4" style="121" bestFit="1" customWidth="1"/>
    <col min="2327" max="2327" width="3" style="121" bestFit="1" customWidth="1"/>
    <col min="2328" max="2328" width="8.140625" style="121" customWidth="1"/>
    <col min="2329" max="2329" width="9.140625" style="121" customWidth="1"/>
    <col min="2330" max="2330" width="8.140625" style="121" bestFit="1" customWidth="1"/>
    <col min="2331" max="2331" width="8" style="121" bestFit="1" customWidth="1"/>
    <col min="2332" max="2332" width="8.5703125" style="121" bestFit="1" customWidth="1"/>
    <col min="2333" max="2333" width="6" style="121" bestFit="1" customWidth="1"/>
    <col min="2334" max="2334" width="6.7109375" style="121" bestFit="1" customWidth="1"/>
    <col min="2335" max="2336" width="8.28515625" style="121" customWidth="1"/>
    <col min="2337" max="2337" width="6.7109375" style="121" customWidth="1"/>
    <col min="2338" max="2338" width="9.140625" style="121" customWidth="1"/>
    <col min="2339" max="2340" width="9.140625" style="121"/>
    <col min="2341" max="2411" width="8.28515625" style="121" customWidth="1"/>
    <col min="2412" max="2571" width="9.140625" style="121"/>
    <col min="2572" max="2572" width="4.5703125" style="121" customWidth="1"/>
    <col min="2573" max="2573" width="22.5703125" style="121" customWidth="1"/>
    <col min="2574" max="2574" width="3.85546875" style="121" customWidth="1"/>
    <col min="2575" max="2575" width="4.140625" style="121" bestFit="1" customWidth="1"/>
    <col min="2576" max="2576" width="9.85546875" style="121" customWidth="1"/>
    <col min="2577" max="2578" width="6.7109375" style="121" bestFit="1" customWidth="1"/>
    <col min="2579" max="2579" width="8.140625" style="121" customWidth="1"/>
    <col min="2580" max="2580" width="9.140625" style="121" customWidth="1"/>
    <col min="2581" max="2581" width="10.28515625" style="121" bestFit="1" customWidth="1"/>
    <col min="2582" max="2582" width="4" style="121" bestFit="1" customWidth="1"/>
    <col min="2583" max="2583" width="3" style="121" bestFit="1" customWidth="1"/>
    <col min="2584" max="2584" width="8.140625" style="121" customWidth="1"/>
    <col min="2585" max="2585" width="9.140625" style="121" customWidth="1"/>
    <col min="2586" max="2586" width="8.140625" style="121" bestFit="1" customWidth="1"/>
    <col min="2587" max="2587" width="8" style="121" bestFit="1" customWidth="1"/>
    <col min="2588" max="2588" width="8.5703125" style="121" bestFit="1" customWidth="1"/>
    <col min="2589" max="2589" width="6" style="121" bestFit="1" customWidth="1"/>
    <col min="2590" max="2590" width="6.7109375" style="121" bestFit="1" customWidth="1"/>
    <col min="2591" max="2592" width="8.28515625" style="121" customWidth="1"/>
    <col min="2593" max="2593" width="6.7109375" style="121" customWidth="1"/>
    <col min="2594" max="2594" width="9.140625" style="121" customWidth="1"/>
    <col min="2595" max="2596" width="9.140625" style="121"/>
    <col min="2597" max="2667" width="8.28515625" style="121" customWidth="1"/>
    <col min="2668" max="2827" width="9.140625" style="121"/>
    <col min="2828" max="2828" width="4.5703125" style="121" customWidth="1"/>
    <col min="2829" max="2829" width="22.5703125" style="121" customWidth="1"/>
    <col min="2830" max="2830" width="3.85546875" style="121" customWidth="1"/>
    <col min="2831" max="2831" width="4.140625" style="121" bestFit="1" customWidth="1"/>
    <col min="2832" max="2832" width="9.85546875" style="121" customWidth="1"/>
    <col min="2833" max="2834" width="6.7109375" style="121" bestFit="1" customWidth="1"/>
    <col min="2835" max="2835" width="8.140625" style="121" customWidth="1"/>
    <col min="2836" max="2836" width="9.140625" style="121" customWidth="1"/>
    <col min="2837" max="2837" width="10.28515625" style="121" bestFit="1" customWidth="1"/>
    <col min="2838" max="2838" width="4" style="121" bestFit="1" customWidth="1"/>
    <col min="2839" max="2839" width="3" style="121" bestFit="1" customWidth="1"/>
    <col min="2840" max="2840" width="8.140625" style="121" customWidth="1"/>
    <col min="2841" max="2841" width="9.140625" style="121" customWidth="1"/>
    <col min="2842" max="2842" width="8.140625" style="121" bestFit="1" customWidth="1"/>
    <col min="2843" max="2843" width="8" style="121" bestFit="1" customWidth="1"/>
    <col min="2844" max="2844" width="8.5703125" style="121" bestFit="1" customWidth="1"/>
    <col min="2845" max="2845" width="6" style="121" bestFit="1" customWidth="1"/>
    <col min="2846" max="2846" width="6.7109375" style="121" bestFit="1" customWidth="1"/>
    <col min="2847" max="2848" width="8.28515625" style="121" customWidth="1"/>
    <col min="2849" max="2849" width="6.7109375" style="121" customWidth="1"/>
    <col min="2850" max="2850" width="9.140625" style="121" customWidth="1"/>
    <col min="2851" max="2852" width="9.140625" style="121"/>
    <col min="2853" max="2923" width="8.28515625" style="121" customWidth="1"/>
    <col min="2924" max="3083" width="9.140625" style="121"/>
    <col min="3084" max="3084" width="4.5703125" style="121" customWidth="1"/>
    <col min="3085" max="3085" width="22.5703125" style="121" customWidth="1"/>
    <col min="3086" max="3086" width="3.85546875" style="121" customWidth="1"/>
    <col min="3087" max="3087" width="4.140625" style="121" bestFit="1" customWidth="1"/>
    <col min="3088" max="3088" width="9.85546875" style="121" customWidth="1"/>
    <col min="3089" max="3090" width="6.7109375" style="121" bestFit="1" customWidth="1"/>
    <col min="3091" max="3091" width="8.140625" style="121" customWidth="1"/>
    <col min="3092" max="3092" width="9.140625" style="121" customWidth="1"/>
    <col min="3093" max="3093" width="10.28515625" style="121" bestFit="1" customWidth="1"/>
    <col min="3094" max="3094" width="4" style="121" bestFit="1" customWidth="1"/>
    <col min="3095" max="3095" width="3" style="121" bestFit="1" customWidth="1"/>
    <col min="3096" max="3096" width="8.140625" style="121" customWidth="1"/>
    <col min="3097" max="3097" width="9.140625" style="121" customWidth="1"/>
    <col min="3098" max="3098" width="8.140625" style="121" bestFit="1" customWidth="1"/>
    <col min="3099" max="3099" width="8" style="121" bestFit="1" customWidth="1"/>
    <col min="3100" max="3100" width="8.5703125" style="121" bestFit="1" customWidth="1"/>
    <col min="3101" max="3101" width="6" style="121" bestFit="1" customWidth="1"/>
    <col min="3102" max="3102" width="6.7109375" style="121" bestFit="1" customWidth="1"/>
    <col min="3103" max="3104" width="8.28515625" style="121" customWidth="1"/>
    <col min="3105" max="3105" width="6.7109375" style="121" customWidth="1"/>
    <col min="3106" max="3106" width="9.140625" style="121" customWidth="1"/>
    <col min="3107" max="3108" width="9.140625" style="121"/>
    <col min="3109" max="3179" width="8.28515625" style="121" customWidth="1"/>
    <col min="3180" max="3339" width="9.140625" style="121"/>
    <col min="3340" max="3340" width="4.5703125" style="121" customWidth="1"/>
    <col min="3341" max="3341" width="22.5703125" style="121" customWidth="1"/>
    <col min="3342" max="3342" width="3.85546875" style="121" customWidth="1"/>
    <col min="3343" max="3343" width="4.140625" style="121" bestFit="1" customWidth="1"/>
    <col min="3344" max="3344" width="9.85546875" style="121" customWidth="1"/>
    <col min="3345" max="3346" width="6.7109375" style="121" bestFit="1" customWidth="1"/>
    <col min="3347" max="3347" width="8.140625" style="121" customWidth="1"/>
    <col min="3348" max="3348" width="9.140625" style="121" customWidth="1"/>
    <col min="3349" max="3349" width="10.28515625" style="121" bestFit="1" customWidth="1"/>
    <col min="3350" max="3350" width="4" style="121" bestFit="1" customWidth="1"/>
    <col min="3351" max="3351" width="3" style="121" bestFit="1" customWidth="1"/>
    <col min="3352" max="3352" width="8.140625" style="121" customWidth="1"/>
    <col min="3353" max="3353" width="9.140625" style="121" customWidth="1"/>
    <col min="3354" max="3354" width="8.140625" style="121" bestFit="1" customWidth="1"/>
    <col min="3355" max="3355" width="8" style="121" bestFit="1" customWidth="1"/>
    <col min="3356" max="3356" width="8.5703125" style="121" bestFit="1" customWidth="1"/>
    <col min="3357" max="3357" width="6" style="121" bestFit="1" customWidth="1"/>
    <col min="3358" max="3358" width="6.7109375" style="121" bestFit="1" customWidth="1"/>
    <col min="3359" max="3360" width="8.28515625" style="121" customWidth="1"/>
    <col min="3361" max="3361" width="6.7109375" style="121" customWidth="1"/>
    <col min="3362" max="3362" width="9.140625" style="121" customWidth="1"/>
    <col min="3363" max="3364" width="9.140625" style="121"/>
    <col min="3365" max="3435" width="8.28515625" style="121" customWidth="1"/>
    <col min="3436" max="3595" width="9.140625" style="121"/>
    <col min="3596" max="3596" width="4.5703125" style="121" customWidth="1"/>
    <col min="3597" max="3597" width="22.5703125" style="121" customWidth="1"/>
    <col min="3598" max="3598" width="3.85546875" style="121" customWidth="1"/>
    <col min="3599" max="3599" width="4.140625" style="121" bestFit="1" customWidth="1"/>
    <col min="3600" max="3600" width="9.85546875" style="121" customWidth="1"/>
    <col min="3601" max="3602" width="6.7109375" style="121" bestFit="1" customWidth="1"/>
    <col min="3603" max="3603" width="8.140625" style="121" customWidth="1"/>
    <col min="3604" max="3604" width="9.140625" style="121" customWidth="1"/>
    <col min="3605" max="3605" width="10.28515625" style="121" bestFit="1" customWidth="1"/>
    <col min="3606" max="3606" width="4" style="121" bestFit="1" customWidth="1"/>
    <col min="3607" max="3607" width="3" style="121" bestFit="1" customWidth="1"/>
    <col min="3608" max="3608" width="8.140625" style="121" customWidth="1"/>
    <col min="3609" max="3609" width="9.140625" style="121" customWidth="1"/>
    <col min="3610" max="3610" width="8.140625" style="121" bestFit="1" customWidth="1"/>
    <col min="3611" max="3611" width="8" style="121" bestFit="1" customWidth="1"/>
    <col min="3612" max="3612" width="8.5703125" style="121" bestFit="1" customWidth="1"/>
    <col min="3613" max="3613" width="6" style="121" bestFit="1" customWidth="1"/>
    <col min="3614" max="3614" width="6.7109375" style="121" bestFit="1" customWidth="1"/>
    <col min="3615" max="3616" width="8.28515625" style="121" customWidth="1"/>
    <col min="3617" max="3617" width="6.7109375" style="121" customWidth="1"/>
    <col min="3618" max="3618" width="9.140625" style="121" customWidth="1"/>
    <col min="3619" max="3620" width="9.140625" style="121"/>
    <col min="3621" max="3691" width="8.28515625" style="121" customWidth="1"/>
    <col min="3692" max="3851" width="9.140625" style="121"/>
    <col min="3852" max="3852" width="4.5703125" style="121" customWidth="1"/>
    <col min="3853" max="3853" width="22.5703125" style="121" customWidth="1"/>
    <col min="3854" max="3854" width="3.85546875" style="121" customWidth="1"/>
    <col min="3855" max="3855" width="4.140625" style="121" bestFit="1" customWidth="1"/>
    <col min="3856" max="3856" width="9.85546875" style="121" customWidth="1"/>
    <col min="3857" max="3858" width="6.7109375" style="121" bestFit="1" customWidth="1"/>
    <col min="3859" max="3859" width="8.140625" style="121" customWidth="1"/>
    <col min="3860" max="3860" width="9.140625" style="121" customWidth="1"/>
    <col min="3861" max="3861" width="10.28515625" style="121" bestFit="1" customWidth="1"/>
    <col min="3862" max="3862" width="4" style="121" bestFit="1" customWidth="1"/>
    <col min="3863" max="3863" width="3" style="121" bestFit="1" customWidth="1"/>
    <col min="3864" max="3864" width="8.140625" style="121" customWidth="1"/>
    <col min="3865" max="3865" width="9.140625" style="121" customWidth="1"/>
    <col min="3866" max="3866" width="8.140625" style="121" bestFit="1" customWidth="1"/>
    <col min="3867" max="3867" width="8" style="121" bestFit="1" customWidth="1"/>
    <col min="3868" max="3868" width="8.5703125" style="121" bestFit="1" customWidth="1"/>
    <col min="3869" max="3869" width="6" style="121" bestFit="1" customWidth="1"/>
    <col min="3870" max="3870" width="6.7109375" style="121" bestFit="1" customWidth="1"/>
    <col min="3871" max="3872" width="0" style="121" hidden="1" customWidth="1"/>
    <col min="3873" max="3873" width="6.7109375" style="121" customWidth="1"/>
    <col min="3874" max="3874" width="9.140625" style="121" customWidth="1"/>
    <col min="3875" max="3876" width="9.140625" style="121"/>
    <col min="3877" max="3947" width="0" style="121" hidden="1" customWidth="1"/>
    <col min="3948" max="4107" width="9.140625" style="121"/>
    <col min="4108" max="4108" width="4.5703125" style="121" customWidth="1"/>
    <col min="4109" max="4109" width="22.5703125" style="121" customWidth="1"/>
    <col min="4110" max="4110" width="3.85546875" style="121" customWidth="1"/>
    <col min="4111" max="4111" width="4.140625" style="121" bestFit="1" customWidth="1"/>
    <col min="4112" max="4112" width="9.85546875" style="121" customWidth="1"/>
    <col min="4113" max="4114" width="6.7109375" style="121" bestFit="1" customWidth="1"/>
    <col min="4115" max="4115" width="8.140625" style="121" customWidth="1"/>
    <col min="4116" max="4116" width="9.140625" style="121" customWidth="1"/>
    <col min="4117" max="4117" width="10.28515625" style="121" bestFit="1" customWidth="1"/>
    <col min="4118" max="4118" width="4" style="121" bestFit="1" customWidth="1"/>
    <col min="4119" max="4119" width="3" style="121" bestFit="1" customWidth="1"/>
    <col min="4120" max="4120" width="8.140625" style="121" customWidth="1"/>
    <col min="4121" max="4121" width="9.140625" style="121" customWidth="1"/>
    <col min="4122" max="4122" width="8.140625" style="121" bestFit="1" customWidth="1"/>
    <col min="4123" max="4123" width="8" style="121" bestFit="1" customWidth="1"/>
    <col min="4124" max="4124" width="8.5703125" style="121" bestFit="1" customWidth="1"/>
    <col min="4125" max="4125" width="6" style="121" bestFit="1" customWidth="1"/>
    <col min="4126" max="4126" width="6.7109375" style="121" bestFit="1" customWidth="1"/>
    <col min="4127" max="4128" width="0" style="121" hidden="1" customWidth="1"/>
    <col min="4129" max="4129" width="6.7109375" style="121" customWidth="1"/>
    <col min="4130" max="4130" width="9.140625" style="121" customWidth="1"/>
    <col min="4131" max="4132" width="9.140625" style="121"/>
    <col min="4133" max="4203" width="0" style="121" hidden="1" customWidth="1"/>
    <col min="4204" max="4363" width="9.140625" style="121"/>
    <col min="4364" max="4364" width="4.5703125" style="121" customWidth="1"/>
    <col min="4365" max="4365" width="22.5703125" style="121" customWidth="1"/>
    <col min="4366" max="4366" width="3.85546875" style="121" customWidth="1"/>
    <col min="4367" max="4367" width="4.140625" style="121" bestFit="1" customWidth="1"/>
    <col min="4368" max="4368" width="9.85546875" style="121" customWidth="1"/>
    <col min="4369" max="4370" width="6.7109375" style="121" bestFit="1" customWidth="1"/>
    <col min="4371" max="4371" width="8.140625" style="121" customWidth="1"/>
    <col min="4372" max="4372" width="9.140625" style="121" customWidth="1"/>
    <col min="4373" max="4373" width="10.28515625" style="121" bestFit="1" customWidth="1"/>
    <col min="4374" max="4374" width="4" style="121" bestFit="1" customWidth="1"/>
    <col min="4375" max="4375" width="3" style="121" bestFit="1" customWidth="1"/>
    <col min="4376" max="4376" width="8.140625" style="121" customWidth="1"/>
    <col min="4377" max="4377" width="9.140625" style="121" customWidth="1"/>
    <col min="4378" max="4378" width="8.140625" style="121" bestFit="1" customWidth="1"/>
    <col min="4379" max="4379" width="8" style="121" bestFit="1" customWidth="1"/>
    <col min="4380" max="4380" width="8.5703125" style="121" bestFit="1" customWidth="1"/>
    <col min="4381" max="4381" width="6" style="121" bestFit="1" customWidth="1"/>
    <col min="4382" max="4382" width="6.7109375" style="121" bestFit="1" customWidth="1"/>
    <col min="4383" max="4384" width="0" style="121" hidden="1" customWidth="1"/>
    <col min="4385" max="4385" width="6.7109375" style="121" customWidth="1"/>
    <col min="4386" max="4386" width="9.140625" style="121" customWidth="1"/>
    <col min="4387" max="4388" width="9.140625" style="121"/>
    <col min="4389" max="4459" width="0" style="121" hidden="1" customWidth="1"/>
    <col min="4460" max="4619" width="9.140625" style="121"/>
    <col min="4620" max="4620" width="4.5703125" style="121" customWidth="1"/>
    <col min="4621" max="4621" width="22.5703125" style="121" customWidth="1"/>
    <col min="4622" max="4622" width="3.85546875" style="121" customWidth="1"/>
    <col min="4623" max="4623" width="4.140625" style="121" bestFit="1" customWidth="1"/>
    <col min="4624" max="4624" width="9.85546875" style="121" customWidth="1"/>
    <col min="4625" max="4626" width="6.7109375" style="121" bestFit="1" customWidth="1"/>
    <col min="4627" max="4627" width="8.140625" style="121" customWidth="1"/>
    <col min="4628" max="4628" width="9.140625" style="121" customWidth="1"/>
    <col min="4629" max="4629" width="10.28515625" style="121" bestFit="1" customWidth="1"/>
    <col min="4630" max="4630" width="4" style="121" bestFit="1" customWidth="1"/>
    <col min="4631" max="4631" width="3" style="121" bestFit="1" customWidth="1"/>
    <col min="4632" max="4632" width="8.140625" style="121" customWidth="1"/>
    <col min="4633" max="4633" width="9.140625" style="121" customWidth="1"/>
    <col min="4634" max="4634" width="8.140625" style="121" bestFit="1" customWidth="1"/>
    <col min="4635" max="4635" width="8" style="121" bestFit="1" customWidth="1"/>
    <col min="4636" max="4636" width="8.5703125" style="121" bestFit="1" customWidth="1"/>
    <col min="4637" max="4637" width="6" style="121" bestFit="1" customWidth="1"/>
    <col min="4638" max="4638" width="6.7109375" style="121" bestFit="1" customWidth="1"/>
    <col min="4639" max="4640" width="0" style="121" hidden="1" customWidth="1"/>
    <col min="4641" max="4641" width="6.7109375" style="121" customWidth="1"/>
    <col min="4642" max="4642" width="9.140625" style="121" customWidth="1"/>
    <col min="4643" max="4644" width="9.140625" style="121"/>
    <col min="4645" max="4715" width="0" style="121" hidden="1" customWidth="1"/>
    <col min="4716" max="4875" width="9.140625" style="121"/>
    <col min="4876" max="4876" width="4.5703125" style="121" customWidth="1"/>
    <col min="4877" max="4877" width="22.5703125" style="121" customWidth="1"/>
    <col min="4878" max="4878" width="3.85546875" style="121" customWidth="1"/>
    <col min="4879" max="4879" width="4.140625" style="121" bestFit="1" customWidth="1"/>
    <col min="4880" max="4880" width="9.85546875" style="121" customWidth="1"/>
    <col min="4881" max="4882" width="6.7109375" style="121" bestFit="1" customWidth="1"/>
    <col min="4883" max="4883" width="8.140625" style="121" customWidth="1"/>
    <col min="4884" max="4884" width="9.140625" style="121" customWidth="1"/>
    <col min="4885" max="4885" width="10.28515625" style="121" bestFit="1" customWidth="1"/>
    <col min="4886" max="4886" width="4" style="121" bestFit="1" customWidth="1"/>
    <col min="4887" max="4887" width="3" style="121" bestFit="1" customWidth="1"/>
    <col min="4888" max="4888" width="8.140625" style="121" customWidth="1"/>
    <col min="4889" max="4889" width="9.140625" style="121" customWidth="1"/>
    <col min="4890" max="4890" width="8.140625" style="121" bestFit="1" customWidth="1"/>
    <col min="4891" max="4891" width="8" style="121" bestFit="1" customWidth="1"/>
    <col min="4892" max="4892" width="8.5703125" style="121" bestFit="1" customWidth="1"/>
    <col min="4893" max="4893" width="6" style="121" bestFit="1" customWidth="1"/>
    <col min="4894" max="4894" width="6.7109375" style="121" bestFit="1" customWidth="1"/>
    <col min="4895" max="4896" width="0" style="121" hidden="1" customWidth="1"/>
    <col min="4897" max="4897" width="6.7109375" style="121" customWidth="1"/>
    <col min="4898" max="4898" width="9.140625" style="121" customWidth="1"/>
    <col min="4899" max="4900" width="9.140625" style="121"/>
    <col min="4901" max="4971" width="0" style="121" hidden="1" customWidth="1"/>
    <col min="4972" max="5131" width="9.140625" style="121"/>
    <col min="5132" max="5132" width="4.5703125" style="121" customWidth="1"/>
    <col min="5133" max="5133" width="22.5703125" style="121" customWidth="1"/>
    <col min="5134" max="5134" width="3.85546875" style="121" customWidth="1"/>
    <col min="5135" max="5135" width="4.140625" style="121" bestFit="1" customWidth="1"/>
    <col min="5136" max="5136" width="9.85546875" style="121" customWidth="1"/>
    <col min="5137" max="5138" width="6.7109375" style="121" bestFit="1" customWidth="1"/>
    <col min="5139" max="5139" width="8.140625" style="121" customWidth="1"/>
    <col min="5140" max="5140" width="9.140625" style="121" customWidth="1"/>
    <col min="5141" max="5141" width="10.28515625" style="121" bestFit="1" customWidth="1"/>
    <col min="5142" max="5142" width="4" style="121" bestFit="1" customWidth="1"/>
    <col min="5143" max="5143" width="3" style="121" bestFit="1" customWidth="1"/>
    <col min="5144" max="5144" width="8.140625" style="121" customWidth="1"/>
    <col min="5145" max="5145" width="9.140625" style="121" customWidth="1"/>
    <col min="5146" max="5146" width="8.140625" style="121" bestFit="1" customWidth="1"/>
    <col min="5147" max="5147" width="8" style="121" bestFit="1" customWidth="1"/>
    <col min="5148" max="5148" width="8.5703125" style="121" bestFit="1" customWidth="1"/>
    <col min="5149" max="5149" width="6" style="121" bestFit="1" customWidth="1"/>
    <col min="5150" max="5150" width="6.7109375" style="121" bestFit="1" customWidth="1"/>
    <col min="5151" max="5152" width="0" style="121" hidden="1" customWidth="1"/>
    <col min="5153" max="5153" width="6.7109375" style="121" customWidth="1"/>
    <col min="5154" max="5154" width="9.140625" style="121" customWidth="1"/>
    <col min="5155" max="5156" width="9.140625" style="121"/>
    <col min="5157" max="5227" width="0" style="121" hidden="1" customWidth="1"/>
    <col min="5228" max="5387" width="9.140625" style="121"/>
    <col min="5388" max="5388" width="4.5703125" style="121" customWidth="1"/>
    <col min="5389" max="5389" width="22.5703125" style="121" customWidth="1"/>
    <col min="5390" max="5390" width="3.85546875" style="121" customWidth="1"/>
    <col min="5391" max="5391" width="4.140625" style="121" bestFit="1" customWidth="1"/>
    <col min="5392" max="5392" width="9.85546875" style="121" customWidth="1"/>
    <col min="5393" max="5394" width="6.7109375" style="121" bestFit="1" customWidth="1"/>
    <col min="5395" max="5395" width="8.140625" style="121" customWidth="1"/>
    <col min="5396" max="5396" width="9.140625" style="121" customWidth="1"/>
    <col min="5397" max="5397" width="10.28515625" style="121" bestFit="1" customWidth="1"/>
    <col min="5398" max="5398" width="4" style="121" bestFit="1" customWidth="1"/>
    <col min="5399" max="5399" width="3" style="121" bestFit="1" customWidth="1"/>
    <col min="5400" max="5400" width="8.140625" style="121" customWidth="1"/>
    <col min="5401" max="5401" width="9.140625" style="121" customWidth="1"/>
    <col min="5402" max="5402" width="8.140625" style="121" bestFit="1" customWidth="1"/>
    <col min="5403" max="5403" width="8" style="121" bestFit="1" customWidth="1"/>
    <col min="5404" max="5404" width="8.5703125" style="121" bestFit="1" customWidth="1"/>
    <col min="5405" max="5405" width="6" style="121" bestFit="1" customWidth="1"/>
    <col min="5406" max="5406" width="6.7109375" style="121" bestFit="1" customWidth="1"/>
    <col min="5407" max="5408" width="0" style="121" hidden="1" customWidth="1"/>
    <col min="5409" max="5409" width="6.7109375" style="121" customWidth="1"/>
    <col min="5410" max="5410" width="9.140625" style="121" customWidth="1"/>
    <col min="5411" max="5412" width="9.140625" style="121"/>
    <col min="5413" max="5483" width="0" style="121" hidden="1" customWidth="1"/>
    <col min="5484" max="5643" width="9.140625" style="121"/>
    <col min="5644" max="5644" width="4.5703125" style="121" customWidth="1"/>
    <col min="5645" max="5645" width="22.5703125" style="121" customWidth="1"/>
    <col min="5646" max="5646" width="3.85546875" style="121" customWidth="1"/>
    <col min="5647" max="5647" width="4.140625" style="121" bestFit="1" customWidth="1"/>
    <col min="5648" max="5648" width="9.85546875" style="121" customWidth="1"/>
    <col min="5649" max="5650" width="6.7109375" style="121" bestFit="1" customWidth="1"/>
    <col min="5651" max="5651" width="8.140625" style="121" customWidth="1"/>
    <col min="5652" max="5652" width="9.140625" style="121" customWidth="1"/>
    <col min="5653" max="5653" width="10.28515625" style="121" bestFit="1" customWidth="1"/>
    <col min="5654" max="5654" width="4" style="121" bestFit="1" customWidth="1"/>
    <col min="5655" max="5655" width="3" style="121" bestFit="1" customWidth="1"/>
    <col min="5656" max="5656" width="8.140625" style="121" customWidth="1"/>
    <col min="5657" max="5657" width="9.140625" style="121" customWidth="1"/>
    <col min="5658" max="5658" width="8.140625" style="121" bestFit="1" customWidth="1"/>
    <col min="5659" max="5659" width="8" style="121" bestFit="1" customWidth="1"/>
    <col min="5660" max="5660" width="8.5703125" style="121" bestFit="1" customWidth="1"/>
    <col min="5661" max="5661" width="6" style="121" bestFit="1" customWidth="1"/>
    <col min="5662" max="5662" width="6.7109375" style="121" bestFit="1" customWidth="1"/>
    <col min="5663" max="5664" width="0" style="121" hidden="1" customWidth="1"/>
    <col min="5665" max="5665" width="6.7109375" style="121" customWidth="1"/>
    <col min="5666" max="5666" width="9.140625" style="121" customWidth="1"/>
    <col min="5667" max="5668" width="9.140625" style="121"/>
    <col min="5669" max="5739" width="0" style="121" hidden="1" customWidth="1"/>
    <col min="5740" max="5899" width="9.140625" style="121"/>
    <col min="5900" max="5900" width="4.5703125" style="121" customWidth="1"/>
    <col min="5901" max="5901" width="22.5703125" style="121" customWidth="1"/>
    <col min="5902" max="5902" width="3.85546875" style="121" customWidth="1"/>
    <col min="5903" max="5903" width="4.140625" style="121" bestFit="1" customWidth="1"/>
    <col min="5904" max="5904" width="9.85546875" style="121" customWidth="1"/>
    <col min="5905" max="5906" width="6.7109375" style="121" bestFit="1" customWidth="1"/>
    <col min="5907" max="5907" width="8.140625" style="121" customWidth="1"/>
    <col min="5908" max="5908" width="9.140625" style="121" customWidth="1"/>
    <col min="5909" max="5909" width="10.28515625" style="121" bestFit="1" customWidth="1"/>
    <col min="5910" max="5910" width="4" style="121" bestFit="1" customWidth="1"/>
    <col min="5911" max="5911" width="3" style="121" bestFit="1" customWidth="1"/>
    <col min="5912" max="5912" width="8.140625" style="121" customWidth="1"/>
    <col min="5913" max="5913" width="9.140625" style="121" customWidth="1"/>
    <col min="5914" max="5914" width="8.140625" style="121" bestFit="1" customWidth="1"/>
    <col min="5915" max="5915" width="8" style="121" bestFit="1" customWidth="1"/>
    <col min="5916" max="5916" width="8.5703125" style="121" bestFit="1" customWidth="1"/>
    <col min="5917" max="5917" width="6" style="121" bestFit="1" customWidth="1"/>
    <col min="5918" max="5918" width="6.7109375" style="121" bestFit="1" customWidth="1"/>
    <col min="5919" max="5920" width="0" style="121" hidden="1" customWidth="1"/>
    <col min="5921" max="5921" width="6.7109375" style="121" customWidth="1"/>
    <col min="5922" max="5922" width="9.140625" style="121" customWidth="1"/>
    <col min="5923" max="5924" width="9.140625" style="121"/>
    <col min="5925" max="5995" width="0" style="121" hidden="1" customWidth="1"/>
    <col min="5996" max="6155" width="9.140625" style="121"/>
    <col min="6156" max="6156" width="4.5703125" style="121" customWidth="1"/>
    <col min="6157" max="6157" width="22.5703125" style="121" customWidth="1"/>
    <col min="6158" max="6158" width="3.85546875" style="121" customWidth="1"/>
    <col min="6159" max="6159" width="4.140625" style="121" bestFit="1" customWidth="1"/>
    <col min="6160" max="6160" width="9.85546875" style="121" customWidth="1"/>
    <col min="6161" max="6162" width="6.7109375" style="121" bestFit="1" customWidth="1"/>
    <col min="6163" max="6163" width="8.140625" style="121" customWidth="1"/>
    <col min="6164" max="6164" width="9.140625" style="121" customWidth="1"/>
    <col min="6165" max="6165" width="10.28515625" style="121" bestFit="1" customWidth="1"/>
    <col min="6166" max="6166" width="4" style="121" bestFit="1" customWidth="1"/>
    <col min="6167" max="6167" width="3" style="121" bestFit="1" customWidth="1"/>
    <col min="6168" max="6168" width="8.140625" style="121" customWidth="1"/>
    <col min="6169" max="6169" width="9.140625" style="121" customWidth="1"/>
    <col min="6170" max="6170" width="8.140625" style="121" bestFit="1" customWidth="1"/>
    <col min="6171" max="6171" width="8" style="121" bestFit="1" customWidth="1"/>
    <col min="6172" max="6172" width="8.5703125" style="121" bestFit="1" customWidth="1"/>
    <col min="6173" max="6173" width="6" style="121" bestFit="1" customWidth="1"/>
    <col min="6174" max="6174" width="6.7109375" style="121" bestFit="1" customWidth="1"/>
    <col min="6175" max="6176" width="0" style="121" hidden="1" customWidth="1"/>
    <col min="6177" max="6177" width="6.7109375" style="121" customWidth="1"/>
    <col min="6178" max="6178" width="9.140625" style="121" customWidth="1"/>
    <col min="6179" max="6180" width="9.140625" style="121"/>
    <col min="6181" max="6251" width="0" style="121" hidden="1" customWidth="1"/>
    <col min="6252" max="6411" width="9.140625" style="121"/>
    <col min="6412" max="6412" width="4.5703125" style="121" customWidth="1"/>
    <col min="6413" max="6413" width="22.5703125" style="121" customWidth="1"/>
    <col min="6414" max="6414" width="3.85546875" style="121" customWidth="1"/>
    <col min="6415" max="6415" width="4.140625" style="121" bestFit="1" customWidth="1"/>
    <col min="6416" max="6416" width="9.85546875" style="121" customWidth="1"/>
    <col min="6417" max="6418" width="6.7109375" style="121" bestFit="1" customWidth="1"/>
    <col min="6419" max="6419" width="8.140625" style="121" customWidth="1"/>
    <col min="6420" max="6420" width="9.140625" style="121" customWidth="1"/>
    <col min="6421" max="6421" width="10.28515625" style="121" bestFit="1" customWidth="1"/>
    <col min="6422" max="6422" width="4" style="121" bestFit="1" customWidth="1"/>
    <col min="6423" max="6423" width="3" style="121" bestFit="1" customWidth="1"/>
    <col min="6424" max="6424" width="8.140625" style="121" customWidth="1"/>
    <col min="6425" max="6425" width="9.140625" style="121" customWidth="1"/>
    <col min="6426" max="6426" width="8.140625" style="121" bestFit="1" customWidth="1"/>
    <col min="6427" max="6427" width="8" style="121" bestFit="1" customWidth="1"/>
    <col min="6428" max="6428" width="8.5703125" style="121" bestFit="1" customWidth="1"/>
    <col min="6429" max="6429" width="6" style="121" bestFit="1" customWidth="1"/>
    <col min="6430" max="6430" width="6.7109375" style="121" bestFit="1" customWidth="1"/>
    <col min="6431" max="6432" width="0" style="121" hidden="1" customWidth="1"/>
    <col min="6433" max="6433" width="6.7109375" style="121" customWidth="1"/>
    <col min="6434" max="6434" width="9.140625" style="121" customWidth="1"/>
    <col min="6435" max="6436" width="9.140625" style="121"/>
    <col min="6437" max="6507" width="0" style="121" hidden="1" customWidth="1"/>
    <col min="6508" max="6667" width="9.140625" style="121"/>
    <col min="6668" max="6668" width="4.5703125" style="121" customWidth="1"/>
    <col min="6669" max="6669" width="22.5703125" style="121" customWidth="1"/>
    <col min="6670" max="6670" width="3.85546875" style="121" customWidth="1"/>
    <col min="6671" max="6671" width="4.140625" style="121" bestFit="1" customWidth="1"/>
    <col min="6672" max="6672" width="9.85546875" style="121" customWidth="1"/>
    <col min="6673" max="6674" width="6.7109375" style="121" bestFit="1" customWidth="1"/>
    <col min="6675" max="6675" width="8.140625" style="121" customWidth="1"/>
    <col min="6676" max="6676" width="9.140625" style="121" customWidth="1"/>
    <col min="6677" max="6677" width="10.28515625" style="121" bestFit="1" customWidth="1"/>
    <col min="6678" max="6678" width="4" style="121" bestFit="1" customWidth="1"/>
    <col min="6679" max="6679" width="3" style="121" bestFit="1" customWidth="1"/>
    <col min="6680" max="6680" width="8.140625" style="121" customWidth="1"/>
    <col min="6681" max="6681" width="9.140625" style="121" customWidth="1"/>
    <col min="6682" max="6682" width="8.140625" style="121" bestFit="1" customWidth="1"/>
    <col min="6683" max="6683" width="8" style="121" bestFit="1" customWidth="1"/>
    <col min="6684" max="6684" width="8.5703125" style="121" bestFit="1" customWidth="1"/>
    <col min="6685" max="6685" width="6" style="121" bestFit="1" customWidth="1"/>
    <col min="6686" max="6686" width="6.7109375" style="121" bestFit="1" customWidth="1"/>
    <col min="6687" max="6688" width="0" style="121" hidden="1" customWidth="1"/>
    <col min="6689" max="6689" width="6.7109375" style="121" customWidth="1"/>
    <col min="6690" max="6690" width="9.140625" style="121" customWidth="1"/>
    <col min="6691" max="6692" width="9.140625" style="121"/>
    <col min="6693" max="6763" width="0" style="121" hidden="1" customWidth="1"/>
    <col min="6764" max="6923" width="9.140625" style="121"/>
    <col min="6924" max="6924" width="4.5703125" style="121" customWidth="1"/>
    <col min="6925" max="6925" width="22.5703125" style="121" customWidth="1"/>
    <col min="6926" max="6926" width="3.85546875" style="121" customWidth="1"/>
    <col min="6927" max="6927" width="4.140625" style="121" bestFit="1" customWidth="1"/>
    <col min="6928" max="6928" width="9.85546875" style="121" customWidth="1"/>
    <col min="6929" max="6930" width="6.7109375" style="121" bestFit="1" customWidth="1"/>
    <col min="6931" max="6931" width="8.140625" style="121" customWidth="1"/>
    <col min="6932" max="6932" width="9.140625" style="121" customWidth="1"/>
    <col min="6933" max="6933" width="10.28515625" style="121" bestFit="1" customWidth="1"/>
    <col min="6934" max="6934" width="4" style="121" bestFit="1" customWidth="1"/>
    <col min="6935" max="6935" width="3" style="121" bestFit="1" customWidth="1"/>
    <col min="6936" max="6936" width="8.140625" style="121" customWidth="1"/>
    <col min="6937" max="6937" width="9.140625" style="121" customWidth="1"/>
    <col min="6938" max="6938" width="8.140625" style="121" bestFit="1" customWidth="1"/>
    <col min="6939" max="6939" width="8" style="121" bestFit="1" customWidth="1"/>
    <col min="6940" max="6940" width="8.5703125" style="121" bestFit="1" customWidth="1"/>
    <col min="6941" max="6941" width="6" style="121" bestFit="1" customWidth="1"/>
    <col min="6942" max="6942" width="6.7109375" style="121" bestFit="1" customWidth="1"/>
    <col min="6943" max="6944" width="0" style="121" hidden="1" customWidth="1"/>
    <col min="6945" max="6945" width="6.7109375" style="121" customWidth="1"/>
    <col min="6946" max="6946" width="9.140625" style="121" customWidth="1"/>
    <col min="6947" max="6948" width="9.140625" style="121"/>
    <col min="6949" max="7019" width="0" style="121" hidden="1" customWidth="1"/>
    <col min="7020" max="7179" width="9.140625" style="121"/>
    <col min="7180" max="7180" width="4.5703125" style="121" customWidth="1"/>
    <col min="7181" max="7181" width="22.5703125" style="121" customWidth="1"/>
    <col min="7182" max="7182" width="3.85546875" style="121" customWidth="1"/>
    <col min="7183" max="7183" width="4.140625" style="121" bestFit="1" customWidth="1"/>
    <col min="7184" max="7184" width="9.85546875" style="121" customWidth="1"/>
    <col min="7185" max="7186" width="6.7109375" style="121" bestFit="1" customWidth="1"/>
    <col min="7187" max="7187" width="8.140625" style="121" customWidth="1"/>
    <col min="7188" max="7188" width="9.140625" style="121" customWidth="1"/>
    <col min="7189" max="7189" width="10.28515625" style="121" bestFit="1" customWidth="1"/>
    <col min="7190" max="7190" width="4" style="121" bestFit="1" customWidth="1"/>
    <col min="7191" max="7191" width="3" style="121" bestFit="1" customWidth="1"/>
    <col min="7192" max="7192" width="8.140625" style="121" customWidth="1"/>
    <col min="7193" max="7193" width="9.140625" style="121" customWidth="1"/>
    <col min="7194" max="7194" width="8.140625" style="121" bestFit="1" customWidth="1"/>
    <col min="7195" max="7195" width="8" style="121" bestFit="1" customWidth="1"/>
    <col min="7196" max="7196" width="8.5703125" style="121" bestFit="1" customWidth="1"/>
    <col min="7197" max="7197" width="6" style="121" bestFit="1" customWidth="1"/>
    <col min="7198" max="7198" width="6.7109375" style="121" bestFit="1" customWidth="1"/>
    <col min="7199" max="7200" width="0" style="121" hidden="1" customWidth="1"/>
    <col min="7201" max="7201" width="6.7109375" style="121" customWidth="1"/>
    <col min="7202" max="7202" width="9.140625" style="121" customWidth="1"/>
    <col min="7203" max="7204" width="9.140625" style="121"/>
    <col min="7205" max="7275" width="0" style="121" hidden="1" customWidth="1"/>
    <col min="7276" max="7435" width="9.140625" style="121"/>
    <col min="7436" max="7436" width="4.5703125" style="121" customWidth="1"/>
    <col min="7437" max="7437" width="22.5703125" style="121" customWidth="1"/>
    <col min="7438" max="7438" width="3.85546875" style="121" customWidth="1"/>
    <col min="7439" max="7439" width="4.140625" style="121" bestFit="1" customWidth="1"/>
    <col min="7440" max="7440" width="9.85546875" style="121" customWidth="1"/>
    <col min="7441" max="7442" width="6.7109375" style="121" bestFit="1" customWidth="1"/>
    <col min="7443" max="7443" width="8.140625" style="121" customWidth="1"/>
    <col min="7444" max="7444" width="9.140625" style="121" customWidth="1"/>
    <col min="7445" max="7445" width="10.28515625" style="121" bestFit="1" customWidth="1"/>
    <col min="7446" max="7446" width="4" style="121" bestFit="1" customWidth="1"/>
    <col min="7447" max="7447" width="3" style="121" bestFit="1" customWidth="1"/>
    <col min="7448" max="7448" width="8.140625" style="121" customWidth="1"/>
    <col min="7449" max="7449" width="9.140625" style="121" customWidth="1"/>
    <col min="7450" max="7450" width="8.140625" style="121" bestFit="1" customWidth="1"/>
    <col min="7451" max="7451" width="8" style="121" bestFit="1" customWidth="1"/>
    <col min="7452" max="7452" width="8.5703125" style="121" bestFit="1" customWidth="1"/>
    <col min="7453" max="7453" width="6" style="121" bestFit="1" customWidth="1"/>
    <col min="7454" max="7454" width="6.7109375" style="121" bestFit="1" customWidth="1"/>
    <col min="7455" max="7456" width="0" style="121" hidden="1" customWidth="1"/>
    <col min="7457" max="7457" width="6.7109375" style="121" customWidth="1"/>
    <col min="7458" max="7458" width="9.140625" style="121" customWidth="1"/>
    <col min="7459" max="7460" width="9.140625" style="121"/>
    <col min="7461" max="7531" width="0" style="121" hidden="1" customWidth="1"/>
    <col min="7532" max="7691" width="9.140625" style="121"/>
    <col min="7692" max="7692" width="4.5703125" style="121" customWidth="1"/>
    <col min="7693" max="7693" width="22.5703125" style="121" customWidth="1"/>
    <col min="7694" max="7694" width="3.85546875" style="121" customWidth="1"/>
    <col min="7695" max="7695" width="4.140625" style="121" bestFit="1" customWidth="1"/>
    <col min="7696" max="7696" width="9.85546875" style="121" customWidth="1"/>
    <col min="7697" max="7698" width="6.7109375" style="121" bestFit="1" customWidth="1"/>
    <col min="7699" max="7699" width="8.140625" style="121" customWidth="1"/>
    <col min="7700" max="7700" width="9.140625" style="121" customWidth="1"/>
    <col min="7701" max="7701" width="10.28515625" style="121" bestFit="1" customWidth="1"/>
    <col min="7702" max="7702" width="4" style="121" bestFit="1" customWidth="1"/>
    <col min="7703" max="7703" width="3" style="121" bestFit="1" customWidth="1"/>
    <col min="7704" max="7704" width="8.140625" style="121" customWidth="1"/>
    <col min="7705" max="7705" width="9.140625" style="121" customWidth="1"/>
    <col min="7706" max="7706" width="8.140625" style="121" bestFit="1" customWidth="1"/>
    <col min="7707" max="7707" width="8" style="121" bestFit="1" customWidth="1"/>
    <col min="7708" max="7708" width="8.5703125" style="121" bestFit="1" customWidth="1"/>
    <col min="7709" max="7709" width="6" style="121" bestFit="1" customWidth="1"/>
    <col min="7710" max="7710" width="6.7109375" style="121" bestFit="1" customWidth="1"/>
    <col min="7711" max="7712" width="0" style="121" hidden="1" customWidth="1"/>
    <col min="7713" max="7713" width="6.7109375" style="121" customWidth="1"/>
    <col min="7714" max="7714" width="9.140625" style="121" customWidth="1"/>
    <col min="7715" max="7716" width="9.140625" style="121"/>
    <col min="7717" max="7787" width="0" style="121" hidden="1" customWidth="1"/>
    <col min="7788" max="7947" width="9.140625" style="121"/>
    <col min="7948" max="7948" width="4.5703125" style="121" customWidth="1"/>
    <col min="7949" max="7949" width="22.5703125" style="121" customWidth="1"/>
    <col min="7950" max="7950" width="3.85546875" style="121" customWidth="1"/>
    <col min="7951" max="7951" width="4.140625" style="121" bestFit="1" customWidth="1"/>
    <col min="7952" max="7952" width="9.85546875" style="121" customWidth="1"/>
    <col min="7953" max="7954" width="6.7109375" style="121" bestFit="1" customWidth="1"/>
    <col min="7955" max="7955" width="8.140625" style="121" customWidth="1"/>
    <col min="7956" max="7956" width="9.140625" style="121" customWidth="1"/>
    <col min="7957" max="7957" width="10.28515625" style="121" bestFit="1" customWidth="1"/>
    <col min="7958" max="7958" width="4" style="121" bestFit="1" customWidth="1"/>
    <col min="7959" max="7959" width="3" style="121" bestFit="1" customWidth="1"/>
    <col min="7960" max="7960" width="8.140625" style="121" customWidth="1"/>
    <col min="7961" max="7961" width="9.140625" style="121" customWidth="1"/>
    <col min="7962" max="7962" width="8.140625" style="121" bestFit="1" customWidth="1"/>
    <col min="7963" max="7963" width="8" style="121" bestFit="1" customWidth="1"/>
    <col min="7964" max="7964" width="8.5703125" style="121" bestFit="1" customWidth="1"/>
    <col min="7965" max="7965" width="6" style="121" bestFit="1" customWidth="1"/>
    <col min="7966" max="7966" width="6.7109375" style="121" bestFit="1" customWidth="1"/>
    <col min="7967" max="7968" width="0" style="121" hidden="1" customWidth="1"/>
    <col min="7969" max="7969" width="6.7109375" style="121" customWidth="1"/>
    <col min="7970" max="7970" width="9.140625" style="121" customWidth="1"/>
    <col min="7971" max="7972" width="9.140625" style="121"/>
    <col min="7973" max="8043" width="0" style="121" hidden="1" customWidth="1"/>
    <col min="8044" max="8203" width="9.140625" style="121"/>
    <col min="8204" max="8204" width="4.5703125" style="121" customWidth="1"/>
    <col min="8205" max="8205" width="22.5703125" style="121" customWidth="1"/>
    <col min="8206" max="8206" width="3.85546875" style="121" customWidth="1"/>
    <col min="8207" max="8207" width="4.140625" style="121" bestFit="1" customWidth="1"/>
    <col min="8208" max="8208" width="9.85546875" style="121" customWidth="1"/>
    <col min="8209" max="8210" width="6.7109375" style="121" bestFit="1" customWidth="1"/>
    <col min="8211" max="8211" width="8.140625" style="121" customWidth="1"/>
    <col min="8212" max="8212" width="9.140625" style="121" customWidth="1"/>
    <col min="8213" max="8213" width="10.28515625" style="121" bestFit="1" customWidth="1"/>
    <col min="8214" max="8214" width="4" style="121" bestFit="1" customWidth="1"/>
    <col min="8215" max="8215" width="3" style="121" bestFit="1" customWidth="1"/>
    <col min="8216" max="8216" width="8.140625" style="121" customWidth="1"/>
    <col min="8217" max="8217" width="9.140625" style="121" customWidth="1"/>
    <col min="8218" max="8218" width="8.140625" style="121" bestFit="1" customWidth="1"/>
    <col min="8219" max="8219" width="8" style="121" bestFit="1" customWidth="1"/>
    <col min="8220" max="8220" width="8.5703125" style="121" bestFit="1" customWidth="1"/>
    <col min="8221" max="8221" width="6" style="121" bestFit="1" customWidth="1"/>
    <col min="8222" max="8222" width="6.7109375" style="121" bestFit="1" customWidth="1"/>
    <col min="8223" max="8224" width="0" style="121" hidden="1" customWidth="1"/>
    <col min="8225" max="8225" width="6.7109375" style="121" customWidth="1"/>
    <col min="8226" max="8226" width="9.140625" style="121" customWidth="1"/>
    <col min="8227" max="8228" width="9.140625" style="121"/>
    <col min="8229" max="8299" width="0" style="121" hidden="1" customWidth="1"/>
    <col min="8300" max="8459" width="9.140625" style="121"/>
    <col min="8460" max="8460" width="4.5703125" style="121" customWidth="1"/>
    <col min="8461" max="8461" width="22.5703125" style="121" customWidth="1"/>
    <col min="8462" max="8462" width="3.85546875" style="121" customWidth="1"/>
    <col min="8463" max="8463" width="4.140625" style="121" bestFit="1" customWidth="1"/>
    <col min="8464" max="8464" width="9.85546875" style="121" customWidth="1"/>
    <col min="8465" max="8466" width="6.7109375" style="121" bestFit="1" customWidth="1"/>
    <col min="8467" max="8467" width="8.140625" style="121" customWidth="1"/>
    <col min="8468" max="8468" width="9.140625" style="121" customWidth="1"/>
    <col min="8469" max="8469" width="10.28515625" style="121" bestFit="1" customWidth="1"/>
    <col min="8470" max="8470" width="4" style="121" bestFit="1" customWidth="1"/>
    <col min="8471" max="8471" width="3" style="121" bestFit="1" customWidth="1"/>
    <col min="8472" max="8472" width="8.140625" style="121" customWidth="1"/>
    <col min="8473" max="8473" width="9.140625" style="121" customWidth="1"/>
    <col min="8474" max="8474" width="8.140625" style="121" bestFit="1" customWidth="1"/>
    <col min="8475" max="8475" width="8" style="121" bestFit="1" customWidth="1"/>
    <col min="8476" max="8476" width="8.5703125" style="121" bestFit="1" customWidth="1"/>
    <col min="8477" max="8477" width="6" style="121" bestFit="1" customWidth="1"/>
    <col min="8478" max="8478" width="6.7109375" style="121" bestFit="1" customWidth="1"/>
    <col min="8479" max="8480" width="0" style="121" hidden="1" customWidth="1"/>
    <col min="8481" max="8481" width="6.7109375" style="121" customWidth="1"/>
    <col min="8482" max="8482" width="9.140625" style="121" customWidth="1"/>
    <col min="8483" max="8484" width="9.140625" style="121"/>
    <col min="8485" max="8555" width="0" style="121" hidden="1" customWidth="1"/>
    <col min="8556" max="8715" width="9.140625" style="121"/>
    <col min="8716" max="8716" width="4.5703125" style="121" customWidth="1"/>
    <col min="8717" max="8717" width="22.5703125" style="121" customWidth="1"/>
    <col min="8718" max="8718" width="3.85546875" style="121" customWidth="1"/>
    <col min="8719" max="8719" width="4.140625" style="121" bestFit="1" customWidth="1"/>
    <col min="8720" max="8720" width="9.85546875" style="121" customWidth="1"/>
    <col min="8721" max="8722" width="6.7109375" style="121" bestFit="1" customWidth="1"/>
    <col min="8723" max="8723" width="8.140625" style="121" customWidth="1"/>
    <col min="8724" max="8724" width="9.140625" style="121" customWidth="1"/>
    <col min="8725" max="8725" width="10.28515625" style="121" bestFit="1" customWidth="1"/>
    <col min="8726" max="8726" width="4" style="121" bestFit="1" customWidth="1"/>
    <col min="8727" max="8727" width="3" style="121" bestFit="1" customWidth="1"/>
    <col min="8728" max="8728" width="8.140625" style="121" customWidth="1"/>
    <col min="8729" max="8729" width="9.140625" style="121" customWidth="1"/>
    <col min="8730" max="8730" width="8.140625" style="121" bestFit="1" customWidth="1"/>
    <col min="8731" max="8731" width="8" style="121" bestFit="1" customWidth="1"/>
    <col min="8732" max="8732" width="8.5703125" style="121" bestFit="1" customWidth="1"/>
    <col min="8733" max="8733" width="6" style="121" bestFit="1" customWidth="1"/>
    <col min="8734" max="8734" width="6.7109375" style="121" bestFit="1" customWidth="1"/>
    <col min="8735" max="8736" width="0" style="121" hidden="1" customWidth="1"/>
    <col min="8737" max="8737" width="6.7109375" style="121" customWidth="1"/>
    <col min="8738" max="8738" width="9.140625" style="121" customWidth="1"/>
    <col min="8739" max="8740" width="9.140625" style="121"/>
    <col min="8741" max="8811" width="0" style="121" hidden="1" customWidth="1"/>
    <col min="8812" max="8971" width="9.140625" style="121"/>
    <col min="8972" max="8972" width="4.5703125" style="121" customWidth="1"/>
    <col min="8973" max="8973" width="22.5703125" style="121" customWidth="1"/>
    <col min="8974" max="8974" width="3.85546875" style="121" customWidth="1"/>
    <col min="8975" max="8975" width="4.140625" style="121" bestFit="1" customWidth="1"/>
    <col min="8976" max="8976" width="9.85546875" style="121" customWidth="1"/>
    <col min="8977" max="8978" width="6.7109375" style="121" bestFit="1" customWidth="1"/>
    <col min="8979" max="8979" width="8.140625" style="121" customWidth="1"/>
    <col min="8980" max="8980" width="9.140625" style="121" customWidth="1"/>
    <col min="8981" max="8981" width="10.28515625" style="121" bestFit="1" customWidth="1"/>
    <col min="8982" max="8982" width="4" style="121" bestFit="1" customWidth="1"/>
    <col min="8983" max="8983" width="3" style="121" bestFit="1" customWidth="1"/>
    <col min="8984" max="8984" width="8.140625" style="121" customWidth="1"/>
    <col min="8985" max="8985" width="9.140625" style="121" customWidth="1"/>
    <col min="8986" max="8986" width="8.140625" style="121" bestFit="1" customWidth="1"/>
    <col min="8987" max="8987" width="8" style="121" bestFit="1" customWidth="1"/>
    <col min="8988" max="8988" width="8.5703125" style="121" bestFit="1" customWidth="1"/>
    <col min="8989" max="8989" width="6" style="121" bestFit="1" customWidth="1"/>
    <col min="8990" max="8990" width="6.7109375" style="121" bestFit="1" customWidth="1"/>
    <col min="8991" max="8992" width="0" style="121" hidden="1" customWidth="1"/>
    <col min="8993" max="8993" width="6.7109375" style="121" customWidth="1"/>
    <col min="8994" max="8994" width="9.140625" style="121" customWidth="1"/>
    <col min="8995" max="8996" width="9.140625" style="121"/>
    <col min="8997" max="9067" width="0" style="121" hidden="1" customWidth="1"/>
    <col min="9068" max="9227" width="9.140625" style="121"/>
    <col min="9228" max="9228" width="4.5703125" style="121" customWidth="1"/>
    <col min="9229" max="9229" width="22.5703125" style="121" customWidth="1"/>
    <col min="9230" max="9230" width="3.85546875" style="121" customWidth="1"/>
    <col min="9231" max="9231" width="4.140625" style="121" bestFit="1" customWidth="1"/>
    <col min="9232" max="9232" width="9.85546875" style="121" customWidth="1"/>
    <col min="9233" max="9234" width="6.7109375" style="121" bestFit="1" customWidth="1"/>
    <col min="9235" max="9235" width="8.140625" style="121" customWidth="1"/>
    <col min="9236" max="9236" width="9.140625" style="121" customWidth="1"/>
    <col min="9237" max="9237" width="10.28515625" style="121" bestFit="1" customWidth="1"/>
    <col min="9238" max="9238" width="4" style="121" bestFit="1" customWidth="1"/>
    <col min="9239" max="9239" width="3" style="121" bestFit="1" customWidth="1"/>
    <col min="9240" max="9240" width="8.140625" style="121" customWidth="1"/>
    <col min="9241" max="9241" width="9.140625" style="121" customWidth="1"/>
    <col min="9242" max="9242" width="8.140625" style="121" bestFit="1" customWidth="1"/>
    <col min="9243" max="9243" width="8" style="121" bestFit="1" customWidth="1"/>
    <col min="9244" max="9244" width="8.5703125" style="121" bestFit="1" customWidth="1"/>
    <col min="9245" max="9245" width="6" style="121" bestFit="1" customWidth="1"/>
    <col min="9246" max="9246" width="6.7109375" style="121" bestFit="1" customWidth="1"/>
    <col min="9247" max="9248" width="0" style="121" hidden="1" customWidth="1"/>
    <col min="9249" max="9249" width="6.7109375" style="121" customWidth="1"/>
    <col min="9250" max="9250" width="9.140625" style="121" customWidth="1"/>
    <col min="9251" max="9252" width="9.140625" style="121"/>
    <col min="9253" max="9323" width="0" style="121" hidden="1" customWidth="1"/>
    <col min="9324" max="9483" width="9.140625" style="121"/>
    <col min="9484" max="9484" width="4.5703125" style="121" customWidth="1"/>
    <col min="9485" max="9485" width="22.5703125" style="121" customWidth="1"/>
    <col min="9486" max="9486" width="3.85546875" style="121" customWidth="1"/>
    <col min="9487" max="9487" width="4.140625" style="121" bestFit="1" customWidth="1"/>
    <col min="9488" max="9488" width="9.85546875" style="121" customWidth="1"/>
    <col min="9489" max="9490" width="6.7109375" style="121" bestFit="1" customWidth="1"/>
    <col min="9491" max="9491" width="8.140625" style="121" customWidth="1"/>
    <col min="9492" max="9492" width="9.140625" style="121" customWidth="1"/>
    <col min="9493" max="9493" width="10.28515625" style="121" bestFit="1" customWidth="1"/>
    <col min="9494" max="9494" width="4" style="121" bestFit="1" customWidth="1"/>
    <col min="9495" max="9495" width="3" style="121" bestFit="1" customWidth="1"/>
    <col min="9496" max="9496" width="8.140625" style="121" customWidth="1"/>
    <col min="9497" max="9497" width="9.140625" style="121" customWidth="1"/>
    <col min="9498" max="9498" width="8.140625" style="121" bestFit="1" customWidth="1"/>
    <col min="9499" max="9499" width="8" style="121" bestFit="1" customWidth="1"/>
    <col min="9500" max="9500" width="8.5703125" style="121" bestFit="1" customWidth="1"/>
    <col min="9501" max="9501" width="6" style="121" bestFit="1" customWidth="1"/>
    <col min="9502" max="9502" width="6.7109375" style="121" bestFit="1" customWidth="1"/>
    <col min="9503" max="9504" width="0" style="121" hidden="1" customWidth="1"/>
    <col min="9505" max="9505" width="6.7109375" style="121" customWidth="1"/>
    <col min="9506" max="9506" width="9.140625" style="121" customWidth="1"/>
    <col min="9507" max="9508" width="9.140625" style="121"/>
    <col min="9509" max="9579" width="0" style="121" hidden="1" customWidth="1"/>
    <col min="9580" max="9739" width="9.140625" style="121"/>
    <col min="9740" max="9740" width="4.5703125" style="121" customWidth="1"/>
    <col min="9741" max="9741" width="22.5703125" style="121" customWidth="1"/>
    <col min="9742" max="9742" width="3.85546875" style="121" customWidth="1"/>
    <col min="9743" max="9743" width="4.140625" style="121" bestFit="1" customWidth="1"/>
    <col min="9744" max="9744" width="9.85546875" style="121" customWidth="1"/>
    <col min="9745" max="9746" width="6.7109375" style="121" bestFit="1" customWidth="1"/>
    <col min="9747" max="9747" width="8.140625" style="121" customWidth="1"/>
    <col min="9748" max="9748" width="9.140625" style="121" customWidth="1"/>
    <col min="9749" max="9749" width="10.28515625" style="121" bestFit="1" customWidth="1"/>
    <col min="9750" max="9750" width="4" style="121" bestFit="1" customWidth="1"/>
    <col min="9751" max="9751" width="3" style="121" bestFit="1" customWidth="1"/>
    <col min="9752" max="9752" width="8.140625" style="121" customWidth="1"/>
    <col min="9753" max="9753" width="9.140625" style="121" customWidth="1"/>
    <col min="9754" max="9754" width="8.140625" style="121" bestFit="1" customWidth="1"/>
    <col min="9755" max="9755" width="8" style="121" bestFit="1" customWidth="1"/>
    <col min="9756" max="9756" width="8.5703125" style="121" bestFit="1" customWidth="1"/>
    <col min="9757" max="9757" width="6" style="121" bestFit="1" customWidth="1"/>
    <col min="9758" max="9758" width="6.7109375" style="121" bestFit="1" customWidth="1"/>
    <col min="9759" max="9760" width="0" style="121" hidden="1" customWidth="1"/>
    <col min="9761" max="9761" width="6.7109375" style="121" customWidth="1"/>
    <col min="9762" max="9762" width="9.140625" style="121" customWidth="1"/>
    <col min="9763" max="9764" width="9.140625" style="121"/>
    <col min="9765" max="9835" width="0" style="121" hidden="1" customWidth="1"/>
    <col min="9836" max="9995" width="9.140625" style="121"/>
    <col min="9996" max="9996" width="4.5703125" style="121" customWidth="1"/>
    <col min="9997" max="9997" width="22.5703125" style="121" customWidth="1"/>
    <col min="9998" max="9998" width="3.85546875" style="121" customWidth="1"/>
    <col min="9999" max="9999" width="4.140625" style="121" bestFit="1" customWidth="1"/>
    <col min="10000" max="10000" width="9.85546875" style="121" customWidth="1"/>
    <col min="10001" max="10002" width="6.7109375" style="121" bestFit="1" customWidth="1"/>
    <col min="10003" max="10003" width="8.140625" style="121" customWidth="1"/>
    <col min="10004" max="10004" width="9.140625" style="121" customWidth="1"/>
    <col min="10005" max="10005" width="10.28515625" style="121" bestFit="1" customWidth="1"/>
    <col min="10006" max="10006" width="4" style="121" bestFit="1" customWidth="1"/>
    <col min="10007" max="10007" width="3" style="121" bestFit="1" customWidth="1"/>
    <col min="10008" max="10008" width="8.140625" style="121" customWidth="1"/>
    <col min="10009" max="10009" width="9.140625" style="121" customWidth="1"/>
    <col min="10010" max="10010" width="8.140625" style="121" bestFit="1" customWidth="1"/>
    <col min="10011" max="10011" width="8" style="121" bestFit="1" customWidth="1"/>
    <col min="10012" max="10012" width="8.5703125" style="121" bestFit="1" customWidth="1"/>
    <col min="10013" max="10013" width="6" style="121" bestFit="1" customWidth="1"/>
    <col min="10014" max="10014" width="6.7109375" style="121" bestFit="1" customWidth="1"/>
    <col min="10015" max="10016" width="0" style="121" hidden="1" customWidth="1"/>
    <col min="10017" max="10017" width="6.7109375" style="121" customWidth="1"/>
    <col min="10018" max="10018" width="9.140625" style="121" customWidth="1"/>
    <col min="10019" max="10020" width="9.140625" style="121"/>
    <col min="10021" max="10091" width="0" style="121" hidden="1" customWidth="1"/>
    <col min="10092" max="10251" width="9.140625" style="121"/>
    <col min="10252" max="10252" width="4.5703125" style="121" customWidth="1"/>
    <col min="10253" max="10253" width="22.5703125" style="121" customWidth="1"/>
    <col min="10254" max="10254" width="3.85546875" style="121" customWidth="1"/>
    <col min="10255" max="10255" width="4.140625" style="121" bestFit="1" customWidth="1"/>
    <col min="10256" max="10256" width="9.85546875" style="121" customWidth="1"/>
    <col min="10257" max="10258" width="6.7109375" style="121" bestFit="1" customWidth="1"/>
    <col min="10259" max="10259" width="8.140625" style="121" customWidth="1"/>
    <col min="10260" max="10260" width="9.140625" style="121" customWidth="1"/>
    <col min="10261" max="10261" width="10.28515625" style="121" bestFit="1" customWidth="1"/>
    <col min="10262" max="10262" width="4" style="121" bestFit="1" customWidth="1"/>
    <col min="10263" max="10263" width="3" style="121" bestFit="1" customWidth="1"/>
    <col min="10264" max="10264" width="8.140625" style="121" customWidth="1"/>
    <col min="10265" max="10265" width="9.140625" style="121" customWidth="1"/>
    <col min="10266" max="10266" width="8.140625" style="121" bestFit="1" customWidth="1"/>
    <col min="10267" max="10267" width="8" style="121" bestFit="1" customWidth="1"/>
    <col min="10268" max="10268" width="8.5703125" style="121" bestFit="1" customWidth="1"/>
    <col min="10269" max="10269" width="6" style="121" bestFit="1" customWidth="1"/>
    <col min="10270" max="10270" width="6.7109375" style="121" bestFit="1" customWidth="1"/>
    <col min="10271" max="10272" width="0" style="121" hidden="1" customWidth="1"/>
    <col min="10273" max="10273" width="6.7109375" style="121" customWidth="1"/>
    <col min="10274" max="10274" width="9.140625" style="121" customWidth="1"/>
    <col min="10275" max="10276" width="9.140625" style="121"/>
    <col min="10277" max="10347" width="0" style="121" hidden="1" customWidth="1"/>
    <col min="10348" max="10507" width="9.140625" style="121"/>
    <col min="10508" max="10508" width="4.5703125" style="121" customWidth="1"/>
    <col min="10509" max="10509" width="22.5703125" style="121" customWidth="1"/>
    <col min="10510" max="10510" width="3.85546875" style="121" customWidth="1"/>
    <col min="10511" max="10511" width="4.140625" style="121" bestFit="1" customWidth="1"/>
    <col min="10512" max="10512" width="9.85546875" style="121" customWidth="1"/>
    <col min="10513" max="10514" width="6.7109375" style="121" bestFit="1" customWidth="1"/>
    <col min="10515" max="10515" width="8.140625" style="121" customWidth="1"/>
    <col min="10516" max="10516" width="9.140625" style="121" customWidth="1"/>
    <col min="10517" max="10517" width="10.28515625" style="121" bestFit="1" customWidth="1"/>
    <col min="10518" max="10518" width="4" style="121" bestFit="1" customWidth="1"/>
    <col min="10519" max="10519" width="3" style="121" bestFit="1" customWidth="1"/>
    <col min="10520" max="10520" width="8.140625" style="121" customWidth="1"/>
    <col min="10521" max="10521" width="9.140625" style="121" customWidth="1"/>
    <col min="10522" max="10522" width="8.140625" style="121" bestFit="1" customWidth="1"/>
    <col min="10523" max="10523" width="8" style="121" bestFit="1" customWidth="1"/>
    <col min="10524" max="10524" width="8.5703125" style="121" bestFit="1" customWidth="1"/>
    <col min="10525" max="10525" width="6" style="121" bestFit="1" customWidth="1"/>
    <col min="10526" max="10526" width="6.7109375" style="121" bestFit="1" customWidth="1"/>
    <col min="10527" max="10528" width="0" style="121" hidden="1" customWidth="1"/>
    <col min="10529" max="10529" width="6.7109375" style="121" customWidth="1"/>
    <col min="10530" max="10530" width="9.140625" style="121" customWidth="1"/>
    <col min="10531" max="10532" width="9.140625" style="121"/>
    <col min="10533" max="10603" width="0" style="121" hidden="1" customWidth="1"/>
    <col min="10604" max="10763" width="9.140625" style="121"/>
    <col min="10764" max="10764" width="4.5703125" style="121" customWidth="1"/>
    <col min="10765" max="10765" width="22.5703125" style="121" customWidth="1"/>
    <col min="10766" max="10766" width="3.85546875" style="121" customWidth="1"/>
    <col min="10767" max="10767" width="4.140625" style="121" bestFit="1" customWidth="1"/>
    <col min="10768" max="10768" width="9.85546875" style="121" customWidth="1"/>
    <col min="10769" max="10770" width="6.7109375" style="121" bestFit="1" customWidth="1"/>
    <col min="10771" max="10771" width="8.140625" style="121" customWidth="1"/>
    <col min="10772" max="10772" width="9.140625" style="121" customWidth="1"/>
    <col min="10773" max="10773" width="10.28515625" style="121" bestFit="1" customWidth="1"/>
    <col min="10774" max="10774" width="4" style="121" bestFit="1" customWidth="1"/>
    <col min="10775" max="10775" width="3" style="121" bestFit="1" customWidth="1"/>
    <col min="10776" max="10776" width="8.140625" style="121" customWidth="1"/>
    <col min="10777" max="10777" width="9.140625" style="121" customWidth="1"/>
    <col min="10778" max="10778" width="8.140625" style="121" bestFit="1" customWidth="1"/>
    <col min="10779" max="10779" width="8" style="121" bestFit="1" customWidth="1"/>
    <col min="10780" max="10780" width="8.5703125" style="121" bestFit="1" customWidth="1"/>
    <col min="10781" max="10781" width="6" style="121" bestFit="1" customWidth="1"/>
    <col min="10782" max="10782" width="6.7109375" style="121" bestFit="1" customWidth="1"/>
    <col min="10783" max="10784" width="0" style="121" hidden="1" customWidth="1"/>
    <col min="10785" max="10785" width="6.7109375" style="121" customWidth="1"/>
    <col min="10786" max="10786" width="9.140625" style="121" customWidth="1"/>
    <col min="10787" max="10788" width="9.140625" style="121"/>
    <col min="10789" max="10859" width="0" style="121" hidden="1" customWidth="1"/>
    <col min="10860" max="11019" width="9.140625" style="121"/>
    <col min="11020" max="11020" width="4.5703125" style="121" customWidth="1"/>
    <col min="11021" max="11021" width="22.5703125" style="121" customWidth="1"/>
    <col min="11022" max="11022" width="3.85546875" style="121" customWidth="1"/>
    <col min="11023" max="11023" width="4.140625" style="121" bestFit="1" customWidth="1"/>
    <col min="11024" max="11024" width="9.85546875" style="121" customWidth="1"/>
    <col min="11025" max="11026" width="6.7109375" style="121" bestFit="1" customWidth="1"/>
    <col min="11027" max="11027" width="8.140625" style="121" customWidth="1"/>
    <col min="11028" max="11028" width="9.140625" style="121" customWidth="1"/>
    <col min="11029" max="11029" width="10.28515625" style="121" bestFit="1" customWidth="1"/>
    <col min="11030" max="11030" width="4" style="121" bestFit="1" customWidth="1"/>
    <col min="11031" max="11031" width="3" style="121" bestFit="1" customWidth="1"/>
    <col min="11032" max="11032" width="8.140625" style="121" customWidth="1"/>
    <col min="11033" max="11033" width="9.140625" style="121" customWidth="1"/>
    <col min="11034" max="11034" width="8.140625" style="121" bestFit="1" customWidth="1"/>
    <col min="11035" max="11035" width="8" style="121" bestFit="1" customWidth="1"/>
    <col min="11036" max="11036" width="8.5703125" style="121" bestFit="1" customWidth="1"/>
    <col min="11037" max="11037" width="6" style="121" bestFit="1" customWidth="1"/>
    <col min="11038" max="11038" width="6.7109375" style="121" bestFit="1" customWidth="1"/>
    <col min="11039" max="11040" width="0" style="121" hidden="1" customWidth="1"/>
    <col min="11041" max="11041" width="6.7109375" style="121" customWidth="1"/>
    <col min="11042" max="11042" width="9.140625" style="121" customWidth="1"/>
    <col min="11043" max="11044" width="9.140625" style="121"/>
    <col min="11045" max="11115" width="0" style="121" hidden="1" customWidth="1"/>
    <col min="11116" max="11275" width="9.140625" style="121"/>
    <col min="11276" max="11276" width="4.5703125" style="121" customWidth="1"/>
    <col min="11277" max="11277" width="22.5703125" style="121" customWidth="1"/>
    <col min="11278" max="11278" width="3.85546875" style="121" customWidth="1"/>
    <col min="11279" max="11279" width="4.140625" style="121" bestFit="1" customWidth="1"/>
    <col min="11280" max="11280" width="9.85546875" style="121" customWidth="1"/>
    <col min="11281" max="11282" width="6.7109375" style="121" bestFit="1" customWidth="1"/>
    <col min="11283" max="11283" width="8.140625" style="121" customWidth="1"/>
    <col min="11284" max="11284" width="9.140625" style="121" customWidth="1"/>
    <col min="11285" max="11285" width="10.28515625" style="121" bestFit="1" customWidth="1"/>
    <col min="11286" max="11286" width="4" style="121" bestFit="1" customWidth="1"/>
    <col min="11287" max="11287" width="3" style="121" bestFit="1" customWidth="1"/>
    <col min="11288" max="11288" width="8.140625" style="121" customWidth="1"/>
    <col min="11289" max="11289" width="9.140625" style="121" customWidth="1"/>
    <col min="11290" max="11290" width="8.140625" style="121" bestFit="1" customWidth="1"/>
    <col min="11291" max="11291" width="8" style="121" bestFit="1" customWidth="1"/>
    <col min="11292" max="11292" width="8.5703125" style="121" bestFit="1" customWidth="1"/>
    <col min="11293" max="11293" width="6" style="121" bestFit="1" customWidth="1"/>
    <col min="11294" max="11294" width="6.7109375" style="121" bestFit="1" customWidth="1"/>
    <col min="11295" max="11296" width="0" style="121" hidden="1" customWidth="1"/>
    <col min="11297" max="11297" width="6.7109375" style="121" customWidth="1"/>
    <col min="11298" max="11298" width="9.140625" style="121" customWidth="1"/>
    <col min="11299" max="11300" width="9.140625" style="121"/>
    <col min="11301" max="11371" width="0" style="121" hidden="1" customWidth="1"/>
    <col min="11372" max="11531" width="9.140625" style="121"/>
    <col min="11532" max="11532" width="4.5703125" style="121" customWidth="1"/>
    <col min="11533" max="11533" width="22.5703125" style="121" customWidth="1"/>
    <col min="11534" max="11534" width="3.85546875" style="121" customWidth="1"/>
    <col min="11535" max="11535" width="4.140625" style="121" bestFit="1" customWidth="1"/>
    <col min="11536" max="11536" width="9.85546875" style="121" customWidth="1"/>
    <col min="11537" max="11538" width="6.7109375" style="121" bestFit="1" customWidth="1"/>
    <col min="11539" max="11539" width="8.140625" style="121" customWidth="1"/>
    <col min="11540" max="11540" width="9.140625" style="121" customWidth="1"/>
    <col min="11541" max="11541" width="10.28515625" style="121" bestFit="1" customWidth="1"/>
    <col min="11542" max="11542" width="4" style="121" bestFit="1" customWidth="1"/>
    <col min="11543" max="11543" width="3" style="121" bestFit="1" customWidth="1"/>
    <col min="11544" max="11544" width="8.140625" style="121" customWidth="1"/>
    <col min="11545" max="11545" width="9.140625" style="121" customWidth="1"/>
    <col min="11546" max="11546" width="8.140625" style="121" bestFit="1" customWidth="1"/>
    <col min="11547" max="11547" width="8" style="121" bestFit="1" customWidth="1"/>
    <col min="11548" max="11548" width="8.5703125" style="121" bestFit="1" customWidth="1"/>
    <col min="11549" max="11549" width="6" style="121" bestFit="1" customWidth="1"/>
    <col min="11550" max="11550" width="6.7109375" style="121" bestFit="1" customWidth="1"/>
    <col min="11551" max="11552" width="0" style="121" hidden="1" customWidth="1"/>
    <col min="11553" max="11553" width="6.7109375" style="121" customWidth="1"/>
    <col min="11554" max="11554" width="9.140625" style="121" customWidth="1"/>
    <col min="11555" max="11556" width="9.140625" style="121"/>
    <col min="11557" max="11627" width="0" style="121" hidden="1" customWidth="1"/>
    <col min="11628" max="11787" width="9.140625" style="121"/>
    <col min="11788" max="11788" width="4.5703125" style="121" customWidth="1"/>
    <col min="11789" max="11789" width="22.5703125" style="121" customWidth="1"/>
    <col min="11790" max="11790" width="3.85546875" style="121" customWidth="1"/>
    <col min="11791" max="11791" width="4.140625" style="121" bestFit="1" customWidth="1"/>
    <col min="11792" max="11792" width="9.85546875" style="121" customWidth="1"/>
    <col min="11793" max="11794" width="6.7109375" style="121" bestFit="1" customWidth="1"/>
    <col min="11795" max="11795" width="8.140625" style="121" customWidth="1"/>
    <col min="11796" max="11796" width="9.140625" style="121" customWidth="1"/>
    <col min="11797" max="11797" width="10.28515625" style="121" bestFit="1" customWidth="1"/>
    <col min="11798" max="11798" width="4" style="121" bestFit="1" customWidth="1"/>
    <col min="11799" max="11799" width="3" style="121" bestFit="1" customWidth="1"/>
    <col min="11800" max="11800" width="8.140625" style="121" customWidth="1"/>
    <col min="11801" max="11801" width="9.140625" style="121" customWidth="1"/>
    <col min="11802" max="11802" width="8.140625" style="121" bestFit="1" customWidth="1"/>
    <col min="11803" max="11803" width="8" style="121" bestFit="1" customWidth="1"/>
    <col min="11804" max="11804" width="8.5703125" style="121" bestFit="1" customWidth="1"/>
    <col min="11805" max="11805" width="6" style="121" bestFit="1" customWidth="1"/>
    <col min="11806" max="11806" width="6.7109375" style="121" bestFit="1" customWidth="1"/>
    <col min="11807" max="11808" width="0" style="121" hidden="1" customWidth="1"/>
    <col min="11809" max="11809" width="6.7109375" style="121" customWidth="1"/>
    <col min="11810" max="11810" width="9.140625" style="121" customWidth="1"/>
    <col min="11811" max="11812" width="9.140625" style="121"/>
    <col min="11813" max="11883" width="0" style="121" hidden="1" customWidth="1"/>
    <col min="11884" max="12043" width="9.140625" style="121"/>
    <col min="12044" max="12044" width="4.5703125" style="121" customWidth="1"/>
    <col min="12045" max="12045" width="22.5703125" style="121" customWidth="1"/>
    <col min="12046" max="12046" width="3.85546875" style="121" customWidth="1"/>
    <col min="12047" max="12047" width="4.140625" style="121" bestFit="1" customWidth="1"/>
    <col min="12048" max="12048" width="9.85546875" style="121" customWidth="1"/>
    <col min="12049" max="12050" width="6.7109375" style="121" bestFit="1" customWidth="1"/>
    <col min="12051" max="12051" width="8.140625" style="121" customWidth="1"/>
    <col min="12052" max="12052" width="9.140625" style="121" customWidth="1"/>
    <col min="12053" max="12053" width="10.28515625" style="121" bestFit="1" customWidth="1"/>
    <col min="12054" max="12054" width="4" style="121" bestFit="1" customWidth="1"/>
    <col min="12055" max="12055" width="3" style="121" bestFit="1" customWidth="1"/>
    <col min="12056" max="12056" width="8.140625" style="121" customWidth="1"/>
    <col min="12057" max="12057" width="9.140625" style="121" customWidth="1"/>
    <col min="12058" max="12058" width="8.140625" style="121" bestFit="1" customWidth="1"/>
    <col min="12059" max="12059" width="8" style="121" bestFit="1" customWidth="1"/>
    <col min="12060" max="12060" width="8.5703125" style="121" bestFit="1" customWidth="1"/>
    <col min="12061" max="12061" width="6" style="121" bestFit="1" customWidth="1"/>
    <col min="12062" max="12062" width="6.7109375" style="121" bestFit="1" customWidth="1"/>
    <col min="12063" max="12064" width="0" style="121" hidden="1" customWidth="1"/>
    <col min="12065" max="12065" width="6.7109375" style="121" customWidth="1"/>
    <col min="12066" max="12066" width="9.140625" style="121" customWidth="1"/>
    <col min="12067" max="12068" width="9.140625" style="121"/>
    <col min="12069" max="12139" width="0" style="121" hidden="1" customWidth="1"/>
    <col min="12140" max="12299" width="9.140625" style="121"/>
    <col min="12300" max="12300" width="4.5703125" style="121" customWidth="1"/>
    <col min="12301" max="12301" width="22.5703125" style="121" customWidth="1"/>
    <col min="12302" max="12302" width="3.85546875" style="121" customWidth="1"/>
    <col min="12303" max="12303" width="4.140625" style="121" bestFit="1" customWidth="1"/>
    <col min="12304" max="12304" width="9.85546875" style="121" customWidth="1"/>
    <col min="12305" max="12306" width="6.7109375" style="121" bestFit="1" customWidth="1"/>
    <col min="12307" max="12307" width="8.140625" style="121" customWidth="1"/>
    <col min="12308" max="12308" width="9.140625" style="121" customWidth="1"/>
    <col min="12309" max="12309" width="10.28515625" style="121" bestFit="1" customWidth="1"/>
    <col min="12310" max="12310" width="4" style="121" bestFit="1" customWidth="1"/>
    <col min="12311" max="12311" width="3" style="121" bestFit="1" customWidth="1"/>
    <col min="12312" max="12312" width="8.140625" style="121" customWidth="1"/>
    <col min="12313" max="12313" width="9.140625" style="121" customWidth="1"/>
    <col min="12314" max="12314" width="8.140625" style="121" bestFit="1" customWidth="1"/>
    <col min="12315" max="12315" width="8" style="121" bestFit="1" customWidth="1"/>
    <col min="12316" max="12316" width="8.5703125" style="121" bestFit="1" customWidth="1"/>
    <col min="12317" max="12317" width="6" style="121" bestFit="1" customWidth="1"/>
    <col min="12318" max="12318" width="6.7109375" style="121" bestFit="1" customWidth="1"/>
    <col min="12319" max="12320" width="0" style="121" hidden="1" customWidth="1"/>
    <col min="12321" max="12321" width="6.7109375" style="121" customWidth="1"/>
    <col min="12322" max="12322" width="9.140625" style="121" customWidth="1"/>
    <col min="12323" max="12324" width="9.140625" style="121"/>
    <col min="12325" max="12395" width="0" style="121" hidden="1" customWidth="1"/>
    <col min="12396" max="12555" width="9.140625" style="121"/>
    <col min="12556" max="12556" width="4.5703125" style="121" customWidth="1"/>
    <col min="12557" max="12557" width="22.5703125" style="121" customWidth="1"/>
    <col min="12558" max="12558" width="3.85546875" style="121" customWidth="1"/>
    <col min="12559" max="12559" width="4.140625" style="121" bestFit="1" customWidth="1"/>
    <col min="12560" max="12560" width="9.85546875" style="121" customWidth="1"/>
    <col min="12561" max="12562" width="6.7109375" style="121" bestFit="1" customWidth="1"/>
    <col min="12563" max="12563" width="8.140625" style="121" customWidth="1"/>
    <col min="12564" max="12564" width="9.140625" style="121" customWidth="1"/>
    <col min="12565" max="12565" width="10.28515625" style="121" bestFit="1" customWidth="1"/>
    <col min="12566" max="12566" width="4" style="121" bestFit="1" customWidth="1"/>
    <col min="12567" max="12567" width="3" style="121" bestFit="1" customWidth="1"/>
    <col min="12568" max="12568" width="8.140625" style="121" customWidth="1"/>
    <col min="12569" max="12569" width="9.140625" style="121" customWidth="1"/>
    <col min="12570" max="12570" width="8.140625" style="121" bestFit="1" customWidth="1"/>
    <col min="12571" max="12571" width="8" style="121" bestFit="1" customWidth="1"/>
    <col min="12572" max="12572" width="8.5703125" style="121" bestFit="1" customWidth="1"/>
    <col min="12573" max="12573" width="6" style="121" bestFit="1" customWidth="1"/>
    <col min="12574" max="12574" width="6.7109375" style="121" bestFit="1" customWidth="1"/>
    <col min="12575" max="12576" width="0" style="121" hidden="1" customWidth="1"/>
    <col min="12577" max="12577" width="6.7109375" style="121" customWidth="1"/>
    <col min="12578" max="12578" width="9.140625" style="121" customWidth="1"/>
    <col min="12579" max="12580" width="9.140625" style="121"/>
    <col min="12581" max="12651" width="0" style="121" hidden="1" customWidth="1"/>
    <col min="12652" max="12811" width="9.140625" style="121"/>
    <col min="12812" max="12812" width="4.5703125" style="121" customWidth="1"/>
    <col min="12813" max="12813" width="22.5703125" style="121" customWidth="1"/>
    <col min="12814" max="12814" width="3.85546875" style="121" customWidth="1"/>
    <col min="12815" max="12815" width="4.140625" style="121" bestFit="1" customWidth="1"/>
    <col min="12816" max="12816" width="9.85546875" style="121" customWidth="1"/>
    <col min="12817" max="12818" width="6.7109375" style="121" bestFit="1" customWidth="1"/>
    <col min="12819" max="12819" width="8.140625" style="121" customWidth="1"/>
    <col min="12820" max="12820" width="9.140625" style="121" customWidth="1"/>
    <col min="12821" max="12821" width="10.28515625" style="121" bestFit="1" customWidth="1"/>
    <col min="12822" max="12822" width="4" style="121" bestFit="1" customWidth="1"/>
    <col min="12823" max="12823" width="3" style="121" bestFit="1" customWidth="1"/>
    <col min="12824" max="12824" width="8.140625" style="121" customWidth="1"/>
    <col min="12825" max="12825" width="9.140625" style="121" customWidth="1"/>
    <col min="12826" max="12826" width="8.140625" style="121" bestFit="1" customWidth="1"/>
    <col min="12827" max="12827" width="8" style="121" bestFit="1" customWidth="1"/>
    <col min="12828" max="12828" width="8.5703125" style="121" bestFit="1" customWidth="1"/>
    <col min="12829" max="12829" width="6" style="121" bestFit="1" customWidth="1"/>
    <col min="12830" max="12830" width="6.7109375" style="121" bestFit="1" customWidth="1"/>
    <col min="12831" max="12832" width="0" style="121" hidden="1" customWidth="1"/>
    <col min="12833" max="12833" width="6.7109375" style="121" customWidth="1"/>
    <col min="12834" max="12834" width="9.140625" style="121" customWidth="1"/>
    <col min="12835" max="12836" width="9.140625" style="121"/>
    <col min="12837" max="12907" width="0" style="121" hidden="1" customWidth="1"/>
    <col min="12908" max="13067" width="9.140625" style="121"/>
    <col min="13068" max="13068" width="4.5703125" style="121" customWidth="1"/>
    <col min="13069" max="13069" width="22.5703125" style="121" customWidth="1"/>
    <col min="13070" max="13070" width="3.85546875" style="121" customWidth="1"/>
    <col min="13071" max="13071" width="4.140625" style="121" bestFit="1" customWidth="1"/>
    <col min="13072" max="13072" width="9.85546875" style="121" customWidth="1"/>
    <col min="13073" max="13074" width="6.7109375" style="121" bestFit="1" customWidth="1"/>
    <col min="13075" max="13075" width="8.140625" style="121" customWidth="1"/>
    <col min="13076" max="13076" width="9.140625" style="121" customWidth="1"/>
    <col min="13077" max="13077" width="10.28515625" style="121" bestFit="1" customWidth="1"/>
    <col min="13078" max="13078" width="4" style="121" bestFit="1" customWidth="1"/>
    <col min="13079" max="13079" width="3" style="121" bestFit="1" customWidth="1"/>
    <col min="13080" max="13080" width="8.140625" style="121" customWidth="1"/>
    <col min="13081" max="13081" width="9.140625" style="121" customWidth="1"/>
    <col min="13082" max="13082" width="8.140625" style="121" bestFit="1" customWidth="1"/>
    <col min="13083" max="13083" width="8" style="121" bestFit="1" customWidth="1"/>
    <col min="13084" max="13084" width="8.5703125" style="121" bestFit="1" customWidth="1"/>
    <col min="13085" max="13085" width="6" style="121" bestFit="1" customWidth="1"/>
    <col min="13086" max="13086" width="6.7109375" style="121" bestFit="1" customWidth="1"/>
    <col min="13087" max="13088" width="0" style="121" hidden="1" customWidth="1"/>
    <col min="13089" max="13089" width="6.7109375" style="121" customWidth="1"/>
    <col min="13090" max="13090" width="9.140625" style="121" customWidth="1"/>
    <col min="13091" max="13092" width="9.140625" style="121"/>
    <col min="13093" max="13163" width="0" style="121" hidden="1" customWidth="1"/>
    <col min="13164" max="13323" width="9.140625" style="121"/>
    <col min="13324" max="13324" width="4.5703125" style="121" customWidth="1"/>
    <col min="13325" max="13325" width="22.5703125" style="121" customWidth="1"/>
    <col min="13326" max="13326" width="3.85546875" style="121" customWidth="1"/>
    <col min="13327" max="13327" width="4.140625" style="121" bestFit="1" customWidth="1"/>
    <col min="13328" max="13328" width="9.85546875" style="121" customWidth="1"/>
    <col min="13329" max="13330" width="6.7109375" style="121" bestFit="1" customWidth="1"/>
    <col min="13331" max="13331" width="8.140625" style="121" customWidth="1"/>
    <col min="13332" max="13332" width="9.140625" style="121" customWidth="1"/>
    <col min="13333" max="13333" width="10.28515625" style="121" bestFit="1" customWidth="1"/>
    <col min="13334" max="13334" width="4" style="121" bestFit="1" customWidth="1"/>
    <col min="13335" max="13335" width="3" style="121" bestFit="1" customWidth="1"/>
    <col min="13336" max="13336" width="8.140625" style="121" customWidth="1"/>
    <col min="13337" max="13337" width="9.140625" style="121" customWidth="1"/>
    <col min="13338" max="13338" width="8.140625" style="121" bestFit="1" customWidth="1"/>
    <col min="13339" max="13339" width="8" style="121" bestFit="1" customWidth="1"/>
    <col min="13340" max="13340" width="8.5703125" style="121" bestFit="1" customWidth="1"/>
    <col min="13341" max="13341" width="6" style="121" bestFit="1" customWidth="1"/>
    <col min="13342" max="13342" width="6.7109375" style="121" bestFit="1" customWidth="1"/>
    <col min="13343" max="13344" width="0" style="121" hidden="1" customWidth="1"/>
    <col min="13345" max="13345" width="6.7109375" style="121" customWidth="1"/>
    <col min="13346" max="13346" width="9.140625" style="121" customWidth="1"/>
    <col min="13347" max="13348" width="9.140625" style="121"/>
    <col min="13349" max="13419" width="0" style="121" hidden="1" customWidth="1"/>
    <col min="13420" max="13579" width="9.140625" style="121"/>
    <col min="13580" max="13580" width="4.5703125" style="121" customWidth="1"/>
    <col min="13581" max="13581" width="22.5703125" style="121" customWidth="1"/>
    <col min="13582" max="13582" width="3.85546875" style="121" customWidth="1"/>
    <col min="13583" max="13583" width="4.140625" style="121" bestFit="1" customWidth="1"/>
    <col min="13584" max="13584" width="9.85546875" style="121" customWidth="1"/>
    <col min="13585" max="13586" width="6.7109375" style="121" bestFit="1" customWidth="1"/>
    <col min="13587" max="13587" width="8.140625" style="121" customWidth="1"/>
    <col min="13588" max="13588" width="9.140625" style="121" customWidth="1"/>
    <col min="13589" max="13589" width="10.28515625" style="121" bestFit="1" customWidth="1"/>
    <col min="13590" max="13590" width="4" style="121" bestFit="1" customWidth="1"/>
    <col min="13591" max="13591" width="3" style="121" bestFit="1" customWidth="1"/>
    <col min="13592" max="13592" width="8.140625" style="121" customWidth="1"/>
    <col min="13593" max="13593" width="9.140625" style="121" customWidth="1"/>
    <col min="13594" max="13594" width="8.140625" style="121" bestFit="1" customWidth="1"/>
    <col min="13595" max="13595" width="8" style="121" bestFit="1" customWidth="1"/>
    <col min="13596" max="13596" width="8.5703125" style="121" bestFit="1" customWidth="1"/>
    <col min="13597" max="13597" width="6" style="121" bestFit="1" customWidth="1"/>
    <col min="13598" max="13598" width="6.7109375" style="121" bestFit="1" customWidth="1"/>
    <col min="13599" max="13600" width="0" style="121" hidden="1" customWidth="1"/>
    <col min="13601" max="13601" width="6.7109375" style="121" customWidth="1"/>
    <col min="13602" max="13602" width="9.140625" style="121" customWidth="1"/>
    <col min="13603" max="13604" width="9.140625" style="121"/>
    <col min="13605" max="13675" width="0" style="121" hidden="1" customWidth="1"/>
    <col min="13676" max="13835" width="9.140625" style="121"/>
    <col min="13836" max="13836" width="4.5703125" style="121" customWidth="1"/>
    <col min="13837" max="13837" width="22.5703125" style="121" customWidth="1"/>
    <col min="13838" max="13838" width="3.85546875" style="121" customWidth="1"/>
    <col min="13839" max="13839" width="4.140625" style="121" bestFit="1" customWidth="1"/>
    <col min="13840" max="13840" width="9.85546875" style="121" customWidth="1"/>
    <col min="13841" max="13842" width="6.7109375" style="121" bestFit="1" customWidth="1"/>
    <col min="13843" max="13843" width="8.140625" style="121" customWidth="1"/>
    <col min="13844" max="13844" width="9.140625" style="121" customWidth="1"/>
    <col min="13845" max="13845" width="10.28515625" style="121" bestFit="1" customWidth="1"/>
    <col min="13846" max="13846" width="4" style="121" bestFit="1" customWidth="1"/>
    <col min="13847" max="13847" width="3" style="121" bestFit="1" customWidth="1"/>
    <col min="13848" max="13848" width="8.140625" style="121" customWidth="1"/>
    <col min="13849" max="13849" width="9.140625" style="121" customWidth="1"/>
    <col min="13850" max="13850" width="8.140625" style="121" bestFit="1" customWidth="1"/>
    <col min="13851" max="13851" width="8" style="121" bestFit="1" customWidth="1"/>
    <col min="13852" max="13852" width="8.5703125" style="121" bestFit="1" customWidth="1"/>
    <col min="13853" max="13853" width="6" style="121" bestFit="1" customWidth="1"/>
    <col min="13854" max="13854" width="6.7109375" style="121" bestFit="1" customWidth="1"/>
    <col min="13855" max="13856" width="0" style="121" hidden="1" customWidth="1"/>
    <col min="13857" max="13857" width="6.7109375" style="121" customWidth="1"/>
    <col min="13858" max="13858" width="9.140625" style="121" customWidth="1"/>
    <col min="13859" max="13860" width="9.140625" style="121"/>
    <col min="13861" max="13931" width="0" style="121" hidden="1" customWidth="1"/>
    <col min="13932" max="14091" width="9.140625" style="121"/>
    <col min="14092" max="14092" width="4.5703125" style="121" customWidth="1"/>
    <col min="14093" max="14093" width="22.5703125" style="121" customWidth="1"/>
    <col min="14094" max="14094" width="3.85546875" style="121" customWidth="1"/>
    <col min="14095" max="14095" width="4.140625" style="121" bestFit="1" customWidth="1"/>
    <col min="14096" max="14096" width="9.85546875" style="121" customWidth="1"/>
    <col min="14097" max="14098" width="6.7109375" style="121" bestFit="1" customWidth="1"/>
    <col min="14099" max="14099" width="8.140625" style="121" customWidth="1"/>
    <col min="14100" max="14100" width="9.140625" style="121" customWidth="1"/>
    <col min="14101" max="14101" width="10.28515625" style="121" bestFit="1" customWidth="1"/>
    <col min="14102" max="14102" width="4" style="121" bestFit="1" customWidth="1"/>
    <col min="14103" max="14103" width="3" style="121" bestFit="1" customWidth="1"/>
    <col min="14104" max="14104" width="8.140625" style="121" customWidth="1"/>
    <col min="14105" max="14105" width="9.140625" style="121" customWidth="1"/>
    <col min="14106" max="14106" width="8.140625" style="121" bestFit="1" customWidth="1"/>
    <col min="14107" max="14107" width="8" style="121" bestFit="1" customWidth="1"/>
    <col min="14108" max="14108" width="8.5703125" style="121" bestFit="1" customWidth="1"/>
    <col min="14109" max="14109" width="6" style="121" bestFit="1" customWidth="1"/>
    <col min="14110" max="14110" width="6.7109375" style="121" bestFit="1" customWidth="1"/>
    <col min="14111" max="14112" width="0" style="121" hidden="1" customWidth="1"/>
    <col min="14113" max="14113" width="6.7109375" style="121" customWidth="1"/>
    <col min="14114" max="14114" width="9.140625" style="121" customWidth="1"/>
    <col min="14115" max="14116" width="9.140625" style="121"/>
    <col min="14117" max="14187" width="0" style="121" hidden="1" customWidth="1"/>
    <col min="14188" max="14347" width="9.140625" style="121"/>
    <col min="14348" max="14348" width="4.5703125" style="121" customWidth="1"/>
    <col min="14349" max="14349" width="22.5703125" style="121" customWidth="1"/>
    <col min="14350" max="14350" width="3.85546875" style="121" customWidth="1"/>
    <col min="14351" max="14351" width="4.140625" style="121" bestFit="1" customWidth="1"/>
    <col min="14352" max="14352" width="9.85546875" style="121" customWidth="1"/>
    <col min="14353" max="14354" width="6.7109375" style="121" bestFit="1" customWidth="1"/>
    <col min="14355" max="14355" width="8.140625" style="121" customWidth="1"/>
    <col min="14356" max="14356" width="9.140625" style="121" customWidth="1"/>
    <col min="14357" max="14357" width="10.28515625" style="121" bestFit="1" customWidth="1"/>
    <col min="14358" max="14358" width="4" style="121" bestFit="1" customWidth="1"/>
    <col min="14359" max="14359" width="3" style="121" bestFit="1" customWidth="1"/>
    <col min="14360" max="14360" width="8.140625" style="121" customWidth="1"/>
    <col min="14361" max="14361" width="9.140625" style="121" customWidth="1"/>
    <col min="14362" max="14362" width="8.140625" style="121" bestFit="1" customWidth="1"/>
    <col min="14363" max="14363" width="8" style="121" bestFit="1" customWidth="1"/>
    <col min="14364" max="14364" width="8.5703125" style="121" bestFit="1" customWidth="1"/>
    <col min="14365" max="14365" width="6" style="121" bestFit="1" customWidth="1"/>
    <col min="14366" max="14366" width="6.7109375" style="121" bestFit="1" customWidth="1"/>
    <col min="14367" max="14368" width="0" style="121" hidden="1" customWidth="1"/>
    <col min="14369" max="14369" width="6.7109375" style="121" customWidth="1"/>
    <col min="14370" max="14370" width="9.140625" style="121" customWidth="1"/>
    <col min="14371" max="14372" width="9.140625" style="121"/>
    <col min="14373" max="14443" width="0" style="121" hidden="1" customWidth="1"/>
    <col min="14444" max="14603" width="9.140625" style="121"/>
    <col min="14604" max="14604" width="4.5703125" style="121" customWidth="1"/>
    <col min="14605" max="14605" width="22.5703125" style="121" customWidth="1"/>
    <col min="14606" max="14606" width="3.85546875" style="121" customWidth="1"/>
    <col min="14607" max="14607" width="4.140625" style="121" bestFit="1" customWidth="1"/>
    <col min="14608" max="14608" width="9.85546875" style="121" customWidth="1"/>
    <col min="14609" max="14610" width="6.7109375" style="121" bestFit="1" customWidth="1"/>
    <col min="14611" max="14611" width="8.140625" style="121" customWidth="1"/>
    <col min="14612" max="14612" width="9.140625" style="121" customWidth="1"/>
    <col min="14613" max="14613" width="10.28515625" style="121" bestFit="1" customWidth="1"/>
    <col min="14614" max="14614" width="4" style="121" bestFit="1" customWidth="1"/>
    <col min="14615" max="14615" width="3" style="121" bestFit="1" customWidth="1"/>
    <col min="14616" max="14616" width="8.140625" style="121" customWidth="1"/>
    <col min="14617" max="14617" width="9.140625" style="121" customWidth="1"/>
    <col min="14618" max="14618" width="8.140625" style="121" bestFit="1" customWidth="1"/>
    <col min="14619" max="14619" width="8" style="121" bestFit="1" customWidth="1"/>
    <col min="14620" max="14620" width="8.5703125" style="121" bestFit="1" customWidth="1"/>
    <col min="14621" max="14621" width="6" style="121" bestFit="1" customWidth="1"/>
    <col min="14622" max="14622" width="6.7109375" style="121" bestFit="1" customWidth="1"/>
    <col min="14623" max="14624" width="0" style="121" hidden="1" customWidth="1"/>
    <col min="14625" max="14625" width="6.7109375" style="121" customWidth="1"/>
    <col min="14626" max="14626" width="9.140625" style="121" customWidth="1"/>
    <col min="14627" max="14628" width="9.140625" style="121"/>
    <col min="14629" max="14699" width="0" style="121" hidden="1" customWidth="1"/>
    <col min="14700" max="14859" width="9.140625" style="121"/>
    <col min="14860" max="14860" width="4.5703125" style="121" customWidth="1"/>
    <col min="14861" max="14861" width="22.5703125" style="121" customWidth="1"/>
    <col min="14862" max="14862" width="3.85546875" style="121" customWidth="1"/>
    <col min="14863" max="14863" width="4.140625" style="121" bestFit="1" customWidth="1"/>
    <col min="14864" max="14864" width="9.85546875" style="121" customWidth="1"/>
    <col min="14865" max="14866" width="6.7109375" style="121" bestFit="1" customWidth="1"/>
    <col min="14867" max="14867" width="8.140625" style="121" customWidth="1"/>
    <col min="14868" max="14868" width="9.140625" style="121" customWidth="1"/>
    <col min="14869" max="14869" width="10.28515625" style="121" bestFit="1" customWidth="1"/>
    <col min="14870" max="14870" width="4" style="121" bestFit="1" customWidth="1"/>
    <col min="14871" max="14871" width="3" style="121" bestFit="1" customWidth="1"/>
    <col min="14872" max="14872" width="8.140625" style="121" customWidth="1"/>
    <col min="14873" max="14873" width="9.140625" style="121" customWidth="1"/>
    <col min="14874" max="14874" width="8.140625" style="121" bestFit="1" customWidth="1"/>
    <col min="14875" max="14875" width="8" style="121" bestFit="1" customWidth="1"/>
    <col min="14876" max="14876" width="8.5703125" style="121" bestFit="1" customWidth="1"/>
    <col min="14877" max="14877" width="6" style="121" bestFit="1" customWidth="1"/>
    <col min="14878" max="14878" width="6.7109375" style="121" bestFit="1" customWidth="1"/>
    <col min="14879" max="14880" width="0" style="121" hidden="1" customWidth="1"/>
    <col min="14881" max="14881" width="6.7109375" style="121" customWidth="1"/>
    <col min="14882" max="14882" width="9.140625" style="121" customWidth="1"/>
    <col min="14883" max="14884" width="9.140625" style="121"/>
    <col min="14885" max="14955" width="0" style="121" hidden="1" customWidth="1"/>
    <col min="14956" max="15115" width="9.140625" style="121"/>
    <col min="15116" max="15116" width="4.5703125" style="121" customWidth="1"/>
    <col min="15117" max="15117" width="22.5703125" style="121" customWidth="1"/>
    <col min="15118" max="15118" width="3.85546875" style="121" customWidth="1"/>
    <col min="15119" max="15119" width="4.140625" style="121" bestFit="1" customWidth="1"/>
    <col min="15120" max="15120" width="9.85546875" style="121" customWidth="1"/>
    <col min="15121" max="15122" width="6.7109375" style="121" bestFit="1" customWidth="1"/>
    <col min="15123" max="15123" width="8.140625" style="121" customWidth="1"/>
    <col min="15124" max="15124" width="9.140625" style="121" customWidth="1"/>
    <col min="15125" max="15125" width="10.28515625" style="121" bestFit="1" customWidth="1"/>
    <col min="15126" max="15126" width="4" style="121" bestFit="1" customWidth="1"/>
    <col min="15127" max="15127" width="3" style="121" bestFit="1" customWidth="1"/>
    <col min="15128" max="15128" width="8.140625" style="121" customWidth="1"/>
    <col min="15129" max="15129" width="9.140625" style="121" customWidth="1"/>
    <col min="15130" max="15130" width="8.140625" style="121" bestFit="1" customWidth="1"/>
    <col min="15131" max="15131" width="8" style="121" bestFit="1" customWidth="1"/>
    <col min="15132" max="15132" width="8.5703125" style="121" bestFit="1" customWidth="1"/>
    <col min="15133" max="15133" width="6" style="121" bestFit="1" customWidth="1"/>
    <col min="15134" max="15134" width="6.7109375" style="121" bestFit="1" customWidth="1"/>
    <col min="15135" max="15136" width="0" style="121" hidden="1" customWidth="1"/>
    <col min="15137" max="15137" width="6.7109375" style="121" customWidth="1"/>
    <col min="15138" max="15138" width="9.140625" style="121" customWidth="1"/>
    <col min="15139" max="15140" width="9.140625" style="121"/>
    <col min="15141" max="15211" width="0" style="121" hidden="1" customWidth="1"/>
    <col min="15212" max="15371" width="9.140625" style="121"/>
    <col min="15372" max="15372" width="4.5703125" style="121" customWidth="1"/>
    <col min="15373" max="15373" width="22.5703125" style="121" customWidth="1"/>
    <col min="15374" max="15374" width="3.85546875" style="121" customWidth="1"/>
    <col min="15375" max="15375" width="4.140625" style="121" bestFit="1" customWidth="1"/>
    <col min="15376" max="15376" width="9.85546875" style="121" customWidth="1"/>
    <col min="15377" max="15378" width="6.7109375" style="121" bestFit="1" customWidth="1"/>
    <col min="15379" max="15379" width="8.140625" style="121" customWidth="1"/>
    <col min="15380" max="15380" width="9.140625" style="121" customWidth="1"/>
    <col min="15381" max="15381" width="10.28515625" style="121" bestFit="1" customWidth="1"/>
    <col min="15382" max="15382" width="4" style="121" bestFit="1" customWidth="1"/>
    <col min="15383" max="15383" width="3" style="121" bestFit="1" customWidth="1"/>
    <col min="15384" max="15384" width="8.140625" style="121" customWidth="1"/>
    <col min="15385" max="15385" width="9.140625" style="121" customWidth="1"/>
    <col min="15386" max="15386" width="8.140625" style="121" bestFit="1" customWidth="1"/>
    <col min="15387" max="15387" width="8" style="121" bestFit="1" customWidth="1"/>
    <col min="15388" max="15388" width="8.5703125" style="121" bestFit="1" customWidth="1"/>
    <col min="15389" max="15389" width="6" style="121" bestFit="1" customWidth="1"/>
    <col min="15390" max="15390" width="6.7109375" style="121" bestFit="1" customWidth="1"/>
    <col min="15391" max="15392" width="0" style="121" hidden="1" customWidth="1"/>
    <col min="15393" max="15393" width="6.7109375" style="121" customWidth="1"/>
    <col min="15394" max="15394" width="9.140625" style="121" customWidth="1"/>
    <col min="15395" max="15396" width="9.140625" style="121"/>
    <col min="15397" max="15467" width="0" style="121" hidden="1" customWidth="1"/>
    <col min="15468" max="15627" width="9.140625" style="121"/>
    <col min="15628" max="15628" width="4.5703125" style="121" customWidth="1"/>
    <col min="15629" max="15629" width="22.5703125" style="121" customWidth="1"/>
    <col min="15630" max="15630" width="3.85546875" style="121" customWidth="1"/>
    <col min="15631" max="15631" width="4.140625" style="121" bestFit="1" customWidth="1"/>
    <col min="15632" max="15632" width="9.85546875" style="121" customWidth="1"/>
    <col min="15633" max="15634" width="6.7109375" style="121" bestFit="1" customWidth="1"/>
    <col min="15635" max="15635" width="8.140625" style="121" customWidth="1"/>
    <col min="15636" max="15636" width="9.140625" style="121" customWidth="1"/>
    <col min="15637" max="15637" width="10.28515625" style="121" bestFit="1" customWidth="1"/>
    <col min="15638" max="15638" width="4" style="121" bestFit="1" customWidth="1"/>
    <col min="15639" max="15639" width="3" style="121" bestFit="1" customWidth="1"/>
    <col min="15640" max="15640" width="8.140625" style="121" customWidth="1"/>
    <col min="15641" max="15641" width="9.140625" style="121" customWidth="1"/>
    <col min="15642" max="15642" width="8.140625" style="121" bestFit="1" customWidth="1"/>
    <col min="15643" max="15643" width="8" style="121" bestFit="1" customWidth="1"/>
    <col min="15644" max="15644" width="8.5703125" style="121" bestFit="1" customWidth="1"/>
    <col min="15645" max="15645" width="6" style="121" bestFit="1" customWidth="1"/>
    <col min="15646" max="15646" width="6.7109375" style="121" bestFit="1" customWidth="1"/>
    <col min="15647" max="15648" width="0" style="121" hidden="1" customWidth="1"/>
    <col min="15649" max="15649" width="6.7109375" style="121" customWidth="1"/>
    <col min="15650" max="15650" width="9.140625" style="121" customWidth="1"/>
    <col min="15651" max="15652" width="9.140625" style="121"/>
    <col min="15653" max="15723" width="0" style="121" hidden="1" customWidth="1"/>
    <col min="15724" max="15883" width="9.140625" style="121"/>
    <col min="15884" max="15884" width="4.5703125" style="121" customWidth="1"/>
    <col min="15885" max="15885" width="22.5703125" style="121" customWidth="1"/>
    <col min="15886" max="15886" width="3.85546875" style="121" customWidth="1"/>
    <col min="15887" max="15887" width="4.140625" style="121" bestFit="1" customWidth="1"/>
    <col min="15888" max="15888" width="9.85546875" style="121" customWidth="1"/>
    <col min="15889" max="15890" width="6.7109375" style="121" bestFit="1" customWidth="1"/>
    <col min="15891" max="15891" width="8.140625" style="121" customWidth="1"/>
    <col min="15892" max="15892" width="9.140625" style="121" customWidth="1"/>
    <col min="15893" max="15893" width="10.28515625" style="121" bestFit="1" customWidth="1"/>
    <col min="15894" max="15894" width="4" style="121" bestFit="1" customWidth="1"/>
    <col min="15895" max="15895" width="3" style="121" bestFit="1" customWidth="1"/>
    <col min="15896" max="15896" width="8.140625" style="121" customWidth="1"/>
    <col min="15897" max="15897" width="9.140625" style="121" customWidth="1"/>
    <col min="15898" max="15898" width="8.140625" style="121" bestFit="1" customWidth="1"/>
    <col min="15899" max="15899" width="8" style="121" bestFit="1" customWidth="1"/>
    <col min="15900" max="15900" width="8.5703125" style="121" bestFit="1" customWidth="1"/>
    <col min="15901" max="15901" width="6" style="121" bestFit="1" customWidth="1"/>
    <col min="15902" max="15902" width="6.7109375" style="121" bestFit="1" customWidth="1"/>
    <col min="15903" max="15904" width="0" style="121" hidden="1" customWidth="1"/>
    <col min="15905" max="15905" width="6.7109375" style="121" customWidth="1"/>
    <col min="15906" max="15906" width="9.140625" style="121" customWidth="1"/>
    <col min="15907" max="15908" width="9.140625" style="121"/>
    <col min="15909" max="15979" width="0" style="121" hidden="1" customWidth="1"/>
    <col min="15980" max="16139" width="9.140625" style="121"/>
    <col min="16140" max="16140" width="4.5703125" style="121" customWidth="1"/>
    <col min="16141" max="16141" width="22.5703125" style="121" customWidth="1"/>
    <col min="16142" max="16142" width="3.85546875" style="121" customWidth="1"/>
    <col min="16143" max="16143" width="4.140625" style="121" bestFit="1" customWidth="1"/>
    <col min="16144" max="16144" width="9.85546875" style="121" customWidth="1"/>
    <col min="16145" max="16146" width="6.7109375" style="121" bestFit="1" customWidth="1"/>
    <col min="16147" max="16147" width="8.140625" style="121" customWidth="1"/>
    <col min="16148" max="16148" width="9.140625" style="121" customWidth="1"/>
    <col min="16149" max="16149" width="10.28515625" style="121" bestFit="1" customWidth="1"/>
    <col min="16150" max="16150" width="4" style="121" bestFit="1" customWidth="1"/>
    <col min="16151" max="16151" width="3" style="121" bestFit="1" customWidth="1"/>
    <col min="16152" max="16152" width="8.140625" style="121" customWidth="1"/>
    <col min="16153" max="16153" width="9.140625" style="121" customWidth="1"/>
    <col min="16154" max="16154" width="8.140625" style="121" bestFit="1" customWidth="1"/>
    <col min="16155" max="16155" width="8" style="121" bestFit="1" customWidth="1"/>
    <col min="16156" max="16156" width="8.5703125" style="121" bestFit="1" customWidth="1"/>
    <col min="16157" max="16157" width="6" style="121" bestFit="1" customWidth="1"/>
    <col min="16158" max="16158" width="6.7109375" style="121" bestFit="1" customWidth="1"/>
    <col min="16159" max="16160" width="0" style="121" hidden="1" customWidth="1"/>
    <col min="16161" max="16161" width="6.7109375" style="121" customWidth="1"/>
    <col min="16162" max="16162" width="9.140625" style="121" customWidth="1"/>
    <col min="16163" max="16164" width="9.140625" style="121"/>
    <col min="16165" max="16235" width="0" style="121" hidden="1" customWidth="1"/>
    <col min="16236" max="16384" width="9.140625" style="121"/>
  </cols>
  <sheetData>
    <row r="1" spans="1:65" x14ac:dyDescent="0.25">
      <c r="A1" s="117"/>
      <c r="B1" s="118"/>
      <c r="C1" s="118"/>
      <c r="D1" s="118"/>
      <c r="E1" s="118"/>
      <c r="F1" s="118"/>
      <c r="G1" s="118"/>
      <c r="H1" s="118"/>
      <c r="I1" s="118"/>
      <c r="J1" s="118"/>
      <c r="K1" s="118"/>
      <c r="L1" s="118"/>
      <c r="M1" s="118"/>
      <c r="N1" s="118"/>
      <c r="O1" s="118"/>
      <c r="P1" s="118"/>
      <c r="Q1" s="118"/>
      <c r="R1" s="118"/>
      <c r="S1" s="118"/>
      <c r="T1" s="119"/>
      <c r="U1" s="119"/>
      <c r="V1" s="120"/>
      <c r="W1" s="119"/>
      <c r="X1" s="119"/>
      <c r="Y1" s="119"/>
      <c r="Z1" s="119"/>
      <c r="AA1" s="119"/>
      <c r="AB1" s="119"/>
      <c r="AC1" s="119"/>
      <c r="AD1" s="119"/>
      <c r="AE1" s="121"/>
      <c r="AF1" s="121"/>
      <c r="AG1" s="121"/>
      <c r="AH1" s="121"/>
      <c r="AI1" s="121"/>
      <c r="AJ1" s="121"/>
      <c r="AK1" s="122"/>
      <c r="AL1" s="123"/>
      <c r="AM1" s="124"/>
      <c r="AN1" s="124"/>
      <c r="AO1" s="121"/>
      <c r="AP1" s="121"/>
    </row>
    <row r="2" spans="1:65" ht="16.5" thickBot="1" x14ac:dyDescent="0.3">
      <c r="A2" s="125"/>
      <c r="B2" s="126"/>
      <c r="C2" s="126"/>
      <c r="D2" s="126"/>
      <c r="E2" s="126"/>
      <c r="F2" s="126"/>
      <c r="G2" s="126"/>
      <c r="H2" s="126"/>
      <c r="I2" s="126"/>
      <c r="J2" s="126"/>
      <c r="K2" s="126"/>
      <c r="L2" s="126"/>
      <c r="M2" s="126"/>
      <c r="N2" s="126"/>
      <c r="O2" s="126"/>
      <c r="P2" s="126"/>
      <c r="Q2" s="126"/>
      <c r="R2" s="126"/>
      <c r="S2" s="126"/>
      <c r="T2" s="127"/>
      <c r="U2" s="127"/>
      <c r="V2" s="128"/>
      <c r="W2" s="127"/>
      <c r="X2" s="127"/>
      <c r="Y2" s="129"/>
      <c r="Z2" s="129"/>
      <c r="AA2" s="129"/>
      <c r="AB2" s="129"/>
      <c r="AC2" s="96"/>
      <c r="AD2" s="96"/>
      <c r="AE2" s="121"/>
      <c r="AF2" s="121"/>
      <c r="AG2" s="121"/>
      <c r="AH2" s="121"/>
      <c r="AI2" s="121"/>
      <c r="AJ2" s="121"/>
      <c r="AK2" s="122"/>
      <c r="AL2" s="96"/>
      <c r="AM2" s="124"/>
      <c r="AN2" s="124"/>
      <c r="AO2" s="121"/>
      <c r="AP2" s="121"/>
    </row>
    <row r="3" spans="1:65" ht="18.75" thickBot="1" x14ac:dyDescent="0.3">
      <c r="A3" s="130"/>
      <c r="B3" s="656" t="s">
        <v>324</v>
      </c>
      <c r="C3" s="657"/>
      <c r="D3" s="657"/>
      <c r="E3" s="657"/>
      <c r="F3" s="657"/>
      <c r="G3" s="657"/>
      <c r="H3" s="657"/>
      <c r="I3" s="657"/>
      <c r="J3" s="657"/>
      <c r="K3" s="657"/>
      <c r="L3" s="657"/>
      <c r="M3" s="657"/>
      <c r="N3" s="657"/>
      <c r="O3" s="657"/>
      <c r="P3" s="657"/>
      <c r="Q3" s="657"/>
      <c r="R3" s="657"/>
      <c r="S3" s="657"/>
      <c r="T3" s="657"/>
      <c r="U3" s="657"/>
      <c r="V3" s="657"/>
      <c r="W3" s="657"/>
      <c r="X3" s="657"/>
      <c r="Y3" s="657"/>
      <c r="Z3" s="657"/>
      <c r="AA3" s="657"/>
      <c r="AB3" s="658"/>
      <c r="AC3" s="659" t="s">
        <v>325</v>
      </c>
      <c r="AD3" s="660"/>
      <c r="AE3" s="660"/>
      <c r="AF3" s="660"/>
      <c r="AG3" s="660"/>
      <c r="AH3" s="660"/>
      <c r="AI3" s="660"/>
      <c r="AJ3" s="660"/>
      <c r="AK3" s="660"/>
      <c r="AL3" s="660"/>
      <c r="AM3" s="660"/>
      <c r="AN3" s="660"/>
      <c r="AO3" s="660"/>
      <c r="AP3" s="660"/>
      <c r="AQ3" s="660"/>
      <c r="AR3" s="660"/>
      <c r="AS3" s="660"/>
      <c r="AT3" s="660"/>
      <c r="AU3" s="660"/>
      <c r="AV3" s="660"/>
      <c r="AW3" s="660"/>
      <c r="AX3" s="660"/>
      <c r="AY3" s="660"/>
      <c r="AZ3" s="660"/>
      <c r="BA3" s="660"/>
      <c r="BB3" s="660"/>
      <c r="BC3" s="661"/>
    </row>
    <row r="4" spans="1:65" ht="49.5" customHeight="1" x14ac:dyDescent="0.25">
      <c r="A4" s="667" t="s">
        <v>326</v>
      </c>
      <c r="B4" s="669" t="s">
        <v>80</v>
      </c>
      <c r="C4" s="669" t="s">
        <v>327</v>
      </c>
      <c r="D4" s="670" t="s">
        <v>328</v>
      </c>
      <c r="E4" s="670" t="s">
        <v>329</v>
      </c>
      <c r="F4" s="662" t="str">
        <f>IF(F6&gt;=2,"Years","Year")</f>
        <v>Year</v>
      </c>
      <c r="G4" s="663" t="str">
        <f>IF(G6&gt;=2,"Years","Year")</f>
        <v>Year</v>
      </c>
      <c r="H4" s="663" t="s">
        <v>330</v>
      </c>
      <c r="I4" s="663" t="str">
        <f>IF(I6&gt;=2,"Months","Month")</f>
        <v>Month</v>
      </c>
      <c r="J4" s="662" t="str">
        <f>IF(J6&gt;=2,"Months","Month")</f>
        <v>Month</v>
      </c>
      <c r="K4" s="662" t="s">
        <v>346</v>
      </c>
      <c r="L4" s="664" t="s">
        <v>331</v>
      </c>
      <c r="M4" s="653" t="s">
        <v>332</v>
      </c>
      <c r="N4" s="653" t="s">
        <v>332</v>
      </c>
      <c r="O4" s="655" t="s">
        <v>333</v>
      </c>
      <c r="P4" s="655" t="s">
        <v>334</v>
      </c>
      <c r="Q4" s="664" t="s">
        <v>335</v>
      </c>
      <c r="R4" s="665" t="s">
        <v>336</v>
      </c>
      <c r="S4" s="654" t="s">
        <v>337</v>
      </c>
      <c r="T4" s="654" t="s">
        <v>338</v>
      </c>
      <c r="U4" s="654" t="s">
        <v>321</v>
      </c>
      <c r="V4" s="654"/>
      <c r="W4" s="654"/>
      <c r="X4" s="654"/>
      <c r="Y4" s="654" t="s">
        <v>339</v>
      </c>
      <c r="Z4" s="654" t="s">
        <v>339</v>
      </c>
      <c r="AA4" s="654" t="s">
        <v>308</v>
      </c>
      <c r="AB4" s="689" t="s">
        <v>308</v>
      </c>
      <c r="AC4" s="691" t="s">
        <v>340</v>
      </c>
      <c r="AD4" s="685" t="str">
        <f>IF(AD6&gt;=2,"Years","Year")</f>
        <v>Year</v>
      </c>
      <c r="AE4" s="685" t="str">
        <f>IF(AE6&gt;=2,"Years","Year")</f>
        <v>Year</v>
      </c>
      <c r="AF4" s="687" t="s">
        <v>330</v>
      </c>
      <c r="AG4" s="687" t="str">
        <f>IF(AG6&gt;=2,"Months","Month")</f>
        <v>Month</v>
      </c>
      <c r="AH4" s="687" t="str">
        <f>IF(AH6&gt;=2,"Months","Month")</f>
        <v>Month</v>
      </c>
      <c r="AI4" s="671" t="s">
        <v>331</v>
      </c>
      <c r="AJ4" s="673" t="s">
        <v>332</v>
      </c>
      <c r="AK4" s="673" t="s">
        <v>332</v>
      </c>
      <c r="AL4" s="671" t="s">
        <v>341</v>
      </c>
      <c r="AM4" s="675" t="s">
        <v>342</v>
      </c>
      <c r="AN4" s="675" t="s">
        <v>343</v>
      </c>
      <c r="AO4" s="675" t="s">
        <v>343</v>
      </c>
      <c r="AP4" s="677" t="s">
        <v>333</v>
      </c>
      <c r="AQ4" s="681" t="s">
        <v>334</v>
      </c>
      <c r="AR4" s="671" t="s">
        <v>335</v>
      </c>
      <c r="AS4" s="683" t="s">
        <v>336</v>
      </c>
      <c r="AT4" s="679" t="s">
        <v>337</v>
      </c>
      <c r="AU4" s="671" t="s">
        <v>344</v>
      </c>
      <c r="AV4" s="671" t="s">
        <v>321</v>
      </c>
      <c r="AW4" s="671"/>
      <c r="AX4" s="671"/>
      <c r="AY4" s="671"/>
      <c r="AZ4" s="671" t="s">
        <v>339</v>
      </c>
      <c r="BA4" s="693" t="s">
        <v>339</v>
      </c>
      <c r="BB4" s="671" t="s">
        <v>308</v>
      </c>
      <c r="BC4" s="695" t="s">
        <v>308</v>
      </c>
      <c r="BD4" s="697" t="s">
        <v>345</v>
      </c>
    </row>
    <row r="5" spans="1:65" ht="49.5" customHeight="1" thickBot="1" x14ac:dyDescent="0.3">
      <c r="A5" s="668"/>
      <c r="B5" s="669"/>
      <c r="C5" s="669"/>
      <c r="D5" s="670"/>
      <c r="E5" s="670"/>
      <c r="F5" s="662"/>
      <c r="G5" s="663"/>
      <c r="H5" s="663"/>
      <c r="I5" s="663"/>
      <c r="J5" s="662"/>
      <c r="K5" s="662"/>
      <c r="L5" s="664"/>
      <c r="M5" s="653"/>
      <c r="N5" s="653"/>
      <c r="O5" s="655"/>
      <c r="P5" s="655"/>
      <c r="Q5" s="664"/>
      <c r="R5" s="665"/>
      <c r="S5" s="666"/>
      <c r="T5" s="666"/>
      <c r="U5" s="131" t="s">
        <v>322</v>
      </c>
      <c r="V5" s="132" t="s">
        <v>322</v>
      </c>
      <c r="W5" s="132" t="s">
        <v>320</v>
      </c>
      <c r="X5" s="132" t="s">
        <v>323</v>
      </c>
      <c r="Y5" s="666"/>
      <c r="Z5" s="666"/>
      <c r="AA5" s="666"/>
      <c r="AB5" s="690"/>
      <c r="AC5" s="692"/>
      <c r="AD5" s="686"/>
      <c r="AE5" s="686"/>
      <c r="AF5" s="688"/>
      <c r="AG5" s="688"/>
      <c r="AH5" s="688"/>
      <c r="AI5" s="672"/>
      <c r="AJ5" s="674"/>
      <c r="AK5" s="674"/>
      <c r="AL5" s="672"/>
      <c r="AM5" s="676"/>
      <c r="AN5" s="676"/>
      <c r="AO5" s="676"/>
      <c r="AP5" s="678"/>
      <c r="AQ5" s="682"/>
      <c r="AR5" s="672"/>
      <c r="AS5" s="684"/>
      <c r="AT5" s="680"/>
      <c r="AU5" s="672"/>
      <c r="AV5" s="133" t="s">
        <v>322</v>
      </c>
      <c r="AW5" s="190" t="s">
        <v>322</v>
      </c>
      <c r="AX5" s="134" t="s">
        <v>320</v>
      </c>
      <c r="AY5" s="134" t="s">
        <v>323</v>
      </c>
      <c r="AZ5" s="672"/>
      <c r="BA5" s="694"/>
      <c r="BB5" s="672"/>
      <c r="BC5" s="696"/>
      <c r="BD5" s="697"/>
      <c r="BI5" s="184" t="s">
        <v>347</v>
      </c>
      <c r="BJ5" s="184" t="s">
        <v>348</v>
      </c>
    </row>
    <row r="6" spans="1:65" ht="29.25" customHeight="1" x14ac:dyDescent="0.25">
      <c r="A6" s="176">
        <f>IF('DATA INPUT'!$I$83="STATE SCALE",'DATA INPUT'!$C$84,0)</f>
        <v>0</v>
      </c>
      <c r="B6" s="135">
        <f>'DATA INPUT'!$C$7</f>
        <v>0</v>
      </c>
      <c r="C6" s="135">
        <f>'DATA INPUT'!$C$8</f>
        <v>0</v>
      </c>
      <c r="D6" s="136">
        <f>'DATA INPUT'!$C$10</f>
        <v>0</v>
      </c>
      <c r="E6" s="136">
        <f t="shared" ref="E6" si="0">IF(B6="","",D6)</f>
        <v>0</v>
      </c>
      <c r="F6" s="194">
        <f>DATEDIF(C6,D6,"Y")</f>
        <v>0</v>
      </c>
      <c r="G6" s="175">
        <f>IF(F6&gt;33,33,F6)</f>
        <v>0</v>
      </c>
      <c r="H6" s="175">
        <f>IF(C6="","",G6)</f>
        <v>0</v>
      </c>
      <c r="I6" s="175">
        <f>DATEDIF(C6,D6,"Ym")</f>
        <v>0</v>
      </c>
      <c r="J6" s="194">
        <f>IF(C6="","",I6)</f>
        <v>0</v>
      </c>
      <c r="K6" s="194">
        <f>DATEDIF(C6,D6,"md")</f>
        <v>0</v>
      </c>
      <c r="L6" s="138" t="str">
        <f>F6&amp;" "&amp;$G$4&amp;","&amp;" "&amp;J6&amp;" "&amp;$J$4&amp;", "&amp;$K$6&amp;" "&amp;$K$4</f>
        <v>0 Year, 0 Month, 0 Days</v>
      </c>
      <c r="M6" s="139">
        <f>IF(C6="","",IF(J6&lt;=3,0,IF(J6&lt;9,1,IF(J6&lt;=12,2)))+H6*2)</f>
        <v>0</v>
      </c>
      <c r="N6" s="139">
        <f>IF(M6&gt;66,66,M6)</f>
        <v>0</v>
      </c>
      <c r="O6" s="140">
        <f>IF(M6="","0",N6*A6/4)</f>
        <v>0</v>
      </c>
      <c r="P6" s="191">
        <f>IF(O6="0",0,IF(O6&gt;2000000,2000000,O6))</f>
        <v>0</v>
      </c>
      <c r="Q6" s="141"/>
      <c r="R6" s="142"/>
      <c r="S6" s="140">
        <f>(R6*Q6)/30</f>
        <v>0</v>
      </c>
      <c r="T6" s="143">
        <f>P6+S6</f>
        <v>0</v>
      </c>
      <c r="U6" s="144">
        <f>(A6*N6)/132</f>
        <v>0</v>
      </c>
      <c r="V6" s="145">
        <f>IF(M6="","0",IF(U6&lt;8500,8500,IF(U6&gt;75300,75300,U6)))</f>
        <v>8500</v>
      </c>
      <c r="W6" s="143"/>
      <c r="X6" s="143">
        <f>SUM(V6:W6)</f>
        <v>8500</v>
      </c>
      <c r="Y6" s="143">
        <f>(TRUNC(V6/3+0.5)*12)</f>
        <v>33996</v>
      </c>
      <c r="Z6" s="143">
        <f>TRUNC(Y6*9.81+0.5)</f>
        <v>333501</v>
      </c>
      <c r="AA6" s="143">
        <f>TRUNC(A6*30%+0.5)</f>
        <v>0</v>
      </c>
      <c r="AB6" s="146">
        <f>IF(M6="","0",IF(AA6&lt;4800,4800,IF(AA6&gt;23940,23940,AA6)))</f>
        <v>4800</v>
      </c>
      <c r="AC6" s="147">
        <f>D6</f>
        <v>0</v>
      </c>
      <c r="AD6" s="137">
        <f>DATEDIF(C6,AC6,"Y")</f>
        <v>0</v>
      </c>
      <c r="AE6" s="137">
        <f>IF(AD6&gt;33,33,AD6)</f>
        <v>0</v>
      </c>
      <c r="AF6" s="137">
        <f>IF(C6="","",AE6)</f>
        <v>0</v>
      </c>
      <c r="AG6" s="137">
        <f>DATEDIF(C6,AC6,"Ym")</f>
        <v>0</v>
      </c>
      <c r="AH6" s="137">
        <f>IF(C6="","",AG6)</f>
        <v>0</v>
      </c>
      <c r="AI6" s="138" t="str">
        <f t="shared" ref="AI6" si="1">AD6&amp;" "&amp;$G$4&amp;","&amp;" "&amp;AH6&amp;" "&amp;$J$4</f>
        <v>0 Year, 0 Month</v>
      </c>
      <c r="AJ6" s="139">
        <f>IF(C6="","",IF(AH6&lt;=3,0,IF(AH6&lt;9,1,IF(AH6&lt;=12,2)))+AF6*2)</f>
        <v>0</v>
      </c>
      <c r="AK6" s="139">
        <f>IF(AJ6&gt;66,66,AJ6)</f>
        <v>0</v>
      </c>
      <c r="AL6" s="141"/>
      <c r="AM6" s="148">
        <f>(AL6*2)+AK6</f>
        <v>0</v>
      </c>
      <c r="AN6" s="149">
        <f>IF(AM6&gt;66,66,AM6)</f>
        <v>0</v>
      </c>
      <c r="AO6" s="149">
        <f>IF(AM6&gt;60,60,AM6)</f>
        <v>0</v>
      </c>
      <c r="AP6" s="150">
        <f>IF(AN6="","0",AN6*A6/4)</f>
        <v>0</v>
      </c>
      <c r="AQ6" s="181">
        <f>IF(AC6="",0,IF(AP6&gt;2000000,2000000,AP6))</f>
        <v>0</v>
      </c>
      <c r="AR6" s="141"/>
      <c r="AS6" s="151"/>
      <c r="AT6" s="181">
        <f>(AS6*AR6)/30</f>
        <v>0</v>
      </c>
      <c r="AU6" s="143">
        <f>AQ6+AT6</f>
        <v>0</v>
      </c>
      <c r="AV6" s="168">
        <f>TRUNC(A6*AO6)/120</f>
        <v>0</v>
      </c>
      <c r="AW6" s="183">
        <f>IF(AV6="","0",IF(AV6&lt;8500,8500,IF(AV6&gt;75300,75300,AV6)))</f>
        <v>8500</v>
      </c>
      <c r="AX6" s="143"/>
      <c r="AY6" s="143">
        <f>SUM(AW6:AX6)</f>
        <v>8500</v>
      </c>
      <c r="AZ6" s="143">
        <f>(TRUNC(AW6/3+0.5)*12)</f>
        <v>33996</v>
      </c>
      <c r="BA6" s="189" t="e">
        <f>TRUNC(AZ6*BD6+0.5)</f>
        <v>#N/A</v>
      </c>
      <c r="BB6" s="143">
        <f>TRUNC(A6*30%+0.5)</f>
        <v>0</v>
      </c>
      <c r="BC6" s="183">
        <f>IF(AC6="","0",IF(BB6&lt;8500,8500,IF(BB6&gt;45180,45180,BB6)))</f>
        <v>8500</v>
      </c>
      <c r="BD6" s="152" t="e">
        <f>VLOOKUP(BE6,$BI$6:$BJ$74,2)</f>
        <v>#N/A</v>
      </c>
      <c r="BE6" s="153">
        <f>DATEDIF(B6,AC6,"Y")</f>
        <v>0</v>
      </c>
      <c r="BF6" s="154"/>
      <c r="BG6" s="154"/>
      <c r="BH6" s="154"/>
      <c r="BI6" s="185">
        <v>60</v>
      </c>
      <c r="BJ6" s="186">
        <v>19.28</v>
      </c>
      <c r="BK6" s="155"/>
      <c r="BL6" s="155"/>
      <c r="BM6" s="122"/>
    </row>
    <row r="7" spans="1:65" x14ac:dyDescent="0.25">
      <c r="BI7" s="186">
        <v>17</v>
      </c>
      <c r="BJ7" s="187">
        <v>19.2</v>
      </c>
    </row>
    <row r="8" spans="1:65" x14ac:dyDescent="0.25">
      <c r="BI8" s="186">
        <v>18</v>
      </c>
      <c r="BJ8" s="187">
        <v>19.11</v>
      </c>
    </row>
    <row r="9" spans="1:65" ht="28.5" customHeight="1" x14ac:dyDescent="0.25">
      <c r="A9" s="176">
        <f>IF('DATA INPUT'!$I$83="UGC SCALE",'DATA INPUT'!$C$84,0)</f>
        <v>0</v>
      </c>
      <c r="B9" s="135">
        <f>'DATA INPUT'!$C$7</f>
        <v>0</v>
      </c>
      <c r="C9" s="135">
        <f>'DATA INPUT'!$C$8</f>
        <v>0</v>
      </c>
      <c r="D9" s="136">
        <f>'DATA INPUT'!$C$10</f>
        <v>0</v>
      </c>
      <c r="E9" s="136">
        <f t="shared" ref="E9" si="2">IF(B9="","",D9)</f>
        <v>0</v>
      </c>
      <c r="F9" s="194">
        <f>DATEDIF(C9,D9,"Y")</f>
        <v>0</v>
      </c>
      <c r="G9" s="196">
        <f>IF(F9&gt;33,33,F9)</f>
        <v>0</v>
      </c>
      <c r="H9" s="196">
        <f>IF(C9="","",G9)</f>
        <v>0</v>
      </c>
      <c r="I9" s="196">
        <f>DATEDIF(C9,D9,"Ym")</f>
        <v>0</v>
      </c>
      <c r="J9" s="197">
        <f>IF(C9="","",I9)</f>
        <v>0</v>
      </c>
      <c r="K9" s="194">
        <f>DATEDIF(C9,D9,"md")</f>
        <v>0</v>
      </c>
      <c r="L9" s="138" t="str">
        <f>F9&amp;" "&amp;$G$4&amp;","&amp;" "&amp;J9&amp;" "&amp;$J$4&amp;", "&amp;$K$6&amp;" "&amp;$K$4</f>
        <v>0 Year, 0 Month, 0 Days</v>
      </c>
      <c r="M9" s="163">
        <f>IF(C9="","",IF(J9&lt;=3,0,IF(J9&lt;9,1,IF(J9&lt;=12,2)))+H9*2)</f>
        <v>0</v>
      </c>
      <c r="N9" s="193">
        <f>IF(M9&gt;66,66,M9)</f>
        <v>0</v>
      </c>
      <c r="O9" s="164">
        <f>IF(M9="","0",N9*A9/4)</f>
        <v>0</v>
      </c>
      <c r="P9" s="192">
        <f>IF(O9="0",0,IF(O9&gt;2000000,2000000,O9))</f>
        <v>0</v>
      </c>
      <c r="Q9" s="165"/>
      <c r="R9" s="166"/>
      <c r="S9" s="164">
        <f>(R9*Q9)/30</f>
        <v>0</v>
      </c>
      <c r="T9" s="167">
        <f>P9+S9</f>
        <v>0</v>
      </c>
      <c r="U9" s="168">
        <f>(A9*N9*1.04)/120</f>
        <v>0</v>
      </c>
      <c r="V9" s="166">
        <f>IF(M9="","0",IF(U9&lt;8500,8500,IF(U9&gt;75300,75300,U9)))</f>
        <v>8500</v>
      </c>
      <c r="W9" s="143"/>
      <c r="X9" s="167">
        <f>SUM(V9:W9)</f>
        <v>8500</v>
      </c>
      <c r="Y9" s="167">
        <f>(TRUNC(V9/3+0.5)*12)</f>
        <v>33996</v>
      </c>
      <c r="Z9" s="167">
        <f>TRUNC(Y9*9.81+0.5)</f>
        <v>333501</v>
      </c>
      <c r="AA9" s="167">
        <f>TRUNC(A9*30%+0.5)*1.04</f>
        <v>0</v>
      </c>
      <c r="AB9" s="169">
        <f>IF(M9="","0",IF(AA9&lt;4800,4800,IF(AA9&gt;23940,23940,AA9)))</f>
        <v>4800</v>
      </c>
      <c r="AC9" s="147">
        <f>D9</f>
        <v>0</v>
      </c>
      <c r="AD9" s="162">
        <f>DATEDIF(C9,AC9,"Y")</f>
        <v>0</v>
      </c>
      <c r="AE9" s="162">
        <f>IF(AD9&gt;33,33,AD9)</f>
        <v>0</v>
      </c>
      <c r="AF9" s="162">
        <f>IF(C9="","",AE9)</f>
        <v>0</v>
      </c>
      <c r="AG9" s="162">
        <f>DATEDIF(C9,AC9,"Ym")</f>
        <v>0</v>
      </c>
      <c r="AH9" s="162">
        <f>IF(C9="","",AG9)</f>
        <v>0</v>
      </c>
      <c r="AI9" s="170" t="str">
        <f t="shared" ref="AI9" si="3">AD9&amp;" "&amp;$G$4&amp;","&amp;" "&amp;AH9&amp;" "&amp;$J$4</f>
        <v>0 Year, 0 Month</v>
      </c>
      <c r="AJ9" s="163">
        <f>IF(C9="","",IF(AH9&lt;=3,0,IF(AH9&lt;9,1,IF(AH9&lt;=12,2)))+AF9*2)</f>
        <v>0</v>
      </c>
      <c r="AK9" s="163">
        <f>IF(AJ9&gt;66,66,AJ9)</f>
        <v>0</v>
      </c>
      <c r="AL9" s="165"/>
      <c r="AM9" s="171">
        <f>(AL9*2)+AK9</f>
        <v>0</v>
      </c>
      <c r="AN9" s="149">
        <f>IF(AM9&gt;66,66,AM9)</f>
        <v>0</v>
      </c>
      <c r="AO9" s="172">
        <f>IF(AM9&gt;60,60,AM9)</f>
        <v>0</v>
      </c>
      <c r="AP9" s="150">
        <f>IF(AN9="","0",AN9*A9/4)</f>
        <v>0</v>
      </c>
      <c r="AQ9" s="180">
        <f>IF(AC9="",0,IF(AP9&gt;2000000,2000000,AP9))</f>
        <v>0</v>
      </c>
      <c r="AR9" s="141"/>
      <c r="AS9" s="151"/>
      <c r="AT9" s="180">
        <f>(AS9*AR9)/30</f>
        <v>0</v>
      </c>
      <c r="AU9" s="167">
        <f>AQ9+AT9</f>
        <v>0</v>
      </c>
      <c r="AV9" s="168">
        <f>TRUNC(A9*AO9)*1.04/120</f>
        <v>0</v>
      </c>
      <c r="AW9" s="182">
        <f>IF(AC9="","0",IF(AV9&lt;8500,8500,IF(AV9&gt;75300,75300,AV9)))</f>
        <v>8500</v>
      </c>
      <c r="AX9" s="167"/>
      <c r="AY9" s="167">
        <f>SUM(AW9:AX9)</f>
        <v>8500</v>
      </c>
      <c r="AZ9" s="167">
        <f>(TRUNC(AW9/3+0.5)*12)</f>
        <v>33996</v>
      </c>
      <c r="BA9" s="188" t="e">
        <f>TRUNC(AZ9*BD9+0.5)</f>
        <v>#N/A</v>
      </c>
      <c r="BB9" s="167">
        <f>TRUNC(A9*30%+0.5)*1.04</f>
        <v>0</v>
      </c>
      <c r="BC9" s="182">
        <f>IF(AC9="","0",IF(BB9&lt;8500,8500,IF(BB9&gt;45180,45180,BB9)))</f>
        <v>8500</v>
      </c>
      <c r="BD9" s="152" t="e">
        <f>VLOOKUP(BE9,$BI$6:$BJ$74,2)</f>
        <v>#N/A</v>
      </c>
      <c r="BE9" s="153">
        <f>DATEDIF(B9,AC9,"Y")</f>
        <v>0</v>
      </c>
      <c r="BF9" s="154"/>
      <c r="BG9" s="154"/>
      <c r="BH9" s="154"/>
      <c r="BI9" s="186">
        <v>19</v>
      </c>
      <c r="BJ9" s="187">
        <v>19.010000000000002</v>
      </c>
      <c r="BK9" s="155"/>
      <c r="BL9" s="155"/>
      <c r="BM9" s="122"/>
    </row>
    <row r="10" spans="1:65" x14ac:dyDescent="0.25">
      <c r="BI10" s="186">
        <v>20</v>
      </c>
      <c r="BJ10" s="187">
        <v>18.91</v>
      </c>
    </row>
    <row r="11" spans="1:65" x14ac:dyDescent="0.25">
      <c r="BI11" s="186">
        <v>21</v>
      </c>
      <c r="BJ11" s="187">
        <v>18.809999999999999</v>
      </c>
    </row>
    <row r="12" spans="1:65" x14ac:dyDescent="0.25">
      <c r="BB12" s="173"/>
      <c r="BI12" s="186">
        <v>22</v>
      </c>
      <c r="BJ12" s="187">
        <v>18.7</v>
      </c>
    </row>
    <row r="13" spans="1:65" x14ac:dyDescent="0.25">
      <c r="BI13" s="186">
        <v>23</v>
      </c>
      <c r="BJ13" s="187">
        <v>18.5</v>
      </c>
    </row>
    <row r="14" spans="1:65" x14ac:dyDescent="0.25">
      <c r="BI14" s="186">
        <v>24</v>
      </c>
      <c r="BJ14" s="187">
        <v>18.47</v>
      </c>
    </row>
    <row r="15" spans="1:65" x14ac:dyDescent="0.25">
      <c r="BI15" s="186">
        <v>25</v>
      </c>
      <c r="BJ15" s="187">
        <v>18.34</v>
      </c>
    </row>
    <row r="16" spans="1:65" x14ac:dyDescent="0.25">
      <c r="BI16" s="186">
        <v>26</v>
      </c>
      <c r="BJ16" s="187">
        <v>18.21</v>
      </c>
    </row>
    <row r="17" spans="1:62" x14ac:dyDescent="0.25">
      <c r="B17" s="121"/>
      <c r="C17" s="121"/>
      <c r="D17" s="121"/>
      <c r="E17" s="121"/>
      <c r="F17" s="121"/>
      <c r="G17" s="121"/>
      <c r="H17" s="121"/>
      <c r="I17" s="121"/>
      <c r="J17" s="121"/>
      <c r="K17" s="121"/>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1"/>
      <c r="AK17" s="121"/>
      <c r="AL17" s="121"/>
      <c r="AO17" s="121"/>
      <c r="AP17" s="121"/>
      <c r="BI17" s="186">
        <v>27</v>
      </c>
      <c r="BJ17" s="187">
        <v>18.07</v>
      </c>
    </row>
    <row r="18" spans="1:62" x14ac:dyDescent="0.25">
      <c r="B18" s="121"/>
      <c r="C18" s="121"/>
      <c r="D18" s="121"/>
      <c r="E18" s="121"/>
      <c r="F18" s="121"/>
      <c r="G18" s="121"/>
      <c r="H18" s="121"/>
      <c r="I18" s="121"/>
      <c r="J18" s="121"/>
      <c r="K18" s="121"/>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1"/>
      <c r="AK18" s="121"/>
      <c r="AL18" s="121"/>
      <c r="AO18" s="121"/>
      <c r="AP18" s="121"/>
      <c r="BI18" s="186">
        <v>28</v>
      </c>
      <c r="BJ18" s="187">
        <v>17.93</v>
      </c>
    </row>
    <row r="19" spans="1:62" x14ac:dyDescent="0.25">
      <c r="A19" s="174"/>
      <c r="B19" s="121"/>
      <c r="C19" s="121"/>
      <c r="D19" s="121"/>
      <c r="E19" s="121"/>
      <c r="F19" s="121"/>
      <c r="G19" s="121"/>
      <c r="H19" s="121"/>
      <c r="I19" s="121"/>
      <c r="J19" s="121"/>
      <c r="K19" s="121"/>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1"/>
      <c r="AK19" s="121"/>
      <c r="AL19" s="121"/>
      <c r="AO19" s="121"/>
      <c r="AP19" s="121"/>
      <c r="BI19" s="186">
        <v>29</v>
      </c>
      <c r="BJ19" s="187">
        <v>17.78</v>
      </c>
    </row>
    <row r="20" spans="1:62" x14ac:dyDescent="0.25">
      <c r="A20" s="174"/>
      <c r="B20" s="121"/>
      <c r="C20" s="121"/>
      <c r="D20" s="121"/>
      <c r="E20" s="121"/>
      <c r="F20" s="121"/>
      <c r="G20" s="121"/>
      <c r="H20" s="121"/>
      <c r="I20" s="121"/>
      <c r="J20" s="121"/>
      <c r="K20" s="121"/>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1"/>
      <c r="AK20" s="121"/>
      <c r="AL20" s="121"/>
      <c r="AO20" s="121"/>
      <c r="AP20" s="121"/>
      <c r="BI20" s="186">
        <v>30</v>
      </c>
      <c r="BJ20" s="187">
        <v>17.62</v>
      </c>
    </row>
    <row r="21" spans="1:62" x14ac:dyDescent="0.25">
      <c r="A21" s="174"/>
      <c r="B21" s="121"/>
      <c r="C21" s="121"/>
      <c r="D21" s="121"/>
      <c r="E21" s="121"/>
      <c r="F21" s="121"/>
      <c r="G21" s="121"/>
      <c r="H21" s="121"/>
      <c r="I21" s="121"/>
      <c r="J21" s="121"/>
      <c r="K21" s="121"/>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1"/>
      <c r="AL21" s="121"/>
      <c r="AO21" s="121"/>
      <c r="AP21" s="121"/>
      <c r="BI21" s="186">
        <v>31</v>
      </c>
      <c r="BJ21" s="187">
        <v>17.46</v>
      </c>
    </row>
    <row r="22" spans="1:62" x14ac:dyDescent="0.25">
      <c r="A22" s="174"/>
      <c r="B22" s="121"/>
      <c r="C22" s="121"/>
      <c r="D22" s="121"/>
      <c r="E22" s="121"/>
      <c r="F22" s="121"/>
      <c r="G22" s="121"/>
      <c r="H22" s="121"/>
      <c r="I22" s="121"/>
      <c r="J22" s="121"/>
      <c r="K22" s="121"/>
      <c r="M22" s="121"/>
      <c r="N22" s="121"/>
      <c r="O22" s="121"/>
      <c r="P22" s="121"/>
      <c r="Q22" s="121"/>
      <c r="R22" s="121"/>
      <c r="S22" s="121"/>
      <c r="T22" s="121"/>
      <c r="U22" s="121"/>
      <c r="V22" s="121"/>
      <c r="W22" s="121"/>
      <c r="X22" s="121"/>
      <c r="Y22" s="121"/>
      <c r="Z22" s="121"/>
      <c r="AA22" s="121"/>
      <c r="AB22" s="121"/>
      <c r="AC22" s="121"/>
      <c r="AD22" s="121"/>
      <c r="AE22" s="121"/>
      <c r="AF22" s="121"/>
      <c r="AG22" s="121"/>
      <c r="AH22" s="121"/>
      <c r="AI22" s="121"/>
      <c r="AJ22" s="121"/>
      <c r="AK22" s="121"/>
      <c r="AL22" s="121"/>
      <c r="AO22" s="121"/>
      <c r="AP22" s="121"/>
      <c r="BI22" s="186">
        <v>32</v>
      </c>
      <c r="BJ22" s="187">
        <v>17.29</v>
      </c>
    </row>
    <row r="23" spans="1:62" x14ac:dyDescent="0.25">
      <c r="A23" s="174"/>
      <c r="B23" s="121"/>
      <c r="C23" s="121"/>
      <c r="D23" s="121"/>
      <c r="E23" s="121"/>
      <c r="F23" s="121"/>
      <c r="G23" s="121"/>
      <c r="H23" s="121"/>
      <c r="I23" s="121"/>
      <c r="J23" s="121"/>
      <c r="K23" s="121"/>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1"/>
      <c r="AK23" s="121"/>
      <c r="AL23" s="121"/>
      <c r="AO23" s="121"/>
      <c r="AP23" s="121"/>
      <c r="BI23" s="186">
        <v>33</v>
      </c>
      <c r="BJ23" s="187">
        <v>17.11</v>
      </c>
    </row>
    <row r="24" spans="1:62" x14ac:dyDescent="0.25">
      <c r="A24" s="174"/>
      <c r="B24" s="121"/>
      <c r="C24" s="121"/>
      <c r="D24" s="121"/>
      <c r="E24" s="121"/>
      <c r="F24" s="121"/>
      <c r="G24" s="121"/>
      <c r="H24" s="121"/>
      <c r="I24" s="121"/>
      <c r="J24" s="121"/>
      <c r="K24" s="121"/>
      <c r="M24" s="121"/>
      <c r="N24" s="121"/>
      <c r="O24" s="121"/>
      <c r="P24" s="121"/>
      <c r="Q24" s="121"/>
      <c r="R24" s="121"/>
      <c r="S24" s="121"/>
      <c r="T24" s="121"/>
      <c r="U24" s="121"/>
      <c r="V24" s="121"/>
      <c r="W24" s="121"/>
      <c r="X24" s="121"/>
      <c r="Y24" s="121"/>
      <c r="Z24" s="121"/>
      <c r="AA24" s="121"/>
      <c r="AB24" s="121"/>
      <c r="AC24" s="121"/>
      <c r="AD24" s="121"/>
      <c r="AE24" s="121"/>
      <c r="AF24" s="121"/>
      <c r="AG24" s="121"/>
      <c r="AH24" s="121"/>
      <c r="AI24" s="121"/>
      <c r="AJ24" s="121"/>
      <c r="AK24" s="121"/>
      <c r="AL24" s="121"/>
      <c r="AO24" s="121"/>
      <c r="AP24" s="121"/>
      <c r="BI24" s="186">
        <v>34</v>
      </c>
      <c r="BJ24" s="187">
        <v>16.920000000000002</v>
      </c>
    </row>
    <row r="25" spans="1:62" x14ac:dyDescent="0.25">
      <c r="A25" s="174"/>
      <c r="B25" s="121"/>
      <c r="C25" s="121"/>
      <c r="D25" s="121"/>
      <c r="E25" s="121"/>
      <c r="F25" s="121"/>
      <c r="G25" s="121"/>
      <c r="H25" s="121"/>
      <c r="I25" s="121"/>
      <c r="J25" s="121"/>
      <c r="K25" s="121"/>
      <c r="M25" s="121"/>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1"/>
      <c r="AK25" s="121"/>
      <c r="AL25" s="121"/>
      <c r="AO25" s="121"/>
      <c r="AP25" s="121"/>
      <c r="BI25" s="186">
        <v>35</v>
      </c>
      <c r="BJ25" s="187">
        <v>16.72</v>
      </c>
    </row>
    <row r="26" spans="1:62" x14ac:dyDescent="0.25">
      <c r="A26" s="174"/>
      <c r="B26" s="121"/>
      <c r="C26" s="121"/>
      <c r="D26" s="121"/>
      <c r="E26" s="121"/>
      <c r="F26" s="121"/>
      <c r="G26" s="121"/>
      <c r="H26" s="121"/>
      <c r="I26" s="121"/>
      <c r="J26" s="121"/>
      <c r="K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O26" s="121"/>
      <c r="AP26" s="121"/>
      <c r="BI26" s="186">
        <v>36</v>
      </c>
      <c r="BJ26" s="187">
        <v>16.52</v>
      </c>
    </row>
    <row r="27" spans="1:62" x14ac:dyDescent="0.25">
      <c r="A27" s="174"/>
      <c r="B27" s="121"/>
      <c r="C27" s="121"/>
      <c r="D27" s="121"/>
      <c r="E27" s="121"/>
      <c r="F27" s="121"/>
      <c r="G27" s="121"/>
      <c r="H27" s="121"/>
      <c r="I27" s="121"/>
      <c r="J27" s="121"/>
      <c r="K27" s="121"/>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1"/>
      <c r="AK27" s="121"/>
      <c r="AL27" s="121"/>
      <c r="AO27" s="121"/>
      <c r="AP27" s="121"/>
      <c r="BI27" s="186">
        <v>37</v>
      </c>
      <c r="BJ27" s="187">
        <v>16.309999999999999</v>
      </c>
    </row>
    <row r="28" spans="1:62" x14ac:dyDescent="0.25">
      <c r="A28" s="174"/>
      <c r="B28" s="121"/>
      <c r="C28" s="121"/>
      <c r="D28" s="121"/>
      <c r="E28" s="121"/>
      <c r="F28" s="121"/>
      <c r="G28" s="121"/>
      <c r="H28" s="121"/>
      <c r="I28" s="121"/>
      <c r="J28" s="121"/>
      <c r="K28" s="121"/>
      <c r="M28" s="121"/>
      <c r="N28" s="121"/>
      <c r="O28" s="121"/>
      <c r="P28" s="121"/>
      <c r="Q28" s="121"/>
      <c r="R28" s="121"/>
      <c r="S28" s="121"/>
      <c r="T28" s="121"/>
      <c r="U28" s="121"/>
      <c r="V28" s="121"/>
      <c r="W28" s="121"/>
      <c r="X28" s="121"/>
      <c r="Y28" s="121"/>
      <c r="Z28" s="121"/>
      <c r="AA28" s="121"/>
      <c r="AB28" s="121"/>
      <c r="AC28" s="121"/>
      <c r="AD28" s="121"/>
      <c r="AE28" s="121"/>
      <c r="AF28" s="121"/>
      <c r="AG28" s="121"/>
      <c r="AH28" s="121"/>
      <c r="AI28" s="121"/>
      <c r="AJ28" s="121"/>
      <c r="AK28" s="121"/>
      <c r="AL28" s="121"/>
      <c r="AO28" s="121"/>
      <c r="AP28" s="121"/>
      <c r="BI28" s="186">
        <v>38</v>
      </c>
      <c r="BJ28" s="187">
        <v>16.09</v>
      </c>
    </row>
    <row r="29" spans="1:62" x14ac:dyDescent="0.25">
      <c r="A29" s="174"/>
      <c r="B29" s="121"/>
      <c r="C29" s="121"/>
      <c r="D29" s="121"/>
      <c r="E29" s="121"/>
      <c r="F29" s="121"/>
      <c r="G29" s="121"/>
      <c r="H29" s="121"/>
      <c r="I29" s="121"/>
      <c r="J29" s="121"/>
      <c r="K29" s="121"/>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1"/>
      <c r="AK29" s="121"/>
      <c r="AL29" s="121"/>
      <c r="AO29" s="121"/>
      <c r="AP29" s="121"/>
      <c r="BI29" s="186">
        <v>39</v>
      </c>
      <c r="BJ29" s="187">
        <v>15.87</v>
      </c>
    </row>
    <row r="30" spans="1:62" x14ac:dyDescent="0.25">
      <c r="A30" s="174"/>
      <c r="B30" s="121"/>
      <c r="C30" s="121"/>
      <c r="D30" s="121"/>
      <c r="E30" s="121"/>
      <c r="F30" s="121"/>
      <c r="G30" s="121"/>
      <c r="H30" s="121"/>
      <c r="I30" s="121"/>
      <c r="J30" s="121"/>
      <c r="K30" s="121"/>
      <c r="M30" s="121"/>
      <c r="N30" s="121"/>
      <c r="O30" s="121"/>
      <c r="P30" s="121"/>
      <c r="Q30" s="121"/>
      <c r="R30" s="121"/>
      <c r="S30" s="121"/>
      <c r="T30" s="121"/>
      <c r="U30" s="121"/>
      <c r="V30" s="121"/>
      <c r="W30" s="121"/>
      <c r="X30" s="121"/>
      <c r="Y30" s="121"/>
      <c r="Z30" s="121"/>
      <c r="AA30" s="121"/>
      <c r="AB30" s="121"/>
      <c r="AC30" s="121"/>
      <c r="AD30" s="121"/>
      <c r="AE30" s="121"/>
      <c r="AF30" s="121"/>
      <c r="AG30" s="121"/>
      <c r="AH30" s="121"/>
      <c r="AI30" s="121"/>
      <c r="AJ30" s="121"/>
      <c r="AK30" s="121"/>
      <c r="AL30" s="121"/>
      <c r="AO30" s="121"/>
      <c r="AP30" s="121"/>
      <c r="BI30" s="186">
        <v>40</v>
      </c>
      <c r="BJ30" s="187">
        <v>15.64</v>
      </c>
    </row>
    <row r="31" spans="1:62" x14ac:dyDescent="0.25">
      <c r="A31" s="174"/>
      <c r="B31" s="121"/>
      <c r="C31" s="121"/>
      <c r="D31" s="121"/>
      <c r="E31" s="121"/>
      <c r="F31" s="121"/>
      <c r="G31" s="121"/>
      <c r="H31" s="121"/>
      <c r="I31" s="121"/>
      <c r="J31" s="121"/>
      <c r="K31" s="121"/>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1"/>
      <c r="AK31" s="121"/>
      <c r="AL31" s="121"/>
      <c r="AO31" s="121"/>
      <c r="AP31" s="121"/>
      <c r="BI31" s="186">
        <v>41</v>
      </c>
      <c r="BJ31" s="187">
        <v>15.4</v>
      </c>
    </row>
    <row r="32" spans="1:62" x14ac:dyDescent="0.25">
      <c r="A32" s="174"/>
      <c r="B32" s="121"/>
      <c r="C32" s="121"/>
      <c r="D32" s="121"/>
      <c r="E32" s="121"/>
      <c r="F32" s="121"/>
      <c r="G32" s="121"/>
      <c r="H32" s="121"/>
      <c r="I32" s="121"/>
      <c r="J32" s="121"/>
      <c r="K32" s="121"/>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1"/>
      <c r="AK32" s="121"/>
      <c r="AL32" s="121"/>
      <c r="AO32" s="121"/>
      <c r="AP32" s="121"/>
      <c r="BI32" s="186">
        <v>42</v>
      </c>
      <c r="BJ32" s="187">
        <v>15.5</v>
      </c>
    </row>
    <row r="33" spans="1:62" x14ac:dyDescent="0.25">
      <c r="A33" s="174"/>
      <c r="B33" s="121"/>
      <c r="C33" s="121"/>
      <c r="D33" s="121"/>
      <c r="E33" s="121"/>
      <c r="F33" s="121"/>
      <c r="G33" s="121"/>
      <c r="H33" s="121"/>
      <c r="I33" s="121"/>
      <c r="J33" s="121"/>
      <c r="K33" s="121"/>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1"/>
      <c r="AL33" s="121"/>
      <c r="AO33" s="121"/>
      <c r="AP33" s="121"/>
      <c r="BI33" s="186">
        <v>43</v>
      </c>
      <c r="BJ33" s="187">
        <v>14.9</v>
      </c>
    </row>
    <row r="34" spans="1:62" x14ac:dyDescent="0.25">
      <c r="B34" s="121"/>
      <c r="C34" s="121"/>
      <c r="D34" s="121"/>
      <c r="E34" s="121"/>
      <c r="F34" s="121"/>
      <c r="G34" s="121"/>
      <c r="H34" s="121"/>
      <c r="I34" s="121"/>
      <c r="J34" s="121"/>
      <c r="K34" s="121"/>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1"/>
      <c r="AK34" s="121"/>
      <c r="AL34" s="121"/>
      <c r="AO34" s="121"/>
      <c r="AP34" s="121"/>
      <c r="BI34" s="186">
        <v>44</v>
      </c>
      <c r="BJ34" s="187">
        <v>14.64</v>
      </c>
    </row>
    <row r="35" spans="1:62" x14ac:dyDescent="0.25">
      <c r="B35" s="121"/>
      <c r="C35" s="121"/>
      <c r="D35" s="121"/>
      <c r="E35" s="121"/>
      <c r="F35" s="121"/>
      <c r="G35" s="121"/>
      <c r="H35" s="121"/>
      <c r="I35" s="121"/>
      <c r="J35" s="121"/>
      <c r="K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1"/>
      <c r="AO35" s="121"/>
      <c r="AP35" s="121"/>
      <c r="BI35" s="186">
        <v>45</v>
      </c>
      <c r="BJ35" s="187">
        <v>14.37</v>
      </c>
    </row>
    <row r="36" spans="1:62" x14ac:dyDescent="0.25">
      <c r="B36" s="121"/>
      <c r="C36" s="121"/>
      <c r="D36" s="121"/>
      <c r="E36" s="121"/>
      <c r="F36" s="121"/>
      <c r="G36" s="121"/>
      <c r="H36" s="121"/>
      <c r="I36" s="121"/>
      <c r="J36" s="121"/>
      <c r="K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O36" s="121"/>
      <c r="AP36" s="121"/>
      <c r="BI36" s="186">
        <v>46</v>
      </c>
      <c r="BJ36" s="187">
        <v>14.1</v>
      </c>
    </row>
    <row r="37" spans="1:62" x14ac:dyDescent="0.25">
      <c r="B37" s="121"/>
      <c r="C37" s="121"/>
      <c r="D37" s="121"/>
      <c r="E37" s="121"/>
      <c r="F37" s="121"/>
      <c r="G37" s="121"/>
      <c r="H37" s="121"/>
      <c r="I37" s="121"/>
      <c r="J37" s="121"/>
      <c r="K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O37" s="121"/>
      <c r="AP37" s="121"/>
      <c r="BI37" s="186">
        <v>47</v>
      </c>
      <c r="BJ37" s="187">
        <v>13.82</v>
      </c>
    </row>
    <row r="38" spans="1:62" x14ac:dyDescent="0.25">
      <c r="B38" s="121"/>
      <c r="C38" s="121"/>
      <c r="D38" s="121"/>
      <c r="E38" s="121"/>
      <c r="F38" s="121"/>
      <c r="G38" s="121"/>
      <c r="H38" s="121"/>
      <c r="I38" s="121"/>
      <c r="J38" s="121"/>
      <c r="K38" s="121"/>
      <c r="M38" s="121"/>
      <c r="N38" s="121"/>
      <c r="O38" s="121"/>
      <c r="P38" s="121"/>
      <c r="Q38" s="121"/>
      <c r="R38" s="121"/>
      <c r="S38" s="121"/>
      <c r="T38" s="121"/>
      <c r="U38" s="121"/>
      <c r="V38" s="121"/>
      <c r="W38" s="121"/>
      <c r="X38" s="121"/>
      <c r="Y38" s="121"/>
      <c r="Z38" s="121"/>
      <c r="AA38" s="121"/>
      <c r="AB38" s="121"/>
      <c r="AC38" s="121"/>
      <c r="AD38" s="121"/>
      <c r="AE38" s="121"/>
      <c r="AF38" s="121"/>
      <c r="AG38" s="121"/>
      <c r="AH38" s="121"/>
      <c r="AI38" s="121"/>
      <c r="AJ38" s="121"/>
      <c r="AK38" s="121"/>
      <c r="AL38" s="121"/>
      <c r="AO38" s="121"/>
      <c r="AP38" s="121"/>
      <c r="BI38" s="186">
        <v>48</v>
      </c>
      <c r="BJ38" s="187">
        <v>13.54</v>
      </c>
    </row>
    <row r="39" spans="1:62" x14ac:dyDescent="0.25">
      <c r="B39" s="121"/>
      <c r="C39" s="121"/>
      <c r="D39" s="121"/>
      <c r="E39" s="121"/>
      <c r="F39" s="121"/>
      <c r="G39" s="121"/>
      <c r="H39" s="121"/>
      <c r="I39" s="121"/>
      <c r="J39" s="121"/>
      <c r="K39" s="121"/>
      <c r="M39" s="121"/>
      <c r="N39" s="121"/>
      <c r="O39" s="121"/>
      <c r="P39" s="121"/>
      <c r="Q39" s="121"/>
      <c r="R39" s="121"/>
      <c r="S39" s="121"/>
      <c r="T39" s="121"/>
      <c r="U39" s="121"/>
      <c r="V39" s="121"/>
      <c r="W39" s="121"/>
      <c r="X39" s="121"/>
      <c r="Y39" s="121"/>
      <c r="Z39" s="121"/>
      <c r="AA39" s="121"/>
      <c r="AB39" s="121"/>
      <c r="AC39" s="121"/>
      <c r="AD39" s="121"/>
      <c r="AE39" s="121"/>
      <c r="AF39" s="121"/>
      <c r="AG39" s="121"/>
      <c r="AH39" s="121"/>
      <c r="AI39" s="121"/>
      <c r="AJ39" s="121"/>
      <c r="AK39" s="121"/>
      <c r="AL39" s="121"/>
      <c r="AO39" s="121"/>
      <c r="AP39" s="121"/>
      <c r="BI39" s="186">
        <v>49</v>
      </c>
      <c r="BJ39" s="187">
        <v>13.25</v>
      </c>
    </row>
    <row r="40" spans="1:62" x14ac:dyDescent="0.25">
      <c r="B40" s="121"/>
      <c r="C40" s="121"/>
      <c r="D40" s="121"/>
      <c r="E40" s="121"/>
      <c r="F40" s="121"/>
      <c r="G40" s="121"/>
      <c r="H40" s="121"/>
      <c r="I40" s="121"/>
      <c r="J40" s="121"/>
      <c r="K40" s="121"/>
      <c r="M40" s="121"/>
      <c r="N40" s="121"/>
      <c r="O40" s="121"/>
      <c r="P40" s="121"/>
      <c r="Q40" s="121"/>
      <c r="R40" s="121"/>
      <c r="S40" s="121"/>
      <c r="T40" s="121"/>
      <c r="U40" s="121"/>
      <c r="V40" s="121"/>
      <c r="W40" s="121"/>
      <c r="X40" s="121"/>
      <c r="Y40" s="121"/>
      <c r="Z40" s="121"/>
      <c r="AA40" s="121"/>
      <c r="AB40" s="121"/>
      <c r="AC40" s="121"/>
      <c r="AD40" s="121"/>
      <c r="AE40" s="121"/>
      <c r="AF40" s="121"/>
      <c r="AG40" s="121"/>
      <c r="AH40" s="121"/>
      <c r="AI40" s="121"/>
      <c r="AJ40" s="121"/>
      <c r="AK40" s="121"/>
      <c r="AL40" s="121"/>
      <c r="AO40" s="121"/>
      <c r="AP40" s="121"/>
      <c r="BI40" s="186">
        <v>50</v>
      </c>
      <c r="BJ40" s="187">
        <v>12.95</v>
      </c>
    </row>
    <row r="41" spans="1:62" x14ac:dyDescent="0.25">
      <c r="B41" s="121"/>
      <c r="C41" s="121"/>
      <c r="D41" s="121"/>
      <c r="E41" s="121"/>
      <c r="F41" s="121"/>
      <c r="G41" s="121"/>
      <c r="H41" s="121"/>
      <c r="I41" s="121"/>
      <c r="J41" s="121"/>
      <c r="K41" s="121"/>
      <c r="M41" s="121"/>
      <c r="N41" s="121"/>
      <c r="O41" s="121"/>
      <c r="P41" s="121"/>
      <c r="Q41" s="121"/>
      <c r="R41" s="121"/>
      <c r="S41" s="121"/>
      <c r="T41" s="121"/>
      <c r="U41" s="121"/>
      <c r="V41" s="121"/>
      <c r="W41" s="121"/>
      <c r="X41" s="121"/>
      <c r="Y41" s="121"/>
      <c r="Z41" s="121"/>
      <c r="AA41" s="121"/>
      <c r="AB41" s="121"/>
      <c r="AC41" s="121"/>
      <c r="AD41" s="121"/>
      <c r="AE41" s="121"/>
      <c r="AF41" s="121"/>
      <c r="AG41" s="121"/>
      <c r="AH41" s="121"/>
      <c r="AI41" s="121"/>
      <c r="AJ41" s="121"/>
      <c r="AK41" s="121"/>
      <c r="AL41" s="121"/>
      <c r="AO41" s="121"/>
      <c r="AP41" s="121"/>
      <c r="BI41" s="186">
        <v>51</v>
      </c>
      <c r="BJ41" s="187">
        <v>12.66</v>
      </c>
    </row>
    <row r="42" spans="1:62" x14ac:dyDescent="0.25">
      <c r="B42" s="121"/>
      <c r="C42" s="121"/>
      <c r="D42" s="121"/>
      <c r="E42" s="121"/>
      <c r="F42" s="121"/>
      <c r="G42" s="121"/>
      <c r="H42" s="121"/>
      <c r="I42" s="121"/>
      <c r="J42" s="121"/>
      <c r="K42" s="121"/>
      <c r="M42" s="121"/>
      <c r="N42" s="121"/>
      <c r="O42" s="121"/>
      <c r="P42" s="121"/>
      <c r="Q42" s="121"/>
      <c r="R42" s="121"/>
      <c r="S42" s="121"/>
      <c r="T42" s="121"/>
      <c r="U42" s="121"/>
      <c r="V42" s="121"/>
      <c r="W42" s="121"/>
      <c r="X42" s="121"/>
      <c r="Y42" s="121"/>
      <c r="Z42" s="121"/>
      <c r="AA42" s="121"/>
      <c r="AB42" s="121"/>
      <c r="AC42" s="121"/>
      <c r="AD42" s="121"/>
      <c r="AE42" s="121"/>
      <c r="AF42" s="121"/>
      <c r="AG42" s="121"/>
      <c r="AH42" s="121"/>
      <c r="AI42" s="121"/>
      <c r="AJ42" s="121"/>
      <c r="AK42" s="121"/>
      <c r="AL42" s="121"/>
      <c r="AO42" s="121"/>
      <c r="AP42" s="121"/>
      <c r="BI42" s="186">
        <v>52</v>
      </c>
      <c r="BJ42" s="187">
        <v>12.35</v>
      </c>
    </row>
    <row r="43" spans="1:62" x14ac:dyDescent="0.25">
      <c r="B43" s="121"/>
      <c r="C43" s="121"/>
      <c r="D43" s="121"/>
      <c r="E43" s="121"/>
      <c r="F43" s="121"/>
      <c r="G43" s="121"/>
      <c r="H43" s="121"/>
      <c r="I43" s="121"/>
      <c r="J43" s="121"/>
      <c r="K43" s="121"/>
      <c r="M43" s="121"/>
      <c r="N43" s="121"/>
      <c r="O43" s="121"/>
      <c r="P43" s="121"/>
      <c r="Q43" s="121"/>
      <c r="R43" s="121"/>
      <c r="S43" s="121"/>
      <c r="T43" s="121"/>
      <c r="U43" s="121"/>
      <c r="V43" s="121"/>
      <c r="W43" s="121"/>
      <c r="X43" s="121"/>
      <c r="Y43" s="121"/>
      <c r="Z43" s="121"/>
      <c r="AA43" s="121"/>
      <c r="AB43" s="121"/>
      <c r="AC43" s="121"/>
      <c r="AD43" s="121"/>
      <c r="AE43" s="121"/>
      <c r="AF43" s="121"/>
      <c r="AG43" s="121"/>
      <c r="AH43" s="121"/>
      <c r="AI43" s="121"/>
      <c r="AJ43" s="121"/>
      <c r="AK43" s="121"/>
      <c r="AL43" s="121"/>
      <c r="AO43" s="121"/>
      <c r="AP43" s="121"/>
      <c r="BI43" s="186">
        <v>53</v>
      </c>
      <c r="BJ43" s="187">
        <v>12.05</v>
      </c>
    </row>
    <row r="44" spans="1:62" x14ac:dyDescent="0.25">
      <c r="B44" s="121"/>
      <c r="C44" s="121"/>
      <c r="D44" s="121"/>
      <c r="E44" s="121"/>
      <c r="F44" s="121"/>
      <c r="G44" s="121"/>
      <c r="H44" s="121"/>
      <c r="I44" s="121"/>
      <c r="J44" s="121"/>
      <c r="K44" s="121"/>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1"/>
      <c r="AL44" s="121"/>
      <c r="AO44" s="121"/>
      <c r="AP44" s="121"/>
      <c r="BI44" s="186">
        <v>54</v>
      </c>
      <c r="BJ44" s="187">
        <v>11.73</v>
      </c>
    </row>
    <row r="45" spans="1:62" x14ac:dyDescent="0.25">
      <c r="B45" s="121"/>
      <c r="C45" s="121"/>
      <c r="D45" s="121"/>
      <c r="E45" s="121"/>
      <c r="F45" s="121"/>
      <c r="G45" s="121"/>
      <c r="H45" s="121"/>
      <c r="I45" s="121"/>
      <c r="J45" s="121"/>
      <c r="K45" s="121"/>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1"/>
      <c r="AL45" s="121"/>
      <c r="AO45" s="121"/>
      <c r="AP45" s="121"/>
      <c r="BI45" s="186">
        <v>55</v>
      </c>
      <c r="BJ45" s="187">
        <v>11.42</v>
      </c>
    </row>
    <row r="46" spans="1:62" x14ac:dyDescent="0.25">
      <c r="B46" s="121"/>
      <c r="C46" s="121"/>
      <c r="D46" s="121"/>
      <c r="E46" s="121"/>
      <c r="F46" s="121"/>
      <c r="G46" s="121"/>
      <c r="H46" s="121"/>
      <c r="I46" s="121"/>
      <c r="J46" s="121"/>
      <c r="K46" s="121"/>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1"/>
      <c r="AK46" s="121"/>
      <c r="AL46" s="121"/>
      <c r="AO46" s="121"/>
      <c r="AP46" s="121"/>
      <c r="BI46" s="186">
        <v>56</v>
      </c>
      <c r="BJ46" s="187">
        <v>11.1</v>
      </c>
    </row>
    <row r="47" spans="1:62" x14ac:dyDescent="0.25">
      <c r="B47" s="121"/>
      <c r="C47" s="121"/>
      <c r="D47" s="121"/>
      <c r="E47" s="121"/>
      <c r="F47" s="121"/>
      <c r="G47" s="121"/>
      <c r="H47" s="121"/>
      <c r="I47" s="121"/>
      <c r="J47" s="121"/>
      <c r="K47" s="121"/>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1"/>
      <c r="AK47" s="121"/>
      <c r="AL47" s="121"/>
      <c r="AO47" s="121"/>
      <c r="AP47" s="121"/>
      <c r="BI47" s="186">
        <v>57</v>
      </c>
      <c r="BJ47" s="187">
        <v>10.78</v>
      </c>
    </row>
    <row r="48" spans="1:62" x14ac:dyDescent="0.25">
      <c r="B48" s="121"/>
      <c r="C48" s="121"/>
      <c r="D48" s="121"/>
      <c r="E48" s="121"/>
      <c r="F48" s="121"/>
      <c r="G48" s="121"/>
      <c r="H48" s="121"/>
      <c r="I48" s="121"/>
      <c r="J48" s="121"/>
      <c r="K48" s="121"/>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1"/>
      <c r="AK48" s="121"/>
      <c r="AL48" s="121"/>
      <c r="AO48" s="121"/>
      <c r="AP48" s="121"/>
      <c r="BI48" s="186">
        <v>58</v>
      </c>
      <c r="BJ48" s="187">
        <v>10.46</v>
      </c>
    </row>
    <row r="49" spans="61:62" s="121" customFormat="1" x14ac:dyDescent="0.25">
      <c r="BI49" s="186">
        <v>59</v>
      </c>
      <c r="BJ49" s="187">
        <v>10.130000000000001</v>
      </c>
    </row>
    <row r="50" spans="61:62" s="121" customFormat="1" x14ac:dyDescent="0.25">
      <c r="BI50" s="186">
        <v>60</v>
      </c>
      <c r="BJ50" s="187">
        <v>9.81</v>
      </c>
    </row>
    <row r="51" spans="61:62" s="121" customFormat="1" x14ac:dyDescent="0.25">
      <c r="BI51" s="186">
        <v>61</v>
      </c>
      <c r="BJ51" s="187">
        <v>9.48</v>
      </c>
    </row>
    <row r="52" spans="61:62" s="121" customFormat="1" x14ac:dyDescent="0.25">
      <c r="BI52" s="186">
        <v>62</v>
      </c>
      <c r="BJ52" s="187">
        <v>9.15</v>
      </c>
    </row>
    <row r="53" spans="61:62" s="121" customFormat="1" x14ac:dyDescent="0.25">
      <c r="BI53" s="186">
        <v>63</v>
      </c>
      <c r="BJ53" s="187">
        <v>8.82</v>
      </c>
    </row>
    <row r="54" spans="61:62" s="121" customFormat="1" x14ac:dyDescent="0.25">
      <c r="BI54" s="186">
        <v>64</v>
      </c>
      <c r="BJ54" s="187">
        <v>8.5</v>
      </c>
    </row>
    <row r="55" spans="61:62" s="121" customFormat="1" x14ac:dyDescent="0.25">
      <c r="BI55" s="186">
        <v>65</v>
      </c>
      <c r="BJ55" s="187">
        <v>8.17</v>
      </c>
    </row>
    <row r="56" spans="61:62" s="121" customFormat="1" x14ac:dyDescent="0.25">
      <c r="BI56" s="186">
        <v>66</v>
      </c>
      <c r="BJ56" s="187">
        <v>7.85</v>
      </c>
    </row>
    <row r="57" spans="61:62" s="121" customFormat="1" x14ac:dyDescent="0.25">
      <c r="BI57" s="186">
        <v>67</v>
      </c>
      <c r="BJ57" s="187">
        <v>7.53</v>
      </c>
    </row>
    <row r="58" spans="61:62" s="121" customFormat="1" x14ac:dyDescent="0.25">
      <c r="BI58" s="186">
        <v>68</v>
      </c>
      <c r="BJ58" s="187">
        <v>7.22</v>
      </c>
    </row>
    <row r="59" spans="61:62" s="121" customFormat="1" x14ac:dyDescent="0.25">
      <c r="BI59" s="186">
        <v>69</v>
      </c>
      <c r="BJ59" s="187">
        <v>6.91</v>
      </c>
    </row>
    <row r="60" spans="61:62" s="121" customFormat="1" x14ac:dyDescent="0.25">
      <c r="BI60" s="186">
        <v>70</v>
      </c>
      <c r="BJ60" s="187">
        <v>6.6</v>
      </c>
    </row>
    <row r="61" spans="61:62" s="121" customFormat="1" x14ac:dyDescent="0.25">
      <c r="BI61" s="186">
        <v>71</v>
      </c>
      <c r="BJ61" s="187">
        <v>6.3</v>
      </c>
    </row>
    <row r="62" spans="61:62" s="121" customFormat="1" x14ac:dyDescent="0.25">
      <c r="BI62" s="186">
        <v>72</v>
      </c>
      <c r="BJ62" s="187">
        <v>6.01</v>
      </c>
    </row>
    <row r="63" spans="61:62" s="121" customFormat="1" x14ac:dyDescent="0.25">
      <c r="BI63" s="186">
        <v>73</v>
      </c>
      <c r="BJ63" s="187">
        <v>5.72</v>
      </c>
    </row>
    <row r="64" spans="61:62" s="121" customFormat="1" x14ac:dyDescent="0.25">
      <c r="BI64" s="186">
        <v>74</v>
      </c>
      <c r="BJ64" s="187">
        <v>5.44</v>
      </c>
    </row>
    <row r="65" spans="61:62" s="121" customFormat="1" x14ac:dyDescent="0.25">
      <c r="BI65" s="186">
        <v>75</v>
      </c>
      <c r="BJ65" s="187">
        <v>5.17</v>
      </c>
    </row>
    <row r="66" spans="61:62" s="121" customFormat="1" x14ac:dyDescent="0.25">
      <c r="BI66" s="186">
        <v>76</v>
      </c>
      <c r="BJ66" s="187">
        <v>4.9000000000000004</v>
      </c>
    </row>
    <row r="67" spans="61:62" s="121" customFormat="1" x14ac:dyDescent="0.25">
      <c r="BI67" s="186">
        <v>77</v>
      </c>
      <c r="BJ67" s="187">
        <v>4.6500000000000004</v>
      </c>
    </row>
    <row r="68" spans="61:62" s="121" customFormat="1" x14ac:dyDescent="0.25">
      <c r="BI68" s="186">
        <v>78</v>
      </c>
      <c r="BJ68" s="187">
        <v>4.4000000000000004</v>
      </c>
    </row>
    <row r="69" spans="61:62" s="121" customFormat="1" x14ac:dyDescent="0.25">
      <c r="BI69" s="186">
        <v>79</v>
      </c>
      <c r="BJ69" s="187">
        <v>4.17</v>
      </c>
    </row>
    <row r="70" spans="61:62" s="121" customFormat="1" x14ac:dyDescent="0.25">
      <c r="BI70" s="186">
        <v>80</v>
      </c>
      <c r="BJ70" s="187">
        <v>3.94</v>
      </c>
    </row>
    <row r="71" spans="61:62" s="121" customFormat="1" x14ac:dyDescent="0.25">
      <c r="BI71" s="186">
        <v>81</v>
      </c>
      <c r="BJ71" s="187">
        <v>3.72</v>
      </c>
    </row>
    <row r="72" spans="61:62" s="121" customFormat="1" x14ac:dyDescent="0.25">
      <c r="BI72" s="186">
        <v>82</v>
      </c>
      <c r="BJ72" s="187">
        <v>3.52</v>
      </c>
    </row>
    <row r="73" spans="61:62" s="121" customFormat="1" x14ac:dyDescent="0.25">
      <c r="BI73" s="186">
        <v>83</v>
      </c>
      <c r="BJ73" s="187">
        <v>3.32</v>
      </c>
    </row>
    <row r="74" spans="61:62" s="121" customFormat="1" x14ac:dyDescent="0.25">
      <c r="BI74" s="186">
        <v>84</v>
      </c>
      <c r="BJ74" s="187">
        <v>3.13</v>
      </c>
    </row>
    <row r="75" spans="61:62" s="121" customFormat="1" ht="12.75" x14ac:dyDescent="0.25"/>
    <row r="76" spans="61:62" s="121" customFormat="1" ht="12.75" x14ac:dyDescent="0.25"/>
    <row r="77" spans="61:62" s="121" customFormat="1" ht="12.75" x14ac:dyDescent="0.25"/>
    <row r="78" spans="61:62" s="121" customFormat="1" ht="12.75" x14ac:dyDescent="0.25"/>
    <row r="79" spans="61:62" s="121" customFormat="1" ht="12.75" x14ac:dyDescent="0.25"/>
    <row r="80" spans="61:62" s="121" customFormat="1" ht="12.75" x14ac:dyDescent="0.25"/>
    <row r="81" s="121" customFormat="1" ht="12.75" x14ac:dyDescent="0.25"/>
    <row r="82" s="121" customFormat="1" ht="12.75" x14ac:dyDescent="0.25"/>
    <row r="83" s="121" customFormat="1" ht="12.75" x14ac:dyDescent="0.25"/>
    <row r="84" s="121" customFormat="1" ht="12.75" x14ac:dyDescent="0.25"/>
    <row r="85" s="121" customFormat="1" ht="12.75" x14ac:dyDescent="0.25"/>
    <row r="86" s="121" customFormat="1" ht="12.75" x14ac:dyDescent="0.25"/>
    <row r="87" s="121" customFormat="1" ht="12.75" x14ac:dyDescent="0.25"/>
    <row r="88" s="121" customFormat="1" ht="12.75" x14ac:dyDescent="0.25"/>
    <row r="89" s="121" customFormat="1" ht="12.75" x14ac:dyDescent="0.25"/>
    <row r="90" s="121" customFormat="1" ht="12.75" x14ac:dyDescent="0.25"/>
    <row r="91" s="121" customFormat="1" ht="12.75" x14ac:dyDescent="0.25"/>
    <row r="92" s="121" customFormat="1" ht="12.75" x14ac:dyDescent="0.25"/>
    <row r="93" s="121" customFormat="1" ht="12.75" x14ac:dyDescent="0.25"/>
    <row r="94" s="121" customFormat="1" ht="12.75" x14ac:dyDescent="0.25"/>
    <row r="95" s="121" customFormat="1" ht="12.75" x14ac:dyDescent="0.25"/>
    <row r="96" s="121" customFormat="1" ht="12.75" x14ac:dyDescent="0.25"/>
    <row r="97" s="121" customFormat="1" ht="12.75" x14ac:dyDescent="0.25"/>
    <row r="98" s="121" customFormat="1" ht="12.75" x14ac:dyDescent="0.25"/>
    <row r="99" s="121" customFormat="1" ht="12.75" x14ac:dyDescent="0.25"/>
    <row r="100" s="121" customFormat="1" ht="12.75" x14ac:dyDescent="0.25"/>
    <row r="101" s="121" customFormat="1" ht="12.75" x14ac:dyDescent="0.25"/>
    <row r="102" s="121" customFormat="1" ht="12.75" x14ac:dyDescent="0.25"/>
    <row r="103" s="121" customFormat="1" ht="12.75" x14ac:dyDescent="0.25"/>
    <row r="104" s="121" customFormat="1" ht="12.75" x14ac:dyDescent="0.25"/>
    <row r="105" s="121" customFormat="1" ht="12.75" x14ac:dyDescent="0.25"/>
    <row r="106" s="121" customFormat="1" ht="12.75" x14ac:dyDescent="0.25"/>
  </sheetData>
  <sheetProtection password="C345" sheet="1" objects="1" scenarios="1" selectLockedCells="1"/>
  <mergeCells count="52">
    <mergeCell ref="AZ4:AZ5"/>
    <mergeCell ref="BA4:BA5"/>
    <mergeCell ref="BB4:BB5"/>
    <mergeCell ref="BC4:BC5"/>
    <mergeCell ref="BD4:BD5"/>
    <mergeCell ref="K4:K5"/>
    <mergeCell ref="AQ4:AQ5"/>
    <mergeCell ref="AR4:AR5"/>
    <mergeCell ref="AS4:AS5"/>
    <mergeCell ref="AE4:AE5"/>
    <mergeCell ref="AF4:AF5"/>
    <mergeCell ref="AG4:AG5"/>
    <mergeCell ref="AH4:AH5"/>
    <mergeCell ref="AI4:AI5"/>
    <mergeCell ref="AJ4:AJ5"/>
    <mergeCell ref="Y4:Y5"/>
    <mergeCell ref="Z4:Z5"/>
    <mergeCell ref="AA4:AA5"/>
    <mergeCell ref="AB4:AB5"/>
    <mergeCell ref="AC4:AC5"/>
    <mergeCell ref="AD4:AD5"/>
    <mergeCell ref="T4:T5"/>
    <mergeCell ref="AU4:AU5"/>
    <mergeCell ref="AV4:AY4"/>
    <mergeCell ref="AK4:AK5"/>
    <mergeCell ref="AL4:AL5"/>
    <mergeCell ref="AM4:AM5"/>
    <mergeCell ref="AN4:AN5"/>
    <mergeCell ref="AO4:AO5"/>
    <mergeCell ref="AP4:AP5"/>
    <mergeCell ref="AT4:AT5"/>
    <mergeCell ref="A4:A5"/>
    <mergeCell ref="B4:B5"/>
    <mergeCell ref="C4:C5"/>
    <mergeCell ref="D4:D5"/>
    <mergeCell ref="E4:E5"/>
    <mergeCell ref="N4:N5"/>
    <mergeCell ref="U4:X4"/>
    <mergeCell ref="O4:O5"/>
    <mergeCell ref="B3:AB3"/>
    <mergeCell ref="AC3:BC3"/>
    <mergeCell ref="F4:F5"/>
    <mergeCell ref="G4:G5"/>
    <mergeCell ref="H4:H5"/>
    <mergeCell ref="I4:I5"/>
    <mergeCell ref="J4:J5"/>
    <mergeCell ref="L4:L5"/>
    <mergeCell ref="M4:M5"/>
    <mergeCell ref="P4:P5"/>
    <mergeCell ref="Q4:Q5"/>
    <mergeCell ref="R4:R5"/>
    <mergeCell ref="S4:S5"/>
  </mergeCells>
  <dataValidations count="5">
    <dataValidation type="whole" errorStyle="warning" allowBlank="1" showInputMessage="1" showErrorMessage="1" errorTitle="BASIC PAY" error="ENTER NUMERALS ONLY" promptTitle="BASIC PAY" prompt="Otherwise enter &quot;0&quot;" sqref="A6:A1048576">
      <formula1>0</formula1>
      <formula2>99000</formula2>
    </dataValidation>
    <dataValidation allowBlank="1" showInputMessage="1" showErrorMessage="1" promptTitle="RETIRING OFFICIAL" prompt="Financial Year 2016-17" sqref="Q6 AR6 Q9 AR9"/>
    <dataValidation type="date" operator="lessThan" allowBlank="1" showInputMessage="1" showErrorMessage="1" sqref="C9 C6">
      <formula1>43101</formula1>
    </dataValidation>
    <dataValidation type="date" operator="lessThan" allowBlank="1" showInputMessage="1" showErrorMessage="1" sqref="B9 B6">
      <formula1>41640</formula1>
    </dataValidation>
    <dataValidation type="whole" errorStyle="warning" allowBlank="1" showInputMessage="1" errorTitle="BASIC PAY" error="ENTER NUMERALS ONLY" promptTitle="BASIC PAY" prompt="Otherwise enter &quot;0&quot;" sqref="A4">
      <formula1>0</formula1>
      <formula2>99000</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DATA INPUT</vt:lpstr>
      <vt:lpstr>PENSION</vt:lpstr>
      <vt:lpstr>GRATUITY</vt:lpstr>
      <vt:lpstr>PROFORMA</vt:lpstr>
      <vt:lpstr>DECLARATION</vt:lpstr>
      <vt:lpstr>FORM 7</vt:lpstr>
      <vt:lpstr>FORM 7A</vt:lpstr>
      <vt:lpstr>GIS</vt:lpstr>
      <vt:lpstr>SERVICE</vt:lpstr>
      <vt:lpstr>CHECKLIST</vt:lpstr>
      <vt:lpstr>UNDERTAKING</vt:lpstr>
      <vt:lpstr>Psh</vt:lpstr>
      <vt:lpstr>CHECKLIST!Print_Area</vt:lpstr>
      <vt:lpstr>DECLARATION!Print_Area</vt:lpstr>
      <vt:lpstr>'FORM 7A'!Print_Area</vt:lpstr>
      <vt:lpstr>UNDERTAKING!Print_Area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CCE</dc:creator>
  <cp:lastModifiedBy>Purushotham</cp:lastModifiedBy>
  <cp:lastPrinted>2022-02-23T13:03:28Z</cp:lastPrinted>
  <dcterms:created xsi:type="dcterms:W3CDTF">2011-01-21T05:36:39Z</dcterms:created>
  <dcterms:modified xsi:type="dcterms:W3CDTF">2022-02-23T15:24:08Z</dcterms:modified>
</cp:coreProperties>
</file>