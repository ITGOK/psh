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defaultThemeVersion="124226"/>
  <workbookProtection workbookPassword="C345" lockStructure="1"/>
  <bookViews>
    <workbookView xWindow="-15" yWindow="4410" windowWidth="20430" windowHeight="3750" tabRatio="587" firstSheet="1" activeTab="1"/>
  </bookViews>
  <sheets>
    <sheet name="MASTER FILE" sheetId="1" state="hidden" r:id="rId1"/>
    <sheet name="PENSION-STATE" sheetId="16" r:id="rId2"/>
    <sheet name="PENSION-UGC" sheetId="17" state="hidden" r:id="rId3"/>
    <sheet name="Psh" sheetId="4" state="hidden" r:id="rId4"/>
  </sheets>
  <functionGroups builtInGroupCount="17"/>
  <definedNames>
    <definedName name="_xlnm._FilterDatabase" localSheetId="0" hidden="1">'MASTER FILE'!$A$1:$A$6</definedName>
    <definedName name="_xlnm.Criteria" localSheetId="0">'MASTER FILE'!$E$6:$E$6</definedName>
    <definedName name="_xlnm.Print_Area" localSheetId="1">'PENSION-STATE'!$A$11:$J$104</definedName>
    <definedName name="_xlnm.Print_Area" localSheetId="2">'PENSION-UGC'!$A$11:$J$103</definedName>
    <definedName name="_xlnm.Print_Titles" localSheetId="0">'MASTER FILE'!$4:$5</definedName>
  </definedNames>
  <calcPr calcId="144525"/>
</workbook>
</file>

<file path=xl/calcChain.xml><?xml version="1.0" encoding="utf-8"?>
<calcChain xmlns="http://schemas.openxmlformats.org/spreadsheetml/2006/main">
  <c r="BB9" i="1" l="1"/>
  <c r="AU9" i="1"/>
  <c r="L78" i="17" l="1"/>
  <c r="L35" i="17"/>
  <c r="AQ9" i="1" l="1"/>
  <c r="H96" i="17" s="1"/>
  <c r="AK9" i="1"/>
  <c r="H23" i="17" s="1"/>
  <c r="AB9" i="1"/>
  <c r="C9" i="1"/>
  <c r="B9" i="1"/>
  <c r="H15" i="17" s="1"/>
  <c r="A9" i="1"/>
  <c r="G13" i="17"/>
  <c r="BA9" i="1" l="1"/>
  <c r="J90" i="17" s="1"/>
  <c r="C45" i="17"/>
  <c r="AC9" i="1"/>
  <c r="AD9" i="1" s="1"/>
  <c r="H17" i="17"/>
  <c r="BD9" i="1"/>
  <c r="AF9" i="1"/>
  <c r="AG9" i="1" s="1"/>
  <c r="D9" i="1"/>
  <c r="F9" i="1" s="1"/>
  <c r="Z9" i="1"/>
  <c r="F9" i="4"/>
  <c r="AR9" i="1" s="1"/>
  <c r="AS9" i="1" s="1"/>
  <c r="J96" i="17" s="1"/>
  <c r="AQ6" i="1"/>
  <c r="AK6" i="1"/>
  <c r="AB6" i="1"/>
  <c r="C6" i="1"/>
  <c r="B6" i="1"/>
  <c r="A6" i="1"/>
  <c r="G13" i="16"/>
  <c r="Q9" i="1" l="1"/>
  <c r="R9" i="1" s="1"/>
  <c r="BC9" i="1"/>
  <c r="F78" i="17" s="1"/>
  <c r="H20" i="17"/>
  <c r="E9" i="1"/>
  <c r="G9" i="1"/>
  <c r="H9" i="1" s="1"/>
  <c r="I9" i="1"/>
  <c r="J9" i="1" s="1"/>
  <c r="C45" i="16"/>
  <c r="E57" i="16" s="1"/>
  <c r="H23" i="16"/>
  <c r="H15" i="16"/>
  <c r="H96" i="16"/>
  <c r="H16" i="16"/>
  <c r="AE9" i="1"/>
  <c r="BD6" i="1"/>
  <c r="H17" i="16"/>
  <c r="AI9" i="1" l="1"/>
  <c r="AJ9" i="1" s="1"/>
  <c r="F90" i="16"/>
  <c r="L9" i="1"/>
  <c r="AA9" i="1" s="1"/>
  <c r="D96" i="17"/>
  <c r="F96" i="17" s="1"/>
  <c r="E57" i="17"/>
  <c r="D90" i="17"/>
  <c r="D96" i="16"/>
  <c r="F96" i="16" s="1"/>
  <c r="BC6" i="1"/>
  <c r="H20" i="16"/>
  <c r="AL9" i="1" l="1"/>
  <c r="AM9" i="1" s="1"/>
  <c r="H19" i="17"/>
  <c r="M9" i="1"/>
  <c r="T9" i="1" s="1"/>
  <c r="F78" i="16"/>
  <c r="BA6" i="1"/>
  <c r="BB6" i="1" s="1"/>
  <c r="AR6" i="1"/>
  <c r="AS6" i="1" s="1"/>
  <c r="AN9" i="1" l="1"/>
  <c r="AV9" i="1" s="1"/>
  <c r="G57" i="17"/>
  <c r="AO9" i="1"/>
  <c r="AP9" i="1" s="1"/>
  <c r="I57" i="17" s="1"/>
  <c r="U9" i="1"/>
  <c r="X9" i="1" s="1"/>
  <c r="Y9" i="1" s="1"/>
  <c r="H25" i="17"/>
  <c r="N9" i="1"/>
  <c r="O9" i="1" s="1"/>
  <c r="S9" i="1" s="1"/>
  <c r="J96" i="16"/>
  <c r="I102" i="16" s="1"/>
  <c r="I102" i="17"/>
  <c r="J90" i="16"/>
  <c r="AT9" i="1" l="1"/>
  <c r="AW9" i="1"/>
  <c r="I46" i="17" s="1"/>
  <c r="G45" i="17"/>
  <c r="D78" i="17" s="1"/>
  <c r="V9" i="1"/>
  <c r="W9" i="1" s="1"/>
  <c r="AY9" i="1"/>
  <c r="AZ9" i="1" s="1"/>
  <c r="J78" i="17" s="1"/>
  <c r="AF6" i="1"/>
  <c r="AC6" i="1"/>
  <c r="AC4" i="1" s="1"/>
  <c r="AX9" i="1" l="1"/>
  <c r="AG6" i="1"/>
  <c r="AG4" i="1" s="1"/>
  <c r="AF4" i="1"/>
  <c r="AD6" i="1"/>
  <c r="AD4" i="1" s="1"/>
  <c r="Z6" i="1"/>
  <c r="AE6" i="1" l="1"/>
  <c r="AI6" i="1" s="1"/>
  <c r="AJ6" i="1" s="1"/>
  <c r="D6" i="1"/>
  <c r="AL6" i="1" l="1"/>
  <c r="AM6" i="1" s="1"/>
  <c r="H19" i="16"/>
  <c r="G57" i="16" l="1"/>
  <c r="AO6" i="1"/>
  <c r="AN6" i="1"/>
  <c r="H25" i="16"/>
  <c r="H26" i="16" s="1"/>
  <c r="H31" i="16" s="1"/>
  <c r="E45" i="16" s="1"/>
  <c r="H26" i="17"/>
  <c r="H31" i="17" s="1"/>
  <c r="E45" i="17" s="1"/>
  <c r="AU6" i="1" l="1"/>
  <c r="AV6" i="1" s="1"/>
  <c r="AY6" i="1" s="1"/>
  <c r="AZ6" i="1" s="1"/>
  <c r="I100" i="17"/>
  <c r="AP6" i="1"/>
  <c r="I57" i="16" s="1"/>
  <c r="I100" i="16" s="1"/>
  <c r="H46" i="17"/>
  <c r="AW6" i="1" l="1"/>
  <c r="AX6" i="1" s="1"/>
  <c r="G45" i="16"/>
  <c r="D78" i="16" s="1"/>
  <c r="AT6" i="1"/>
  <c r="J46" i="17"/>
  <c r="H99" i="17" s="1"/>
  <c r="J78" i="16"/>
  <c r="I101" i="16" s="1"/>
  <c r="I103" i="16" s="1"/>
  <c r="I101" i="17"/>
  <c r="I103" i="17" s="1"/>
  <c r="H46" i="16" l="1"/>
  <c r="I46" i="16"/>
  <c r="J46" i="16" l="1"/>
  <c r="H99" i="16" s="1"/>
  <c r="Q6" i="1"/>
  <c r="R6" i="1" l="1"/>
  <c r="E6" i="1" l="1"/>
  <c r="F6" i="1"/>
  <c r="F4" i="1" s="1"/>
  <c r="I6" i="1"/>
  <c r="J6" i="1" l="1"/>
  <c r="J4" i="1" s="1"/>
  <c r="I4" i="1"/>
  <c r="G6" i="1"/>
  <c r="H6" i="1" l="1"/>
  <c r="L6" i="1" s="1"/>
  <c r="G4" i="1"/>
  <c r="AA6" i="1" l="1"/>
  <c r="AH9" i="1"/>
  <c r="H18" i="17" s="1"/>
  <c r="K9" i="1"/>
  <c r="M6" i="1"/>
  <c r="T6" i="1" s="1"/>
  <c r="U6" i="1" s="1"/>
  <c r="AH6" i="1"/>
  <c r="K6" i="1"/>
  <c r="H18" i="16" l="1"/>
  <c r="N6" i="1"/>
  <c r="O6" i="1" s="1"/>
  <c r="S6" i="1" s="1"/>
  <c r="X6" i="1" l="1"/>
  <c r="Y6" i="1" s="1"/>
  <c r="V6" i="1"/>
  <c r="W6" i="1" s="1"/>
  <c r="S15" i="4" l="1"/>
  <c r="S6" i="4" l="1"/>
  <c r="S14" i="4"/>
  <c r="S12" i="4"/>
  <c r="S11" i="4"/>
  <c r="S10" i="4"/>
  <c r="S9" i="4"/>
  <c r="S8" i="4"/>
  <c r="S7" i="4"/>
  <c r="S5" i="4"/>
  <c r="S13" i="4"/>
  <c r="S3" i="4"/>
  <c r="S4" i="4"/>
  <c r="S31" i="4" l="1"/>
  <c r="O16" i="4" l="1"/>
  <c r="O18" i="4"/>
  <c r="O19" i="4"/>
  <c r="O13" i="4"/>
  <c r="O17" i="4"/>
  <c r="O12" i="4"/>
  <c r="O15" i="4"/>
  <c r="O11" i="4"/>
  <c r="O14" i="4"/>
  <c r="O10" i="4"/>
  <c r="O8" i="4"/>
  <c r="O6" i="4"/>
  <c r="O9" i="4"/>
  <c r="O7" i="4"/>
  <c r="O5" i="4"/>
  <c r="A18" i="4" l="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O20" i="4" l="1"/>
  <c r="A62" i="4"/>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l="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alcChain>
</file>

<file path=xl/sharedStrings.xml><?xml version="1.0" encoding="utf-8"?>
<sst xmlns="http://schemas.openxmlformats.org/spreadsheetml/2006/main" count="384" uniqueCount="181">
  <si>
    <t>Budget estimate for the year 2008-09</t>
  </si>
  <si>
    <t>Non-teaching Staff NON-PLAN</t>
  </si>
  <si>
    <t>Designation-wise Total</t>
  </si>
  <si>
    <t>PAY-SCALE</t>
  </si>
  <si>
    <t>Superintendent</t>
  </si>
  <si>
    <t>FDA</t>
  </si>
  <si>
    <t>SDA</t>
  </si>
  <si>
    <t>Sr.Typist</t>
  </si>
  <si>
    <t>Typist</t>
  </si>
  <si>
    <t>Attender</t>
  </si>
  <si>
    <t>Lab.Asst.</t>
  </si>
  <si>
    <t>Lib.Asst.</t>
  </si>
  <si>
    <t>Mechanic</t>
  </si>
  <si>
    <t>Peon</t>
  </si>
  <si>
    <t>Night Watchman</t>
  </si>
  <si>
    <t>Scavenger</t>
  </si>
  <si>
    <t>-</t>
  </si>
  <si>
    <t>PH</t>
  </si>
  <si>
    <t>HRA</t>
  </si>
  <si>
    <t>CCA</t>
  </si>
  <si>
    <t>Suptd.</t>
  </si>
  <si>
    <t>M</t>
  </si>
  <si>
    <t>F</t>
  </si>
  <si>
    <t>TOTAL</t>
  </si>
  <si>
    <t>INCREMENT</t>
  </si>
  <si>
    <t>C</t>
  </si>
  <si>
    <t>A</t>
  </si>
  <si>
    <t>B</t>
  </si>
  <si>
    <t>D</t>
  </si>
  <si>
    <t>CITY</t>
  </si>
  <si>
    <t>DA</t>
  </si>
  <si>
    <t>20000-36300</t>
  </si>
  <si>
    <t>14550-26700</t>
  </si>
  <si>
    <t>11600-21000</t>
  </si>
  <si>
    <t>10400-16400</t>
  </si>
  <si>
    <t>9600-14550</t>
  </si>
  <si>
    <t>Daffedar</t>
  </si>
  <si>
    <t>11000-19000</t>
  </si>
  <si>
    <t>12500-24000</t>
  </si>
  <si>
    <t>13600-26000</t>
  </si>
  <si>
    <t>16000-29600</t>
  </si>
  <si>
    <t>17650-32000</t>
  </si>
  <si>
    <t>19000-34500</t>
  </si>
  <si>
    <t>21600-40050</t>
  </si>
  <si>
    <t>22800-43200</t>
  </si>
  <si>
    <t>N.Watchman</t>
  </si>
  <si>
    <t>BASIC PAY</t>
  </si>
  <si>
    <t>B1</t>
  </si>
  <si>
    <t>Basic Pay on Next year 1st March</t>
  </si>
  <si>
    <t>ALL INDIA SCALES (IAS, IPS &amp; IFS)</t>
  </si>
  <si>
    <t>OTHER SCALES IF ANY</t>
  </si>
  <si>
    <t>LOCAL CANDIDATES [CONSOLIDATED PAY]</t>
  </si>
  <si>
    <t>24000-45300</t>
  </si>
  <si>
    <t>26000-47700</t>
  </si>
  <si>
    <t>28100-50100</t>
  </si>
  <si>
    <t>30400-51300</t>
  </si>
  <si>
    <t>32800-52500</t>
  </si>
  <si>
    <t>36300-53850</t>
  </si>
  <si>
    <t>38100-55200</t>
  </si>
  <si>
    <t>40050-56550</t>
  </si>
  <si>
    <t>44250-60600</t>
  </si>
  <si>
    <t>48900-63600</t>
  </si>
  <si>
    <t>52500-73000</t>
  </si>
  <si>
    <t>56550-79800</t>
  </si>
  <si>
    <t>Date of Birth</t>
  </si>
  <si>
    <t>Month &amp; Year of Retirement</t>
  </si>
  <si>
    <t>Date of Entry into Service</t>
  </si>
  <si>
    <t>No.of Qualifying service</t>
  </si>
  <si>
    <t>Total [DCRG + Encashment]</t>
  </si>
  <si>
    <t xml:space="preserve"> No.of Days EL at credit at the time of Retirement</t>
  </si>
  <si>
    <t xml:space="preserve">EL </t>
  </si>
  <si>
    <t>Net Qualify-ing Years</t>
  </si>
  <si>
    <t>No.of  Net Qualifying service (HYs)</t>
  </si>
  <si>
    <t>Retirement GRATUITY Admisible</t>
  </si>
  <si>
    <t>Stenographer</t>
  </si>
  <si>
    <t>Driver</t>
  </si>
  <si>
    <t>Sr.Driver</t>
  </si>
  <si>
    <t>FDA (Accounts)</t>
  </si>
  <si>
    <t>Suptd. (Accounts)</t>
  </si>
  <si>
    <t>FDA (A/cs)</t>
  </si>
  <si>
    <t>Suptd. (A/cs)</t>
  </si>
  <si>
    <t>BASIC</t>
  </si>
  <si>
    <t>PENSION</t>
  </si>
  <si>
    <t>DA                                         @                                      25.25%</t>
  </si>
  <si>
    <t>Next Date of Birth  Age</t>
  </si>
  <si>
    <t>Year-wise Commuta- tion Value</t>
  </si>
  <si>
    <t>Commutation of Pension</t>
  </si>
  <si>
    <t>Family Pension</t>
  </si>
  <si>
    <t>Voluntary Retirement Date</t>
  </si>
  <si>
    <t>Gross Qualifying Service</t>
  </si>
  <si>
    <t>Month &amp; Year of Superannuation/ Retirement</t>
  </si>
  <si>
    <t>Total                                             [DCRG + Encashment]</t>
  </si>
  <si>
    <r>
      <t>PENSION CALCULATION FOR THE GOVERNMENT EMPLOYEE RETIRED ON "</t>
    </r>
    <r>
      <rPr>
        <b/>
        <u/>
        <sz val="16"/>
        <color theme="3" tint="-0.249977111117893"/>
        <rFont val="Cambria"/>
        <family val="1"/>
        <scheme val="major"/>
      </rPr>
      <t>SUPERANNUATION</t>
    </r>
    <r>
      <rPr>
        <b/>
        <sz val="14"/>
        <color theme="3" tint="-0.249977111117893"/>
        <rFont val="Cambria"/>
        <family val="1"/>
        <scheme val="major"/>
      </rPr>
      <t>"</t>
    </r>
  </si>
  <si>
    <r>
      <t>PENSION CALCULATION FOR "</t>
    </r>
    <r>
      <rPr>
        <b/>
        <u/>
        <sz val="16"/>
        <color rgb="FF1A04BC"/>
        <rFont val="Cambria"/>
        <family val="1"/>
        <scheme val="major"/>
      </rPr>
      <t>VOLUNTARY RETIRED</t>
    </r>
    <r>
      <rPr>
        <b/>
        <sz val="16"/>
        <color rgb="FF1A04BC"/>
        <rFont val="Cambria"/>
        <family val="1"/>
        <scheme val="major"/>
      </rPr>
      <t>"</t>
    </r>
    <r>
      <rPr>
        <b/>
        <sz val="14"/>
        <color rgb="FF1A04BC"/>
        <rFont val="Cambria"/>
        <family val="1"/>
        <scheme val="major"/>
      </rPr>
      <t xml:space="preserve"> GOVERNMENT EMPLOYEE</t>
    </r>
  </si>
  <si>
    <t>Amount of EL Encashment</t>
  </si>
  <si>
    <t>Commutation Table</t>
  </si>
  <si>
    <r>
      <t xml:space="preserve">Maximum Weitage of 5 years added in respect of </t>
    </r>
    <r>
      <rPr>
        <b/>
        <sz val="10"/>
        <color theme="3" tint="-0.499984740745262"/>
        <rFont val="Cambria"/>
        <family val="1"/>
        <scheme val="major"/>
      </rPr>
      <t>Voluntary Retirement</t>
    </r>
  </si>
  <si>
    <t>Retirement GRATUITY Admissible</t>
  </si>
  <si>
    <t>QUALIFYING SERVICE:</t>
  </si>
  <si>
    <t xml:space="preserve"> </t>
  </si>
  <si>
    <t>[b] Deduct date of entry into service</t>
  </si>
  <si>
    <t>SPECIAL ADDITIONS:</t>
  </si>
  <si>
    <t>[c] Military service upto 5 years to be added vide Rule 219b</t>
  </si>
  <si>
    <t>GROSS QUALIFYING SERVICE</t>
  </si>
  <si>
    <t>DEDUCTIONS:</t>
  </si>
  <si>
    <t>[1] Minor Service (Rule 220)</t>
  </si>
  <si>
    <t>[2] LWA/EOL in excess of 3 years (Rule 244A)</t>
  </si>
  <si>
    <t>[3] Suspension confirmed period (Rule 250)</t>
  </si>
  <si>
    <t>NET QUALIFYING SERVICE:</t>
  </si>
  <si>
    <t>NOTE</t>
  </si>
  <si>
    <t>FRACTION OF A YEAR</t>
  </si>
  <si>
    <t>Less than 3 Months</t>
  </si>
  <si>
    <t>Nil</t>
  </si>
  <si>
    <t>3 Months and above but less than 9 Months</t>
  </si>
  <si>
    <t>One</t>
  </si>
  <si>
    <t>9 Months and above</t>
  </si>
  <si>
    <t>Two</t>
  </si>
  <si>
    <t>LAST EMOLUMENTS</t>
  </si>
  <si>
    <t>X</t>
  </si>
  <si>
    <t>NET Q.S. (In terms of H.Y.S.)</t>
  </si>
  <si>
    <t>=</t>
  </si>
  <si>
    <t>RETIREMENT GRATUITY:</t>
  </si>
  <si>
    <t>RETIREMENT GRATUITY  =</t>
  </si>
  <si>
    <t>Last Emoluments X Net Q.S. (H.Y.S.)</t>
  </si>
  <si>
    <t>DEATH GRATUITY:</t>
  </si>
  <si>
    <t>LENTH OF SERVICE</t>
  </si>
  <si>
    <t xml:space="preserve">   [i] Less than one year </t>
  </si>
  <si>
    <t xml:space="preserve"> 2 Times of Emoluments</t>
  </si>
  <si>
    <t xml:space="preserve">  [ii] One year or more but less than 5 years</t>
  </si>
  <si>
    <t xml:space="preserve"> 6 Times of Emoluments</t>
  </si>
  <si>
    <t xml:space="preserve"> [iii] 5 years or more but less than 20 years</t>
  </si>
  <si>
    <t>12 Times of Emoluments</t>
  </si>
  <si>
    <t xml:space="preserve">  [iv] 20 years or more</t>
  </si>
  <si>
    <t>The Death Gratuity is payable even to the family of a Government Servant who commits suicide.</t>
  </si>
  <si>
    <t>COMMUTATION OF PENSION</t>
  </si>
  <si>
    <t>Commutation               Value of Pension</t>
  </si>
  <si>
    <t>Pension / 3   X  Commutaion Factor  X  12</t>
  </si>
  <si>
    <t>EX</t>
  </si>
  <si>
    <t>FAMILY PENSION:</t>
  </si>
  <si>
    <t>PENSION, GRATUITY, COMMUTTATION OF PENSION, EL ENCASHMENT AND FAMILY PENSION</t>
  </si>
  <si>
    <t>NAME</t>
  </si>
  <si>
    <t>DATE OF BIRTH</t>
  </si>
  <si>
    <t>DATE OF ENTRY INTO SERVICE</t>
  </si>
  <si>
    <t>DATE OF RETIREMENT [SUPERANNUATION/VRS]</t>
  </si>
  <si>
    <t>Maximum weitage of 5 years in respect of VRS</t>
  </si>
  <si>
    <t>PURUSHOTHAM P</t>
  </si>
  <si>
    <t>[f] Age at the time of Retirement</t>
  </si>
  <si>
    <t>[b] Maximum weightage of 5 years are to be added in respect of  Voluntary retirement cases, [Rule 285 (I) (a)]</t>
  </si>
  <si>
    <t>[a] Special additions in respect of Govt. Servants who have been appointed under Speical Recruitment Rules (Rule 247)</t>
  </si>
  <si>
    <t>[a] Date of Birth</t>
  </si>
  <si>
    <t>[d] Gross Qualifying Service</t>
  </si>
  <si>
    <t>[e] Net Qualifying Service [HYS]</t>
  </si>
  <si>
    <t>The Maximum Pension/Gratuity is earned after 33 years Qualifying Service and any service beyond this Maximum limits is ignored in calculating the length of service.  Qualifying Service should be expressed terms of completed six monthly periods.  For this purpose fraction of a year in the Qualifying Service should be recknoed as follows:</t>
  </si>
  <si>
    <t>PENSION FORMULA (Rule 291, 292 of KCSR) and G.O. No.FD-38-SRS-84 dated:31-08-1994.</t>
  </si>
  <si>
    <t>In the event of Death of a Government Servant in service irrespective of whether he was permanent or temporary, Death Gratuity is admissible at the following rates:</t>
  </si>
  <si>
    <t>Lump sum payable is related to Government Servants age.  In the Table given under Rule 380, Commutation factor is given as number of years of purchase.  The maximum amount that can be commuted is one-third of original pension.  The amount to be commuted is to be multiplied by the number of years of purchase or Government Servants age on the next date of birth.</t>
  </si>
  <si>
    <t>FAMILY PENSION = Basic Pay X 30%</t>
  </si>
  <si>
    <t>FAMILY PENSION =</t>
  </si>
  <si>
    <t>No. of Earned Leave at credit</t>
  </si>
  <si>
    <t>EL ENCASHMENT</t>
  </si>
  <si>
    <t>+</t>
  </si>
  <si>
    <t>EL ENCASHMENT =</t>
  </si>
  <si>
    <t>BASIC PAY + DA X No.of EL / 30</t>
  </si>
  <si>
    <t>RETIREMENT GRATUITY</t>
  </si>
  <si>
    <t>TOTAL [2+3+4]</t>
  </si>
  <si>
    <t>NO.OF COMPLETED SIX MONTHLY PERIODS [Half Year]</t>
  </si>
  <si>
    <r>
      <t xml:space="preserve">The term emoluments includes Basic Pay, Special Pay, Interim Relief, Personal Pay (Rule 8(35), </t>
    </r>
    <r>
      <rPr>
        <b/>
        <sz val="9"/>
        <color theme="1"/>
        <rFont val="Arial"/>
        <family val="2"/>
      </rPr>
      <t>Stagnation Increment, Additional Increment Pension should be always expressed in whole Rupees fraction of a Rupees should be rounded off to next Rupee.</t>
    </r>
  </si>
  <si>
    <t>Half of Emoluments for every completed 6 monthly period of Q.S. subject to a maximum of 33 times emoluments or Rs.10.00 lakhs whichever is less.</t>
  </si>
  <si>
    <t>If a Government Servant retired on completion of 56 years age if he apply for commutation of Rs.2500/-  out of his total pension is Rs.7500/- within a year, commutation amount will be Rs.2500 x 12 x 11.10 = 333000.</t>
  </si>
  <si>
    <t>DD-MM-YYYY</t>
  </si>
  <si>
    <t>CALCULATION SHEET IN RESPECT OF Sri./Smt.</t>
  </si>
  <si>
    <t>[c] Date of Retirement/Superannuation/VRS</t>
  </si>
  <si>
    <t>x 1.839=</t>
  </si>
  <si>
    <r>
      <t xml:space="preserve">PENSION CALCULATION SHEET FOR </t>
    </r>
    <r>
      <rPr>
        <b/>
        <u/>
        <sz val="11"/>
        <color rgb="FFC00000"/>
        <rFont val="Cambria"/>
        <family val="1"/>
        <scheme val="major"/>
      </rPr>
      <t>STATE SCALE</t>
    </r>
  </si>
  <si>
    <r>
      <t xml:space="preserve">PENSION CALCULATION SHEET FOR </t>
    </r>
    <r>
      <rPr>
        <b/>
        <u/>
        <sz val="11"/>
        <color rgb="FFFF0000"/>
        <rFont val="Cambria"/>
        <family val="1"/>
        <scheme val="major"/>
      </rPr>
      <t>UGC SCALE</t>
    </r>
  </si>
  <si>
    <t>FAMILY PENSION = Basic Pay  X  30% X 1.839</t>
  </si>
  <si>
    <t>Minimum Pension Rs.8500/- p.m.</t>
  </si>
  <si>
    <t>Maximum Pension is Rs.75300/- p.m.</t>
  </si>
  <si>
    <t>[Maximum amount of Gratuity is Rs.20.00 lakhs]</t>
  </si>
  <si>
    <t>Net Qualifying Service</t>
  </si>
  <si>
    <t>Maximum Pension is Rs.45180/- p.m.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</si>
</sst>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Red]0"/>
    <numFmt numFmtId="165" formatCode="[$-409]mmm/yy;@"/>
    <numFmt numFmtId="166" formatCode="mm/yy"/>
  </numFmts>
  <fonts count="55">
    <font>
      <sz val="11"/>
      <color theme="1"/>
      <name val="Calibri"/>
      <family val="2"/>
      <scheme val="minor"/>
    </font>
    <font>
      <sz val="10"/>
      <name val="Arial"/>
      <family val="2"/>
    </font>
    <font>
      <sz val="9"/>
      <name val="Arial"/>
      <family val="2"/>
    </font>
    <font>
      <sz val="8"/>
      <name val="Arial"/>
      <family val="2"/>
    </font>
    <font>
      <sz val="12"/>
      <name val="Arial"/>
      <family val="2"/>
    </font>
    <font>
      <sz val="11"/>
      <name val="Arial"/>
      <family val="2"/>
    </font>
    <font>
      <b/>
      <sz val="12"/>
      <name val="Arial"/>
      <family val="2"/>
    </font>
    <font>
      <b/>
      <sz val="10"/>
      <name val="Arial"/>
      <family val="2"/>
    </font>
    <font>
      <b/>
      <sz val="9"/>
      <name val="Arial"/>
      <family val="2"/>
    </font>
    <font>
      <b/>
      <sz val="8"/>
      <name val="Arial"/>
      <family val="2"/>
    </font>
    <font>
      <b/>
      <sz val="16"/>
      <name val="Arial"/>
      <family val="2"/>
    </font>
    <font>
      <b/>
      <sz val="14"/>
      <name val="Arial"/>
      <family val="2"/>
    </font>
    <font>
      <b/>
      <sz val="11"/>
      <name val="Arial"/>
      <family val="2"/>
    </font>
    <font>
      <b/>
      <sz val="10"/>
      <name val="Times New Roman"/>
      <family val="1"/>
    </font>
    <font>
      <b/>
      <sz val="10"/>
      <color rgb="FF00B050"/>
      <name val="Arial"/>
      <family val="2"/>
    </font>
    <font>
      <b/>
      <sz val="10"/>
      <color rgb="FF0070C0"/>
      <name val="Arial"/>
      <family val="2"/>
    </font>
    <font>
      <b/>
      <sz val="10"/>
      <color rgb="FFC00000"/>
      <name val="Arial"/>
      <family val="2"/>
    </font>
    <font>
      <b/>
      <sz val="10"/>
      <color rgb="FF7030A0"/>
      <name val="Arial"/>
      <family val="2"/>
    </font>
    <font>
      <b/>
      <sz val="10"/>
      <color rgb="FF1A04BC"/>
      <name val="Arial"/>
      <family val="2"/>
    </font>
    <font>
      <b/>
      <sz val="11"/>
      <color theme="1"/>
      <name val="Calibri"/>
      <family val="2"/>
      <scheme val="minor"/>
    </font>
    <font>
      <b/>
      <sz val="11"/>
      <color rgb="FF1A04BC"/>
      <name val="Cambria"/>
      <family val="1"/>
      <scheme val="major"/>
    </font>
    <font>
      <sz val="9"/>
      <color theme="1"/>
      <name val="Calibri"/>
      <family val="2"/>
      <scheme val="minor"/>
    </font>
    <font>
      <b/>
      <sz val="11"/>
      <color theme="1"/>
      <name val="Arial"/>
      <family val="2"/>
    </font>
    <font>
      <sz val="10"/>
      <color theme="1"/>
      <name val="Arial"/>
      <family val="2"/>
    </font>
    <font>
      <b/>
      <sz val="12"/>
      <color theme="1"/>
      <name val="Cambria"/>
      <family val="1"/>
      <scheme val="major"/>
    </font>
    <font>
      <sz val="8"/>
      <color theme="1"/>
      <name val="Arial"/>
      <family val="2"/>
    </font>
    <font>
      <sz val="10"/>
      <color theme="1"/>
      <name val="Calibri"/>
      <family val="2"/>
      <scheme val="minor"/>
    </font>
    <font>
      <sz val="9"/>
      <color theme="1"/>
      <name val="Arial"/>
      <family val="2"/>
    </font>
    <font>
      <b/>
      <sz val="9"/>
      <color theme="7" tint="-0.499984740745262"/>
      <name val="Arial"/>
      <family val="2"/>
    </font>
    <font>
      <sz val="8"/>
      <color theme="1"/>
      <name val="Calibri"/>
      <family val="2"/>
      <scheme val="minor"/>
    </font>
    <font>
      <b/>
      <sz val="11"/>
      <color rgb="FFFF0000"/>
      <name val="Calibri"/>
      <family val="2"/>
      <scheme val="minor"/>
    </font>
    <font>
      <sz val="10"/>
      <color rgb="FF1A04BC"/>
      <name val="Arial"/>
      <family val="2"/>
    </font>
    <font>
      <b/>
      <sz val="14"/>
      <color rgb="FF1A04BC"/>
      <name val="Cambria"/>
      <family val="1"/>
      <scheme val="major"/>
    </font>
    <font>
      <b/>
      <sz val="14"/>
      <color theme="3" tint="-0.249977111117893"/>
      <name val="Cambria"/>
      <family val="1"/>
      <scheme val="major"/>
    </font>
    <font>
      <b/>
      <u/>
      <sz val="16"/>
      <color theme="3" tint="-0.249977111117893"/>
      <name val="Cambria"/>
      <family val="1"/>
      <scheme val="major"/>
    </font>
    <font>
      <b/>
      <sz val="16"/>
      <color rgb="FF1A04BC"/>
      <name val="Cambria"/>
      <family val="1"/>
      <scheme val="major"/>
    </font>
    <font>
      <b/>
      <u/>
      <sz val="16"/>
      <color rgb="FF1A04BC"/>
      <name val="Cambria"/>
      <family val="1"/>
      <scheme val="major"/>
    </font>
    <font>
      <b/>
      <sz val="10"/>
      <color theme="3" tint="-0.499984740745262"/>
      <name val="Cambria"/>
      <family val="1"/>
      <scheme val="major"/>
    </font>
    <font>
      <sz val="11"/>
      <color rgb="FF1A04BC"/>
      <name val="Cambria"/>
      <family val="1"/>
      <scheme val="major"/>
    </font>
    <font>
      <sz val="9"/>
      <color theme="7" tint="-0.499984740745262"/>
      <name val="Arial"/>
      <family val="2"/>
    </font>
    <font>
      <b/>
      <sz val="12"/>
      <color rgb="FF1A04BC"/>
      <name val="Calibri"/>
      <family val="2"/>
      <scheme val="minor"/>
    </font>
    <font>
      <b/>
      <sz val="12"/>
      <color rgb="FF1A04BC"/>
      <name val="Cambria"/>
      <family val="1"/>
      <scheme val="major"/>
    </font>
    <font>
      <b/>
      <sz val="9"/>
      <color theme="1"/>
      <name val="Arial"/>
      <family val="2"/>
    </font>
    <font>
      <b/>
      <u/>
      <sz val="10"/>
      <name val="Arial"/>
      <family val="2"/>
    </font>
    <font>
      <sz val="10"/>
      <name val="Sans Serif 12cpi"/>
      <family val="3"/>
    </font>
    <font>
      <u/>
      <sz val="10"/>
      <name val="Arial"/>
      <family val="2"/>
    </font>
    <font>
      <b/>
      <u/>
      <sz val="11"/>
      <name val="Cambria"/>
      <family val="1"/>
      <scheme val="major"/>
    </font>
    <font>
      <b/>
      <sz val="10"/>
      <color theme="1"/>
      <name val="Arial"/>
      <family val="2"/>
    </font>
    <font>
      <b/>
      <u/>
      <sz val="9"/>
      <name val="Arial"/>
      <family val="2"/>
    </font>
    <font>
      <b/>
      <sz val="11"/>
      <color theme="5" tint="-0.499984740745262"/>
      <name val="Arial"/>
      <family val="2"/>
    </font>
    <font>
      <b/>
      <sz val="12"/>
      <color theme="5" tint="-0.499984740745262"/>
      <name val="Arial"/>
      <family val="2"/>
    </font>
    <font>
      <b/>
      <sz val="11"/>
      <color rgb="FF0070C0"/>
      <name val="Arial"/>
      <family val="2"/>
    </font>
    <font>
      <b/>
      <sz val="12"/>
      <color rgb="FF002060"/>
      <name val="Calibri"/>
      <family val="2"/>
      <scheme val="minor"/>
    </font>
    <font>
      <b/>
      <u/>
      <sz val="11"/>
      <color rgb="FFFF0000"/>
      <name val="Cambria"/>
      <family val="1"/>
      <scheme val="major"/>
    </font>
    <font>
      <b/>
      <u/>
      <sz val="11"/>
      <color rgb="FFC00000"/>
      <name val="Cambria"/>
      <family val="1"/>
      <scheme val="major"/>
    </font>
  </fonts>
  <fills count="12">
    <fill>
      <patternFill patternType="none"/>
    </fill>
    <fill>
      <patternFill patternType="gray125"/>
    </fill>
    <fill>
      <patternFill patternType="solid">
        <fgColor indexed="11"/>
        <bgColor indexed="64"/>
      </patternFill>
    </fill>
    <fill>
      <patternFill patternType="solid">
        <fgColor indexed="5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008000"/>
        <bgColor indexed="64"/>
      </patternFill>
    </fill>
    <fill>
      <patternFill patternType="solid">
        <fgColor rgb="FF0070C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C694D4"/>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1">
    <xf numFmtId="0" fontId="0" fillId="0" borderId="0"/>
  </cellStyleXfs>
  <cellXfs count="366">
    <xf numFmtId="0" fontId="0" fillId="0" borderId="0" xfId="0"/>
    <xf numFmtId="0" fontId="1" fillId="0" borderId="0" xfId="0" applyFont="1" applyFill="1" applyAlignment="1" applyProtection="1">
      <alignment horizontal="center" vertical="center" wrapText="1"/>
      <protection hidden="1"/>
    </xf>
    <xf numFmtId="0" fontId="1" fillId="0" borderId="0" xfId="0" applyFont="1" applyFill="1" applyAlignment="1" applyProtection="1">
      <alignment horizontal="left" vertical="center" wrapText="1"/>
      <protection hidden="1"/>
    </xf>
    <xf numFmtId="1" fontId="1" fillId="0" borderId="0" xfId="0" applyNumberFormat="1" applyFont="1" applyFill="1" applyAlignment="1" applyProtection="1">
      <alignment horizontal="right" vertical="center" wrapText="1"/>
      <protection hidden="1"/>
    </xf>
    <xf numFmtId="0" fontId="1" fillId="0" borderId="0" xfId="0" applyFont="1" applyFill="1" applyAlignment="1" applyProtection="1">
      <alignment horizontal="right" vertical="center" wrapText="1"/>
      <protection hidden="1"/>
    </xf>
    <xf numFmtId="0" fontId="1" fillId="0" borderId="0" xfId="0" applyFont="1" applyFill="1" applyAlignment="1" applyProtection="1">
      <alignment vertical="center" wrapText="1"/>
      <protection hidden="1"/>
    </xf>
    <xf numFmtId="1" fontId="5" fillId="0" borderId="0" xfId="0" applyNumberFormat="1" applyFont="1" applyFill="1" applyAlignment="1" applyProtection="1">
      <alignment horizontal="right" vertical="center" wrapText="1"/>
      <protection hidden="1"/>
    </xf>
    <xf numFmtId="0" fontId="4" fillId="0" borderId="0" xfId="0" applyFont="1" applyFill="1" applyBorder="1" applyAlignment="1" applyProtection="1">
      <alignment horizontal="center" vertical="center" wrapText="1"/>
      <protection hidden="1"/>
    </xf>
    <xf numFmtId="0" fontId="1" fillId="0" borderId="0" xfId="0" applyFont="1" applyFill="1" applyBorder="1" applyAlignment="1" applyProtection="1">
      <alignment horizontal="right" vertical="center" wrapText="1"/>
      <protection hidden="1"/>
    </xf>
    <xf numFmtId="0" fontId="1" fillId="0" borderId="0" xfId="0" applyFont="1" applyFill="1" applyBorder="1" applyAlignment="1" applyProtection="1">
      <alignment horizontal="center" vertical="center" wrapText="1"/>
      <protection hidden="1"/>
    </xf>
    <xf numFmtId="0" fontId="0" fillId="0" borderId="0" xfId="0" applyFill="1" applyAlignment="1" applyProtection="1">
      <alignment vertical="center" wrapText="1"/>
      <protection hidden="1"/>
    </xf>
    <xf numFmtId="0" fontId="9" fillId="0" borderId="0" xfId="0" applyFont="1" applyFill="1" applyAlignment="1" applyProtection="1">
      <alignment horizontal="center" vertical="center" wrapText="1"/>
      <protection hidden="1"/>
    </xf>
    <xf numFmtId="0" fontId="1" fillId="0"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right" vertical="center" wrapText="1"/>
      <protection hidden="1"/>
    </xf>
    <xf numFmtId="0" fontId="7" fillId="0" borderId="0" xfId="0" applyFont="1" applyFill="1" applyAlignment="1" applyProtection="1">
      <alignment horizontal="center" vertical="center" wrapText="1"/>
      <protection hidden="1"/>
    </xf>
    <xf numFmtId="0" fontId="7" fillId="0" borderId="0" xfId="0" applyFont="1" applyFill="1" applyAlignment="1" applyProtection="1">
      <alignment vertical="center" wrapText="1"/>
      <protection hidden="1"/>
    </xf>
    <xf numFmtId="0" fontId="5" fillId="0" borderId="0" xfId="0" applyFont="1" applyFill="1" applyAlignment="1" applyProtection="1">
      <alignment vertical="center" wrapText="1"/>
      <protection hidden="1"/>
    </xf>
    <xf numFmtId="0" fontId="7" fillId="0" borderId="0" xfId="0" applyFont="1" applyFill="1" applyBorder="1" applyAlignment="1" applyProtection="1">
      <alignment horizontal="center" vertical="center" wrapText="1"/>
      <protection hidden="1"/>
    </xf>
    <xf numFmtId="0" fontId="9" fillId="0" borderId="0" xfId="0" applyFont="1" applyFill="1" applyBorder="1" applyAlignment="1" applyProtection="1">
      <alignment horizontal="center" vertical="center" wrapText="1"/>
      <protection hidden="1"/>
    </xf>
    <xf numFmtId="0" fontId="0" fillId="0" borderId="0" xfId="0" applyFill="1" applyBorder="1" applyAlignment="1" applyProtection="1">
      <alignment vertical="center" wrapText="1"/>
      <protection hidden="1"/>
    </xf>
    <xf numFmtId="0" fontId="7" fillId="0" borderId="0" xfId="0" applyFont="1" applyFill="1" applyBorder="1" applyAlignment="1" applyProtection="1">
      <alignment vertical="center" wrapText="1"/>
      <protection hidden="1"/>
    </xf>
    <xf numFmtId="0" fontId="13" fillId="0" borderId="0" xfId="0" applyFont="1" applyFill="1" applyBorder="1" applyAlignment="1" applyProtection="1">
      <alignment vertical="center" wrapText="1"/>
      <protection hidden="1"/>
    </xf>
    <xf numFmtId="0" fontId="1" fillId="0" borderId="0" xfId="0" applyFont="1" applyFill="1" applyBorder="1" applyAlignment="1" applyProtection="1">
      <alignment vertical="center" wrapText="1"/>
      <protection hidden="1"/>
    </xf>
    <xf numFmtId="1" fontId="1" fillId="0" borderId="0" xfId="0" applyNumberFormat="1" applyFont="1" applyFill="1" applyBorder="1" applyAlignment="1" applyProtection="1">
      <alignment horizontal="right" vertical="center" wrapText="1"/>
      <protection hidden="1"/>
    </xf>
    <xf numFmtId="0" fontId="5" fillId="0" borderId="0" xfId="0" applyFont="1" applyFill="1" applyBorder="1" applyAlignment="1" applyProtection="1">
      <alignment vertical="center" wrapText="1"/>
      <protection hidden="1"/>
    </xf>
    <xf numFmtId="0" fontId="1" fillId="4" borderId="0"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9" fontId="10" fillId="0" borderId="0" xfId="0" applyNumberFormat="1" applyFont="1" applyFill="1" applyBorder="1" applyAlignment="1" applyProtection="1">
      <alignment horizontal="center" vertical="center" wrapText="1"/>
      <protection hidden="1"/>
    </xf>
    <xf numFmtId="10" fontId="11" fillId="0" borderId="0" xfId="0" applyNumberFormat="1" applyFont="1" applyFill="1" applyBorder="1" applyAlignment="1" applyProtection="1">
      <alignment horizontal="center" vertical="center" wrapText="1"/>
      <protection hidden="1"/>
    </xf>
    <xf numFmtId="14" fontId="4" fillId="0" borderId="0" xfId="0" applyNumberFormat="1" applyFont="1" applyFill="1" applyBorder="1" applyAlignment="1" applyProtection="1">
      <alignment horizontal="center" vertical="center" wrapText="1"/>
      <protection hidden="1"/>
    </xf>
    <xf numFmtId="0" fontId="4" fillId="4" borderId="0" xfId="0" applyFont="1" applyFill="1" applyBorder="1" applyAlignment="1" applyProtection="1">
      <alignment horizontal="right" vertical="center" wrapText="1"/>
      <protection hidden="1"/>
    </xf>
    <xf numFmtId="0" fontId="4" fillId="4" borderId="0" xfId="0" applyFont="1" applyFill="1" applyBorder="1" applyAlignment="1" applyProtection="1">
      <alignment horizontal="center" vertical="center" wrapText="1"/>
      <protection hidden="1"/>
    </xf>
    <xf numFmtId="0" fontId="6" fillId="4" borderId="0" xfId="0" applyFont="1" applyFill="1" applyBorder="1" applyAlignment="1" applyProtection="1">
      <alignment horizontal="right" vertical="center" wrapText="1"/>
      <protection hidden="1"/>
    </xf>
    <xf numFmtId="0" fontId="7" fillId="0" borderId="0"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left" vertical="center" wrapText="1"/>
      <protection hidden="1"/>
    </xf>
    <xf numFmtId="0" fontId="1" fillId="4" borderId="0" xfId="0" applyFont="1" applyFill="1" applyBorder="1" applyAlignment="1" applyProtection="1">
      <alignment horizontal="right" vertical="center" wrapText="1"/>
      <protection hidden="1"/>
    </xf>
    <xf numFmtId="0" fontId="2" fillId="4" borderId="0" xfId="0" applyFont="1" applyFill="1" applyBorder="1" applyAlignment="1" applyProtection="1">
      <alignment vertical="center" wrapText="1"/>
      <protection hidden="1"/>
    </xf>
    <xf numFmtId="0" fontId="2" fillId="3" borderId="1" xfId="0" applyFont="1" applyFill="1" applyBorder="1" applyAlignment="1" applyProtection="1">
      <alignment vertical="center" wrapText="1"/>
      <protection hidden="1"/>
    </xf>
    <xf numFmtId="0" fontId="6" fillId="2" borderId="1" xfId="0" applyFont="1" applyFill="1" applyBorder="1" applyAlignment="1" applyProtection="1">
      <alignment horizontal="right" vertical="center" wrapText="1"/>
      <protection hidden="1"/>
    </xf>
    <xf numFmtId="0" fontId="3" fillId="4" borderId="0" xfId="0" applyFont="1" applyFill="1" applyBorder="1" applyAlignment="1" applyProtection="1">
      <alignment horizontal="left" vertical="center" wrapText="1"/>
      <protection hidden="1"/>
    </xf>
    <xf numFmtId="1" fontId="7" fillId="4" borderId="0" xfId="0" applyNumberFormat="1" applyFont="1" applyFill="1" applyBorder="1" applyAlignment="1" applyProtection="1">
      <alignment horizontal="right" vertical="center" wrapText="1"/>
      <protection hidden="1"/>
    </xf>
    <xf numFmtId="49" fontId="8" fillId="4" borderId="0" xfId="0" applyNumberFormat="1" applyFont="1" applyFill="1" applyBorder="1" applyAlignment="1" applyProtection="1">
      <alignment horizontal="right" vertical="center" wrapText="1"/>
      <protection hidden="1"/>
    </xf>
    <xf numFmtId="0" fontId="8" fillId="4" borderId="0" xfId="0" applyFont="1" applyFill="1" applyBorder="1" applyAlignment="1" applyProtection="1">
      <alignment horizontal="right" vertical="center" wrapText="1"/>
      <protection hidden="1"/>
    </xf>
    <xf numFmtId="49" fontId="2" fillId="4" borderId="0" xfId="0" applyNumberFormat="1" applyFont="1" applyFill="1" applyBorder="1" applyAlignment="1" applyProtection="1">
      <alignment horizontal="left" vertical="center" wrapText="1"/>
      <protection hidden="1"/>
    </xf>
    <xf numFmtId="164" fontId="2" fillId="4" borderId="0" xfId="0" applyNumberFormat="1" applyFont="1" applyFill="1" applyBorder="1" applyAlignment="1" applyProtection="1">
      <alignment horizontal="right" vertical="center" wrapText="1"/>
      <protection hidden="1"/>
    </xf>
    <xf numFmtId="0" fontId="5" fillId="4" borderId="0" xfId="0" applyFont="1" applyFill="1" applyBorder="1" applyAlignment="1" applyProtection="1">
      <alignment vertical="center" wrapText="1"/>
      <protection hidden="1"/>
    </xf>
    <xf numFmtId="0" fontId="5" fillId="4" borderId="0" xfId="0" applyFont="1" applyFill="1" applyBorder="1" applyAlignment="1" applyProtection="1">
      <alignment horizontal="left" vertical="center" wrapText="1"/>
      <protection hidden="1"/>
    </xf>
    <xf numFmtId="164" fontId="5" fillId="4" borderId="0" xfId="0" applyNumberFormat="1" applyFont="1" applyFill="1" applyBorder="1" applyAlignment="1" applyProtection="1">
      <alignment horizontal="right" vertical="center" wrapText="1"/>
      <protection hidden="1"/>
    </xf>
    <xf numFmtId="0" fontId="1" fillId="4" borderId="0" xfId="0" applyFont="1" applyFill="1" applyBorder="1" applyAlignment="1" applyProtection="1">
      <alignment vertical="center" wrapText="1"/>
      <protection hidden="1"/>
    </xf>
    <xf numFmtId="164" fontId="1" fillId="4" borderId="0" xfId="0" applyNumberFormat="1" applyFont="1" applyFill="1" applyBorder="1" applyAlignment="1" applyProtection="1">
      <alignment horizontal="right" vertical="center" wrapText="1"/>
      <protection hidden="1"/>
    </xf>
    <xf numFmtId="1" fontId="6" fillId="4" borderId="0" xfId="0" applyNumberFormat="1" applyFont="1" applyFill="1" applyBorder="1" applyAlignment="1" applyProtection="1">
      <alignment horizontal="right" vertical="center" wrapText="1"/>
      <protection hidden="1"/>
    </xf>
    <xf numFmtId="0" fontId="4" fillId="2" borderId="1" xfId="0" applyFont="1" applyFill="1" applyBorder="1" applyAlignment="1" applyProtection="1">
      <alignment horizontal="left" vertical="center" wrapText="1"/>
      <protection hidden="1"/>
    </xf>
    <xf numFmtId="0" fontId="1" fillId="2" borderId="1" xfId="0" applyFont="1" applyFill="1" applyBorder="1" applyAlignment="1" applyProtection="1">
      <alignment horizontal="right" vertical="center" wrapText="1"/>
      <protection hidden="1"/>
    </xf>
    <xf numFmtId="164" fontId="1" fillId="4" borderId="0" xfId="0" applyNumberFormat="1" applyFont="1" applyFill="1" applyAlignment="1" applyProtection="1">
      <alignment horizontal="right" vertical="center" wrapText="1"/>
      <protection hidden="1"/>
    </xf>
    <xf numFmtId="0" fontId="1" fillId="4" borderId="0" xfId="0" applyFont="1" applyFill="1" applyAlignment="1" applyProtection="1">
      <alignment horizontal="center" vertical="center" wrapText="1"/>
      <protection hidden="1"/>
    </xf>
    <xf numFmtId="0" fontId="0" fillId="4" borderId="0" xfId="0" applyFill="1"/>
    <xf numFmtId="0" fontId="1" fillId="0" borderId="0" xfId="0" applyFont="1" applyFill="1" applyBorder="1" applyAlignment="1" applyProtection="1">
      <alignment horizontal="center" vertical="center" wrapText="1"/>
      <protection hidden="1"/>
    </xf>
    <xf numFmtId="0" fontId="7" fillId="0" borderId="1" xfId="0" applyFont="1" applyFill="1" applyBorder="1" applyAlignment="1" applyProtection="1">
      <alignment horizontal="center" vertical="center" wrapText="1"/>
      <protection hidden="1"/>
    </xf>
    <xf numFmtId="0" fontId="1" fillId="4" borderId="1"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0" fillId="0" borderId="0" xfId="0" applyProtection="1">
      <protection hidden="1"/>
    </xf>
    <xf numFmtId="0" fontId="0" fillId="0" borderId="0" xfId="0" applyAlignment="1" applyProtection="1">
      <alignment horizontal="center" vertical="center"/>
      <protection hidden="1"/>
    </xf>
    <xf numFmtId="0" fontId="1" fillId="4" borderId="0" xfId="0" applyFont="1" applyFill="1" applyAlignment="1" applyProtection="1">
      <alignment vertical="center" wrapText="1"/>
      <protection hidden="1"/>
    </xf>
    <xf numFmtId="0" fontId="0" fillId="4" borderId="0" xfId="0" applyFill="1" applyAlignment="1" applyProtection="1">
      <alignment vertical="center" wrapText="1"/>
      <protection hidden="1"/>
    </xf>
    <xf numFmtId="0" fontId="1" fillId="4" borderId="0" xfId="0" applyFont="1" applyFill="1" applyAlignment="1" applyProtection="1">
      <alignment horizontal="left" vertical="center" wrapText="1"/>
      <protection hidden="1"/>
    </xf>
    <xf numFmtId="0" fontId="1" fillId="4" borderId="0" xfId="0" applyFont="1" applyFill="1" applyBorder="1" applyAlignment="1" applyProtection="1">
      <alignment horizontal="left" vertical="center" wrapText="1"/>
      <protection hidden="1"/>
    </xf>
    <xf numFmtId="14" fontId="14" fillId="0" borderId="1" xfId="0" applyNumberFormat="1"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xf numFmtId="9" fontId="15" fillId="0" borderId="1" xfId="0" applyNumberFormat="1" applyFont="1" applyFill="1" applyBorder="1" applyAlignment="1" applyProtection="1">
      <alignment horizontal="center" vertical="center" wrapText="1"/>
      <protection hidden="1"/>
    </xf>
    <xf numFmtId="0" fontId="12" fillId="0" borderId="1" xfId="0" applyFont="1" applyFill="1" applyBorder="1" applyAlignment="1" applyProtection="1">
      <alignment horizontal="center" vertical="center" wrapText="1"/>
      <protection hidden="1"/>
    </xf>
    <xf numFmtId="0" fontId="17" fillId="0" borderId="1" xfId="0" applyFont="1" applyFill="1" applyBorder="1" applyAlignment="1" applyProtection="1">
      <alignment horizontal="center" vertical="center" wrapText="1"/>
      <protection hidden="1"/>
    </xf>
    <xf numFmtId="0" fontId="16" fillId="0" borderId="1" xfId="0" applyFont="1" applyFill="1" applyBorder="1" applyAlignment="1" applyProtection="1">
      <alignment horizontal="center" vertical="center" wrapText="1"/>
      <protection hidden="1"/>
    </xf>
    <xf numFmtId="0" fontId="2" fillId="4" borderId="0" xfId="0"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0" fontId="6" fillId="6" borderId="1" xfId="0" applyFont="1" applyFill="1" applyBorder="1" applyAlignment="1" applyProtection="1">
      <alignment horizontal="right" vertical="center" wrapText="1"/>
      <protection hidden="1"/>
    </xf>
    <xf numFmtId="0" fontId="1" fillId="6" borderId="1" xfId="0" applyFont="1" applyFill="1" applyBorder="1" applyAlignment="1" applyProtection="1">
      <alignment horizontal="center" vertical="center" wrapText="1"/>
      <protection hidden="1"/>
    </xf>
    <xf numFmtId="0" fontId="1" fillId="0" borderId="1" xfId="0" applyFont="1" applyFill="1" applyBorder="1" applyAlignment="1" applyProtection="1">
      <alignment horizontal="left" vertical="center" wrapText="1"/>
      <protection hidden="1"/>
    </xf>
    <xf numFmtId="0" fontId="25" fillId="0" borderId="1" xfId="0" applyFont="1" applyBorder="1" applyAlignment="1" applyProtection="1">
      <alignment vertical="center"/>
      <protection hidden="1"/>
    </xf>
    <xf numFmtId="10" fontId="16" fillId="0" borderId="1" xfId="0" applyNumberFormat="1" applyFont="1" applyFill="1" applyBorder="1" applyAlignment="1" applyProtection="1">
      <alignment horizontal="center" vertical="center" wrapText="1"/>
      <protection hidden="1"/>
    </xf>
    <xf numFmtId="0" fontId="29" fillId="0" borderId="1" xfId="0" applyFont="1" applyBorder="1" applyAlignment="1">
      <alignment horizontal="center" vertical="center" wrapText="1"/>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30" fillId="6" borderId="1" xfId="0" applyFont="1" applyFill="1" applyBorder="1" applyAlignment="1">
      <alignment horizontal="center" vertical="center"/>
    </xf>
    <xf numFmtId="0" fontId="18" fillId="4" borderId="0" xfId="0" applyFont="1" applyFill="1" applyAlignment="1" applyProtection="1">
      <alignment horizontal="right" vertical="center" wrapText="1"/>
      <protection hidden="1"/>
    </xf>
    <xf numFmtId="0" fontId="18" fillId="4" borderId="0" xfId="0" applyFont="1" applyFill="1" applyAlignment="1" applyProtection="1">
      <alignment vertical="center" wrapText="1"/>
      <protection hidden="1"/>
    </xf>
    <xf numFmtId="0" fontId="18" fillId="4" borderId="0" xfId="0" applyFont="1" applyFill="1" applyBorder="1" applyAlignment="1" applyProtection="1">
      <alignment vertical="center" wrapText="1"/>
      <protection hidden="1"/>
    </xf>
    <xf numFmtId="0" fontId="20" fillId="4" borderId="0" xfId="0" applyFont="1" applyFill="1" applyAlignment="1" applyProtection="1">
      <alignment horizontal="center" vertical="center" wrapText="1"/>
      <protection hidden="1"/>
    </xf>
    <xf numFmtId="0" fontId="20" fillId="4" borderId="0" xfId="0" applyFont="1" applyFill="1" applyAlignment="1" applyProtection="1">
      <alignment vertical="center" wrapText="1"/>
      <protection hidden="1"/>
    </xf>
    <xf numFmtId="0" fontId="20" fillId="4" borderId="0" xfId="0" applyFont="1" applyFill="1" applyBorder="1" applyAlignment="1" applyProtection="1">
      <alignment vertical="center" wrapText="1"/>
      <protection hidden="1"/>
    </xf>
    <xf numFmtId="0" fontId="0" fillId="4" borderId="0" xfId="0" applyFill="1" applyBorder="1" applyAlignment="1" applyProtection="1">
      <alignment horizontal="left"/>
      <protection hidden="1"/>
    </xf>
    <xf numFmtId="0" fontId="31" fillId="4" borderId="0" xfId="0" applyFont="1" applyFill="1" applyAlignment="1" applyProtection="1">
      <alignment vertical="center" wrapText="1"/>
      <protection hidden="1"/>
    </xf>
    <xf numFmtId="0" fontId="38" fillId="4" borderId="0" xfId="0" applyFont="1" applyFill="1" applyAlignment="1" applyProtection="1">
      <alignment vertical="center" wrapText="1"/>
      <protection hidden="1"/>
    </xf>
    <xf numFmtId="1" fontId="2" fillId="4" borderId="0" xfId="0" applyNumberFormat="1" applyFont="1" applyFill="1" applyAlignment="1" applyProtection="1">
      <alignment horizontal="right" vertical="center" wrapText="1"/>
      <protection hidden="1"/>
    </xf>
    <xf numFmtId="0" fontId="18" fillId="4" borderId="0" xfId="0" applyFont="1" applyFill="1" applyAlignment="1" applyProtection="1">
      <alignment horizontal="right" vertical="center" wrapText="1"/>
      <protection locked="0"/>
    </xf>
    <xf numFmtId="0" fontId="41" fillId="4" borderId="0" xfId="0" applyFont="1" applyFill="1" applyAlignment="1" applyProtection="1">
      <alignment horizontal="center" vertical="center" wrapText="1"/>
      <protection locked="0"/>
    </xf>
    <xf numFmtId="0" fontId="40" fillId="4" borderId="0" xfId="0" applyFont="1" applyFill="1" applyBorder="1" applyAlignment="1" applyProtection="1">
      <alignment horizontal="center" vertical="center" wrapText="1"/>
      <protection locked="0"/>
    </xf>
    <xf numFmtId="1" fontId="2" fillId="5" borderId="6" xfId="0" applyNumberFormat="1" applyFont="1" applyFill="1" applyBorder="1" applyAlignment="1" applyProtection="1">
      <alignment horizontal="right" vertical="center"/>
      <protection hidden="1"/>
    </xf>
    <xf numFmtId="14" fontId="26" fillId="5" borderId="6" xfId="0" applyNumberFormat="1" applyFont="1" applyFill="1" applyBorder="1" applyAlignment="1" applyProtection="1">
      <alignment horizontal="center" vertical="center" wrapText="1"/>
      <protection locked="0"/>
    </xf>
    <xf numFmtId="165" fontId="26" fillId="5" borderId="6" xfId="0" applyNumberFormat="1" applyFont="1" applyFill="1" applyBorder="1" applyAlignment="1" applyProtection="1">
      <alignment horizontal="center" vertical="center" wrapText="1"/>
      <protection hidden="1"/>
    </xf>
    <xf numFmtId="2" fontId="27" fillId="5" borderId="6" xfId="0" applyNumberFormat="1" applyFont="1" applyFill="1" applyBorder="1" applyAlignment="1" applyProtection="1">
      <alignment horizontal="center" vertical="center"/>
      <protection hidden="1"/>
    </xf>
    <xf numFmtId="0" fontId="2" fillId="5" borderId="6" xfId="0" applyFont="1" applyFill="1" applyBorder="1" applyAlignment="1" applyProtection="1">
      <alignment horizontal="center" vertical="center"/>
      <protection hidden="1"/>
    </xf>
    <xf numFmtId="1" fontId="28" fillId="5" borderId="6" xfId="0" applyNumberFormat="1" applyFont="1" applyFill="1" applyBorder="1" applyAlignment="1" applyProtection="1">
      <alignment horizontal="center" vertical="center"/>
      <protection hidden="1"/>
    </xf>
    <xf numFmtId="1" fontId="27" fillId="5" borderId="6" xfId="0" applyNumberFormat="1" applyFont="1" applyFill="1" applyBorder="1" applyAlignment="1" applyProtection="1">
      <alignment horizontal="right" vertical="center" wrapText="1"/>
      <protection hidden="1"/>
    </xf>
    <xf numFmtId="1" fontId="27" fillId="5" borderId="6" xfId="0" applyNumberFormat="1" applyFont="1" applyFill="1" applyBorder="1" applyAlignment="1" applyProtection="1">
      <alignment horizontal="center" vertical="center" wrapText="1"/>
      <protection locked="0"/>
    </xf>
    <xf numFmtId="1" fontId="2" fillId="5" borderId="26" xfId="0" applyNumberFormat="1" applyFont="1" applyFill="1" applyBorder="1" applyAlignment="1" applyProtection="1">
      <alignment horizontal="right" vertical="center"/>
      <protection hidden="1"/>
    </xf>
    <xf numFmtId="1" fontId="27" fillId="5" borderId="6" xfId="0" applyNumberFormat="1" applyFont="1" applyFill="1" applyBorder="1" applyAlignment="1" applyProtection="1">
      <alignment vertical="center" wrapText="1"/>
      <protection hidden="1"/>
    </xf>
    <xf numFmtId="1" fontId="2" fillId="5" borderId="6" xfId="0" applyNumberFormat="1" applyFont="1" applyFill="1" applyBorder="1" applyAlignment="1" applyProtection="1">
      <alignment vertical="center" wrapText="1"/>
      <protection hidden="1"/>
    </xf>
    <xf numFmtId="1" fontId="39" fillId="5" borderId="6" xfId="0" applyNumberFormat="1" applyFont="1" applyFill="1" applyBorder="1" applyAlignment="1" applyProtection="1">
      <alignment horizontal="right" vertical="center"/>
      <protection hidden="1"/>
    </xf>
    <xf numFmtId="1" fontId="28" fillId="5" borderId="6" xfId="0" applyNumberFormat="1" applyFont="1" applyFill="1" applyBorder="1" applyAlignment="1" applyProtection="1">
      <alignment horizontal="right" vertical="center"/>
      <protection hidden="1"/>
    </xf>
    <xf numFmtId="14" fontId="27" fillId="5" borderId="6" xfId="0" applyNumberFormat="1" applyFont="1" applyFill="1" applyBorder="1" applyAlignment="1" applyProtection="1">
      <alignment vertical="center" wrapText="1"/>
      <protection locked="0"/>
    </xf>
    <xf numFmtId="1" fontId="2" fillId="5" borderId="6" xfId="0" applyNumberFormat="1" applyFont="1" applyFill="1" applyBorder="1" applyAlignment="1" applyProtection="1">
      <alignment horizontal="center" vertical="center" wrapText="1"/>
      <protection hidden="1"/>
    </xf>
    <xf numFmtId="1" fontId="42" fillId="5" borderId="6" xfId="0" applyNumberFormat="1" applyFont="1" applyFill="1" applyBorder="1" applyAlignment="1" applyProtection="1">
      <alignment horizontal="center" vertical="center"/>
      <protection hidden="1"/>
    </xf>
    <xf numFmtId="1" fontId="42" fillId="5" borderId="6" xfId="0" applyNumberFormat="1" applyFont="1" applyFill="1" applyBorder="1" applyAlignment="1" applyProtection="1">
      <alignment horizontal="right" vertical="center" wrapText="1"/>
      <protection hidden="1"/>
    </xf>
    <xf numFmtId="14" fontId="0" fillId="0" borderId="0" xfId="0" applyNumberFormat="1" applyProtection="1">
      <protection hidden="1"/>
    </xf>
    <xf numFmtId="0" fontId="0" fillId="0" borderId="0" xfId="0" applyAlignment="1" applyProtection="1">
      <alignment horizontal="center" vertical="center"/>
      <protection hidden="1"/>
    </xf>
    <xf numFmtId="15" fontId="0" fillId="0" borderId="0" xfId="0" applyNumberFormat="1" applyAlignment="1" applyProtection="1">
      <alignment horizontal="center"/>
      <protection hidden="1"/>
    </xf>
    <xf numFmtId="15" fontId="0" fillId="0" borderId="0" xfId="0" applyNumberFormat="1" applyProtection="1">
      <protection hidden="1"/>
    </xf>
    <xf numFmtId="0" fontId="43" fillId="0" borderId="0" xfId="0" applyFont="1" applyBorder="1" applyAlignment="1" applyProtection="1">
      <alignment horizontal="center"/>
      <protection hidden="1"/>
    </xf>
    <xf numFmtId="0" fontId="0" fillId="0" borderId="0" xfId="0" applyBorder="1" applyProtection="1">
      <protection hidden="1"/>
    </xf>
    <xf numFmtId="1" fontId="2" fillId="0" borderId="1" xfId="0" applyNumberFormat="1" applyFont="1" applyBorder="1" applyAlignment="1" applyProtection="1">
      <alignment horizontal="center" vertical="center"/>
      <protection hidden="1"/>
    </xf>
    <xf numFmtId="1" fontId="0" fillId="0" borderId="1" xfId="0" applyNumberFormat="1" applyBorder="1" applyAlignment="1" applyProtection="1">
      <alignment horizontal="center" vertical="center"/>
      <protection hidden="1"/>
    </xf>
    <xf numFmtId="1" fontId="0" fillId="0" borderId="0" xfId="0" applyNumberFormat="1" applyAlignment="1" applyProtection="1">
      <alignment horizontal="center" vertical="center"/>
      <protection hidden="1"/>
    </xf>
    <xf numFmtId="0" fontId="0" fillId="0" borderId="0" xfId="0" applyAlignment="1" applyProtection="1">
      <alignment vertical="center"/>
      <protection hidden="1"/>
    </xf>
    <xf numFmtId="0" fontId="43" fillId="0" borderId="0" xfId="0" applyFont="1" applyAlignment="1" applyProtection="1">
      <alignment vertical="center"/>
      <protection hidden="1"/>
    </xf>
    <xf numFmtId="0" fontId="0" fillId="0" borderId="19" xfId="0" applyBorder="1" applyAlignment="1" applyProtection="1">
      <alignment horizontal="center" vertical="center" textRotation="90"/>
      <protection hidden="1"/>
    </xf>
    <xf numFmtId="0" fontId="0" fillId="0" borderId="24" xfId="0" applyBorder="1" applyAlignment="1" applyProtection="1">
      <alignment horizontal="center" vertical="center"/>
      <protection hidden="1"/>
    </xf>
    <xf numFmtId="1" fontId="0" fillId="0" borderId="24" xfId="0" applyNumberForma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0" fillId="0" borderId="23" xfId="0" applyNumberFormat="1" applyBorder="1" applyAlignment="1" applyProtection="1">
      <alignment horizontal="center" vertical="center"/>
      <protection hidden="1"/>
    </xf>
    <xf numFmtId="0" fontId="43" fillId="0" borderId="11" xfId="0" applyFont="1" applyBorder="1" applyAlignment="1" applyProtection="1">
      <alignment horizontal="center" vertical="center"/>
      <protection hidden="1"/>
    </xf>
    <xf numFmtId="1" fontId="0" fillId="0" borderId="23" xfId="0" applyNumberFormat="1" applyBorder="1" applyAlignment="1" applyProtection="1">
      <alignment vertical="center"/>
      <protection hidden="1"/>
    </xf>
    <xf numFmtId="0" fontId="0" fillId="0" borderId="24" xfId="0" applyBorder="1" applyAlignment="1" applyProtection="1">
      <alignment vertical="center"/>
      <protection hidden="1"/>
    </xf>
    <xf numFmtId="2" fontId="0" fillId="0" borderId="0" xfId="0" applyNumberFormat="1" applyProtection="1">
      <protection hidden="1"/>
    </xf>
    <xf numFmtId="0" fontId="0" fillId="0" borderId="19" xfId="0" applyBorder="1" applyAlignment="1" applyProtection="1">
      <alignment horizontal="center" vertical="center" textRotation="90" wrapText="1"/>
      <protection hidden="1"/>
    </xf>
    <xf numFmtId="0" fontId="7" fillId="0" borderId="0" xfId="0" applyFont="1" applyBorder="1" applyAlignment="1" applyProtection="1">
      <alignment horizontal="center" vertical="center"/>
      <protection hidden="1"/>
    </xf>
    <xf numFmtId="9" fontId="7" fillId="0" borderId="0" xfId="0" applyNumberFormat="1" applyFont="1" applyBorder="1" applyAlignment="1" applyProtection="1">
      <alignment horizontal="center" vertical="center"/>
      <protection hidden="1"/>
    </xf>
    <xf numFmtId="1" fontId="7" fillId="0" borderId="0" xfId="0" applyNumberFormat="1"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9" fontId="7" fillId="0" borderId="5" xfId="0" applyNumberFormat="1" applyFont="1" applyBorder="1" applyAlignment="1" applyProtection="1">
      <alignment horizontal="center" vertical="center"/>
      <protection hidden="1"/>
    </xf>
    <xf numFmtId="1" fontId="0" fillId="0" borderId="4" xfId="0" applyNumberFormat="1" applyBorder="1" applyAlignment="1" applyProtection="1">
      <alignment horizontal="center" vertical="center"/>
      <protection hidden="1"/>
    </xf>
    <xf numFmtId="0" fontId="2" fillId="0" borderId="3" xfId="0" applyFont="1" applyBorder="1" applyAlignment="1" applyProtection="1">
      <alignment horizontal="center" vertical="center"/>
      <protection hidden="1"/>
    </xf>
    <xf numFmtId="0" fontId="7" fillId="0" borderId="35" xfId="0" applyFont="1" applyBorder="1" applyAlignment="1" applyProtection="1">
      <alignment horizontal="center"/>
      <protection hidden="1"/>
    </xf>
    <xf numFmtId="0" fontId="7" fillId="0" borderId="36" xfId="0" applyFont="1" applyBorder="1" applyAlignment="1" applyProtection="1">
      <alignment horizontal="center"/>
      <protection hidden="1"/>
    </xf>
    <xf numFmtId="0" fontId="47" fillId="0" borderId="36" xfId="0" applyFont="1" applyBorder="1" applyAlignment="1" applyProtection="1">
      <alignment horizontal="center"/>
      <protection hidden="1"/>
    </xf>
    <xf numFmtId="1" fontId="7" fillId="0" borderId="36" xfId="0" applyNumberFormat="1" applyFont="1" applyBorder="1" applyAlignment="1" applyProtection="1">
      <alignment horizontal="center"/>
      <protection hidden="1"/>
    </xf>
    <xf numFmtId="0" fontId="19" fillId="0" borderId="1" xfId="0" applyFont="1" applyBorder="1" applyAlignment="1" applyProtection="1">
      <alignment horizontal="center" vertical="center"/>
      <protection hidden="1"/>
    </xf>
    <xf numFmtId="0" fontId="43" fillId="0" borderId="0" xfId="0" applyFont="1" applyAlignment="1" applyProtection="1">
      <protection hidden="1"/>
    </xf>
    <xf numFmtId="0" fontId="0" fillId="0" borderId="0" xfId="0" applyAlignment="1" applyProtection="1">
      <protection hidden="1"/>
    </xf>
    <xf numFmtId="0" fontId="27" fillId="0" borderId="19" xfId="0" applyFont="1" applyBorder="1" applyAlignment="1" applyProtection="1">
      <alignment horizontal="center" vertical="center" textRotation="90" wrapText="1"/>
      <protection hidden="1"/>
    </xf>
    <xf numFmtId="1" fontId="49" fillId="0" borderId="38" xfId="0" applyNumberFormat="1" applyFont="1" applyBorder="1" applyAlignment="1" applyProtection="1">
      <alignment horizontal="center" vertical="center"/>
      <protection hidden="1"/>
    </xf>
    <xf numFmtId="1" fontId="49" fillId="0" borderId="38" xfId="0" applyNumberFormat="1" applyFont="1" applyBorder="1" applyAlignment="1" applyProtection="1">
      <alignment vertical="center"/>
      <protection hidden="1"/>
    </xf>
    <xf numFmtId="0" fontId="1" fillId="4" borderId="4" xfId="0" applyFont="1" applyFill="1" applyBorder="1" applyAlignment="1" applyProtection="1">
      <alignment horizontal="center" vertical="center" wrapText="1"/>
      <protection hidden="1"/>
    </xf>
    <xf numFmtId="2" fontId="27" fillId="4" borderId="1" xfId="0" applyNumberFormat="1" applyFont="1" applyFill="1" applyBorder="1" applyAlignment="1" applyProtection="1">
      <alignment horizontal="center" vertical="center"/>
      <protection hidden="1"/>
    </xf>
    <xf numFmtId="2" fontId="27" fillId="4" borderId="0" xfId="0" applyNumberFormat="1" applyFont="1" applyFill="1" applyBorder="1" applyAlignment="1" applyProtection="1">
      <alignment horizontal="center" vertical="center"/>
      <protection hidden="1"/>
    </xf>
    <xf numFmtId="0" fontId="2" fillId="4" borderId="0" xfId="0" applyFont="1" applyFill="1" applyBorder="1" applyAlignment="1" applyProtection="1">
      <alignment horizontal="center" vertical="center"/>
      <protection hidden="1"/>
    </xf>
    <xf numFmtId="1" fontId="28" fillId="4" borderId="0" xfId="0" applyNumberFormat="1" applyFont="1" applyFill="1" applyBorder="1" applyAlignment="1" applyProtection="1">
      <alignment horizontal="center" vertical="center"/>
      <protection hidden="1"/>
    </xf>
    <xf numFmtId="1" fontId="2" fillId="4" borderId="0" xfId="0" applyNumberFormat="1" applyFont="1" applyFill="1" applyAlignment="1" applyProtection="1">
      <alignment horizontal="center" vertical="center" wrapText="1"/>
      <protection hidden="1"/>
    </xf>
    <xf numFmtId="0" fontId="2" fillId="6" borderId="6" xfId="0" applyFont="1" applyFill="1" applyBorder="1" applyAlignment="1" applyProtection="1">
      <alignment horizontal="center" vertical="center" wrapText="1"/>
      <protection locked="0"/>
    </xf>
    <xf numFmtId="0" fontId="2" fillId="7" borderId="3" xfId="0" applyFont="1" applyFill="1" applyBorder="1" applyAlignment="1" applyProtection="1">
      <alignment horizontal="center" vertical="center" wrapText="1"/>
      <protection hidden="1"/>
    </xf>
    <xf numFmtId="0" fontId="2" fillId="7" borderId="3" xfId="0" applyFont="1" applyFill="1" applyBorder="1" applyAlignment="1">
      <alignment horizontal="center" vertical="center" wrapText="1"/>
    </xf>
    <xf numFmtId="0" fontId="2" fillId="8" borderId="9" xfId="0" applyFont="1" applyFill="1" applyBorder="1" applyAlignment="1" applyProtection="1">
      <alignment horizontal="center" vertical="center" wrapText="1"/>
      <protection hidden="1"/>
    </xf>
    <xf numFmtId="0" fontId="2" fillId="8" borderId="9" xfId="0" applyFont="1" applyFill="1" applyBorder="1" applyAlignment="1">
      <alignment horizontal="center" vertical="center" wrapText="1"/>
    </xf>
    <xf numFmtId="0" fontId="12" fillId="0" borderId="36" xfId="0" applyFont="1" applyBorder="1" applyAlignment="1" applyProtection="1">
      <alignment horizontal="center"/>
      <protection hidden="1"/>
    </xf>
    <xf numFmtId="1" fontId="52" fillId="0" borderId="1" xfId="0" applyNumberFormat="1" applyFont="1" applyBorder="1" applyAlignment="1" applyProtection="1">
      <alignment vertical="center"/>
      <protection hidden="1"/>
    </xf>
    <xf numFmtId="0" fontId="52" fillId="0" borderId="16" xfId="0" applyFont="1" applyBorder="1" applyAlignment="1" applyProtection="1">
      <alignment vertical="center"/>
      <protection hidden="1"/>
    </xf>
    <xf numFmtId="14" fontId="0" fillId="0" borderId="0" xfId="0" applyNumberFormat="1" applyAlignment="1" applyProtection="1">
      <alignment vertical="center"/>
      <protection hidden="1"/>
    </xf>
    <xf numFmtId="0" fontId="52" fillId="0" borderId="0" xfId="0" applyFont="1" applyBorder="1" applyAlignment="1" applyProtection="1">
      <alignment vertical="center"/>
      <protection hidden="1"/>
    </xf>
    <xf numFmtId="0" fontId="19" fillId="0" borderId="1" xfId="0" applyFont="1" applyBorder="1" applyAlignment="1" applyProtection="1">
      <alignment vertical="center"/>
      <protection hidden="1"/>
    </xf>
    <xf numFmtId="0" fontId="52" fillId="0" borderId="11" xfId="0" applyFont="1" applyBorder="1" applyAlignment="1" applyProtection="1">
      <alignment vertical="center"/>
      <protection hidden="1"/>
    </xf>
    <xf numFmtId="0" fontId="2" fillId="6" borderId="1" xfId="0" applyFont="1" applyFill="1" applyBorder="1" applyAlignment="1" applyProtection="1">
      <alignment horizontal="center" vertical="center" wrapText="1"/>
      <protection locked="0"/>
    </xf>
    <xf numFmtId="14" fontId="26" fillId="5" borderId="1" xfId="0" applyNumberFormat="1" applyFont="1" applyFill="1" applyBorder="1" applyAlignment="1" applyProtection="1">
      <alignment horizontal="center" vertical="center" wrapText="1"/>
      <protection locked="0"/>
    </xf>
    <xf numFmtId="165" fontId="26" fillId="5" borderId="1" xfId="0" applyNumberFormat="1" applyFont="1" applyFill="1" applyBorder="1" applyAlignment="1" applyProtection="1">
      <alignment horizontal="center" vertical="center" wrapText="1"/>
      <protection hidden="1"/>
    </xf>
    <xf numFmtId="2" fontId="27" fillId="5" borderId="1" xfId="0" applyNumberFormat="1"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1" fontId="28" fillId="5" borderId="1" xfId="0" applyNumberFormat="1" applyFont="1" applyFill="1" applyBorder="1" applyAlignment="1" applyProtection="1">
      <alignment horizontal="center" vertical="center"/>
      <protection hidden="1"/>
    </xf>
    <xf numFmtId="1" fontId="27" fillId="5" borderId="1" xfId="0" applyNumberFormat="1" applyFont="1" applyFill="1" applyBorder="1" applyAlignment="1" applyProtection="1">
      <alignment horizontal="right" vertical="center" wrapText="1"/>
      <protection hidden="1"/>
    </xf>
    <xf numFmtId="1" fontId="27" fillId="5" borderId="1" xfId="0" applyNumberFormat="1" applyFont="1" applyFill="1" applyBorder="1" applyAlignment="1" applyProtection="1">
      <alignment horizontal="center" vertical="center" wrapText="1"/>
      <protection locked="0"/>
    </xf>
    <xf numFmtId="1" fontId="2" fillId="5" borderId="1" xfId="0" applyNumberFormat="1" applyFont="1" applyFill="1" applyBorder="1" applyAlignment="1" applyProtection="1">
      <alignment horizontal="right" vertical="center"/>
      <protection hidden="1"/>
    </xf>
    <xf numFmtId="1" fontId="27" fillId="5" borderId="1" xfId="0" applyNumberFormat="1" applyFont="1" applyFill="1" applyBorder="1" applyAlignment="1" applyProtection="1">
      <alignment vertical="center" wrapText="1"/>
      <protection hidden="1"/>
    </xf>
    <xf numFmtId="1" fontId="2" fillId="5" borderId="1" xfId="0" applyNumberFormat="1" applyFont="1" applyFill="1" applyBorder="1" applyAlignment="1" applyProtection="1">
      <alignment vertical="center" wrapText="1"/>
      <protection hidden="1"/>
    </xf>
    <xf numFmtId="1" fontId="39" fillId="5" borderId="1" xfId="0" applyNumberFormat="1" applyFont="1" applyFill="1" applyBorder="1" applyAlignment="1" applyProtection="1">
      <alignment horizontal="right" vertical="center"/>
      <protection hidden="1"/>
    </xf>
    <xf numFmtId="1" fontId="28" fillId="5" borderId="1" xfId="0" applyNumberFormat="1" applyFont="1" applyFill="1" applyBorder="1" applyAlignment="1" applyProtection="1">
      <alignment horizontal="right" vertical="center"/>
      <protection hidden="1"/>
    </xf>
    <xf numFmtId="14" fontId="27" fillId="5" borderId="1" xfId="0" applyNumberFormat="1" applyFont="1" applyFill="1" applyBorder="1" applyAlignment="1" applyProtection="1">
      <alignment vertical="center" wrapText="1"/>
      <protection locked="0"/>
    </xf>
    <xf numFmtId="1" fontId="2" fillId="5" borderId="1" xfId="0" applyNumberFormat="1" applyFont="1" applyFill="1" applyBorder="1" applyAlignment="1" applyProtection="1">
      <alignment horizontal="center" vertical="center" wrapText="1"/>
      <protection hidden="1"/>
    </xf>
    <xf numFmtId="1" fontId="42" fillId="5" borderId="1" xfId="0" applyNumberFormat="1" applyFont="1" applyFill="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1" fontId="49" fillId="0" borderId="25" xfId="0" applyNumberFormat="1" applyFont="1" applyBorder="1" applyAlignment="1" applyProtection="1">
      <alignment horizontal="center" vertical="center"/>
      <protection hidden="1"/>
    </xf>
    <xf numFmtId="0" fontId="47" fillId="0" borderId="5" xfId="0" applyFont="1" applyBorder="1" applyAlignment="1" applyProtection="1">
      <alignment horizontal="center"/>
      <protection hidden="1"/>
    </xf>
    <xf numFmtId="9" fontId="1" fillId="4" borderId="0" xfId="0" applyNumberFormat="1" applyFont="1" applyFill="1" applyAlignment="1" applyProtection="1">
      <alignment horizontal="center" vertical="center" wrapText="1"/>
      <protection hidden="1"/>
    </xf>
    <xf numFmtId="1" fontId="0" fillId="0" borderId="24" xfId="0" applyNumberFormat="1" applyBorder="1" applyAlignment="1" applyProtection="1">
      <alignment vertical="center"/>
      <protection hidden="1"/>
    </xf>
    <xf numFmtId="0" fontId="41" fillId="10" borderId="1" xfId="0" applyFont="1" applyFill="1" applyBorder="1" applyAlignment="1" applyProtection="1">
      <alignment horizontal="center" vertical="center"/>
      <protection hidden="1"/>
    </xf>
    <xf numFmtId="14" fontId="26" fillId="5" borderId="1" xfId="0" applyNumberFormat="1" applyFont="1" applyFill="1" applyBorder="1" applyAlignment="1" applyProtection="1">
      <alignment horizontal="center" vertical="center" wrapText="1"/>
      <protection hidden="1"/>
    </xf>
    <xf numFmtId="14" fontId="26" fillId="5" borderId="6" xfId="0" applyNumberFormat="1" applyFont="1" applyFill="1" applyBorder="1" applyAlignment="1" applyProtection="1">
      <alignment horizontal="center" vertical="center" wrapText="1"/>
      <protection hidden="1"/>
    </xf>
    <xf numFmtId="0" fontId="2" fillId="5" borderId="1" xfId="0" applyNumberFormat="1" applyFont="1" applyFill="1" applyBorder="1" applyAlignment="1" applyProtection="1">
      <alignment horizontal="center" vertical="center"/>
      <protection hidden="1"/>
    </xf>
    <xf numFmtId="0" fontId="0" fillId="0" borderId="0" xfId="0" applyNumberFormat="1" applyProtection="1">
      <protection hidden="1"/>
    </xf>
    <xf numFmtId="10" fontId="0" fillId="0" borderId="0" xfId="0" applyNumberFormat="1" applyProtection="1">
      <protection hidden="1"/>
    </xf>
    <xf numFmtId="0" fontId="41" fillId="11" borderId="41" xfId="0" applyFont="1" applyFill="1" applyBorder="1" applyAlignment="1" applyProtection="1">
      <alignment horizontal="center" vertical="center"/>
      <protection hidden="1"/>
    </xf>
    <xf numFmtId="0" fontId="41" fillId="11" borderId="42" xfId="0" applyFont="1" applyFill="1" applyBorder="1" applyAlignment="1" applyProtection="1">
      <alignment horizontal="center" vertical="center"/>
      <protection hidden="1"/>
    </xf>
    <xf numFmtId="0" fontId="41" fillId="11" borderId="44" xfId="0" applyFont="1" applyFill="1" applyBorder="1" applyAlignment="1" applyProtection="1">
      <alignment horizontal="center" vertical="center"/>
      <protection hidden="1"/>
    </xf>
    <xf numFmtId="0" fontId="27" fillId="7" borderId="22" xfId="0"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7" xfId="0" applyFont="1" applyFill="1" applyBorder="1" applyAlignment="1" applyProtection="1">
      <alignment horizontal="center" vertical="center" wrapText="1"/>
      <protection hidden="1"/>
    </xf>
    <xf numFmtId="0" fontId="2" fillId="8" borderId="9" xfId="0" applyFont="1" applyFill="1" applyBorder="1" applyAlignment="1" applyProtection="1">
      <alignment horizontal="center" vertical="center" wrapText="1"/>
      <protection hidden="1"/>
    </xf>
    <xf numFmtId="0" fontId="2" fillId="8" borderId="9" xfId="0" applyFont="1" applyFill="1" applyBorder="1" applyAlignment="1">
      <alignment horizontal="center" vertical="center" wrapText="1"/>
    </xf>
    <xf numFmtId="0" fontId="33" fillId="4" borderId="27" xfId="0" applyFont="1" applyFill="1" applyBorder="1" applyAlignment="1" applyProtection="1">
      <alignment horizontal="center" vertical="center" wrapText="1"/>
      <protection hidden="1"/>
    </xf>
    <xf numFmtId="0" fontId="33" fillId="4" borderId="12" xfId="0" applyFont="1" applyFill="1" applyBorder="1" applyAlignment="1" applyProtection="1">
      <alignment horizontal="center" vertical="center" wrapText="1"/>
      <protection hidden="1"/>
    </xf>
    <xf numFmtId="0" fontId="33" fillId="4" borderId="28" xfId="0" applyFont="1" applyFill="1" applyBorder="1" applyAlignment="1" applyProtection="1">
      <alignment horizontal="center" vertical="center" wrapText="1"/>
      <protection hidden="1"/>
    </xf>
    <xf numFmtId="0" fontId="2" fillId="7" borderId="26"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2" fillId="7" borderId="22" xfId="0" applyFont="1" applyFill="1" applyBorder="1" applyAlignment="1" applyProtection="1">
      <alignment horizontal="center" vertical="center" wrapText="1"/>
      <protection hidden="1"/>
    </xf>
    <xf numFmtId="0" fontId="32" fillId="4" borderId="27" xfId="0" applyFont="1" applyFill="1" applyBorder="1" applyAlignment="1" applyProtection="1">
      <alignment horizontal="center" vertical="center" wrapText="1"/>
      <protection hidden="1"/>
    </xf>
    <xf numFmtId="0" fontId="32" fillId="4" borderId="12" xfId="0" applyFont="1" applyFill="1" applyBorder="1" applyAlignment="1" applyProtection="1">
      <alignment horizontal="center" vertical="center" wrapText="1"/>
      <protection hidden="1"/>
    </xf>
    <xf numFmtId="0" fontId="32" fillId="4" borderId="28" xfId="0" applyFont="1" applyFill="1" applyBorder="1" applyAlignment="1" applyProtection="1">
      <alignment horizontal="center" vertical="center" wrapText="1"/>
      <protection hidden="1"/>
    </xf>
    <xf numFmtId="0" fontId="2" fillId="8" borderId="8" xfId="0" applyFont="1" applyFill="1" applyBorder="1" applyAlignment="1">
      <alignment horizontal="center" vertical="center" wrapText="1"/>
    </xf>
    <xf numFmtId="0" fontId="2" fillId="8" borderId="10" xfId="0" applyFont="1" applyFill="1" applyBorder="1" applyAlignment="1">
      <alignment horizontal="center" vertical="center" wrapText="1"/>
    </xf>
    <xf numFmtId="1" fontId="8" fillId="8" borderId="7" xfId="0" applyNumberFormat="1" applyFont="1" applyFill="1" applyBorder="1" applyAlignment="1" applyProtection="1">
      <alignment horizontal="center" vertical="center" wrapText="1"/>
      <protection hidden="1"/>
    </xf>
    <xf numFmtId="1" fontId="8" fillId="8" borderId="9" xfId="0" applyNumberFormat="1" applyFont="1" applyFill="1" applyBorder="1" applyAlignment="1" applyProtection="1">
      <alignment horizontal="center" vertical="center" wrapText="1"/>
      <protection hidden="1"/>
    </xf>
    <xf numFmtId="1" fontId="2" fillId="8" borderId="7" xfId="0" applyNumberFormat="1" applyFont="1" applyFill="1" applyBorder="1" applyAlignment="1" applyProtection="1">
      <alignment horizontal="center" vertical="center" wrapText="1"/>
      <protection hidden="1"/>
    </xf>
    <xf numFmtId="1" fontId="2" fillId="8" borderId="9" xfId="0" applyNumberFormat="1" applyFont="1" applyFill="1" applyBorder="1" applyAlignment="1" applyProtection="1">
      <alignment horizontal="center" vertical="center" wrapText="1"/>
      <protection hidden="1"/>
    </xf>
    <xf numFmtId="0" fontId="27" fillId="8" borderId="7" xfId="0" applyFont="1" applyFill="1" applyBorder="1" applyAlignment="1">
      <alignment horizontal="center" vertical="center" wrapText="1"/>
    </xf>
    <xf numFmtId="0" fontId="27" fillId="8" borderId="9" xfId="0" applyFont="1" applyFill="1" applyBorder="1" applyAlignment="1">
      <alignment horizontal="center" vertical="center" wrapText="1"/>
    </xf>
    <xf numFmtId="1" fontId="8" fillId="7" borderId="22" xfId="0" applyNumberFormat="1" applyFont="1" applyFill="1" applyBorder="1" applyAlignment="1" applyProtection="1">
      <alignment horizontal="center" vertical="center" wrapText="1"/>
      <protection hidden="1"/>
    </xf>
    <xf numFmtId="0" fontId="2" fillId="4" borderId="2" xfId="0" applyFont="1" applyFill="1" applyBorder="1" applyAlignment="1">
      <alignment horizontal="center" vertical="center" wrapText="1"/>
    </xf>
    <xf numFmtId="0" fontId="2" fillId="7" borderId="6"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8" borderId="31" xfId="0" applyFont="1" applyFill="1" applyBorder="1" applyAlignment="1">
      <alignment horizontal="center" vertical="center" wrapText="1"/>
    </xf>
    <xf numFmtId="0" fontId="2" fillId="8" borderId="33" xfId="0" applyFont="1" applyFill="1" applyBorder="1" applyAlignment="1">
      <alignment horizontal="center" vertical="center" wrapText="1"/>
    </xf>
    <xf numFmtId="0" fontId="27" fillId="8" borderId="32" xfId="0" applyFont="1" applyFill="1" applyBorder="1" applyAlignment="1">
      <alignment horizontal="center" vertical="center" wrapText="1"/>
    </xf>
    <xf numFmtId="0" fontId="27" fillId="8" borderId="34" xfId="0" applyFont="1" applyFill="1" applyBorder="1" applyAlignment="1">
      <alignment horizontal="center" vertical="center" wrapText="1"/>
    </xf>
    <xf numFmtId="1" fontId="2" fillId="8" borderId="7" xfId="0" applyNumberFormat="1" applyFont="1" applyFill="1" applyBorder="1" applyAlignment="1">
      <alignment horizontal="center" vertical="center" wrapText="1"/>
    </xf>
    <xf numFmtId="1" fontId="2" fillId="8" borderId="9" xfId="0" applyNumberFormat="1" applyFont="1" applyFill="1" applyBorder="1" applyAlignment="1">
      <alignment horizontal="center" vertical="center" wrapText="1"/>
    </xf>
    <xf numFmtId="164" fontId="3" fillId="6" borderId="3" xfId="0" applyNumberFormat="1" applyFont="1" applyFill="1" applyBorder="1" applyAlignment="1" applyProtection="1">
      <alignment horizontal="center" vertical="center" wrapText="1"/>
      <protection hidden="1"/>
    </xf>
    <xf numFmtId="164" fontId="3" fillId="6" borderId="22" xfId="0" applyNumberFormat="1" applyFont="1" applyFill="1" applyBorder="1" applyAlignment="1" applyProtection="1">
      <alignment horizontal="center" vertical="center" wrapText="1"/>
      <protection hidden="1"/>
    </xf>
    <xf numFmtId="0" fontId="2" fillId="7" borderId="22" xfId="0" applyFont="1" applyFill="1" applyBorder="1" applyAlignment="1">
      <alignment horizontal="center" vertical="center" wrapText="1"/>
    </xf>
    <xf numFmtId="1" fontId="2" fillId="7" borderId="22" xfId="0" applyNumberFormat="1" applyFont="1" applyFill="1" applyBorder="1" applyAlignment="1">
      <alignment horizontal="center" vertical="center" wrapText="1"/>
    </xf>
    <xf numFmtId="0" fontId="8" fillId="7" borderId="22" xfId="0" applyFont="1" applyFill="1" applyBorder="1" applyAlignment="1" applyProtection="1">
      <alignment horizontal="center" vertical="center" wrapText="1"/>
      <protection hidden="1"/>
    </xf>
    <xf numFmtId="1" fontId="2" fillId="7" borderId="18" xfId="0" applyNumberFormat="1" applyFont="1" applyFill="1" applyBorder="1" applyAlignment="1" applyProtection="1">
      <alignment horizontal="center" vertical="center" wrapText="1"/>
      <protection hidden="1"/>
    </xf>
    <xf numFmtId="0" fontId="0" fillId="0" borderId="15" xfId="0" applyBorder="1" applyAlignment="1" applyProtection="1">
      <alignment horizontal="center" vertical="center"/>
      <protection hidden="1"/>
    </xf>
    <xf numFmtId="0" fontId="48" fillId="0" borderId="14" xfId="0" applyFont="1" applyBorder="1" applyAlignment="1" applyProtection="1">
      <alignment horizontal="center" vertical="center" wrapText="1"/>
      <protection hidden="1"/>
    </xf>
    <xf numFmtId="0" fontId="48" fillId="0" borderId="15" xfId="0" applyFont="1" applyBorder="1" applyAlignment="1" applyProtection="1">
      <alignment horizontal="center" vertical="center" wrapText="1"/>
      <protection hidden="1"/>
    </xf>
    <xf numFmtId="0" fontId="48" fillId="0" borderId="16" xfId="0" applyFont="1" applyBorder="1" applyAlignment="1" applyProtection="1">
      <alignment horizontal="center" vertical="center" wrapText="1"/>
      <protection hidden="1"/>
    </xf>
    <xf numFmtId="0" fontId="8" fillId="0" borderId="14" xfId="0" applyFont="1" applyBorder="1" applyAlignment="1" applyProtection="1">
      <alignment horizontal="center" vertical="center"/>
      <protection hidden="1"/>
    </xf>
    <xf numFmtId="0" fontId="8" fillId="0" borderId="15" xfId="0" applyFont="1" applyBorder="1" applyAlignment="1" applyProtection="1">
      <alignment horizontal="center" vertical="center"/>
      <protection hidden="1"/>
    </xf>
    <xf numFmtId="0" fontId="8" fillId="0" borderId="16" xfId="0" applyFont="1" applyBorder="1" applyAlignment="1" applyProtection="1">
      <alignment horizontal="center" vertical="center"/>
      <protection hidden="1"/>
    </xf>
    <xf numFmtId="0" fontId="21" fillId="0" borderId="1" xfId="0" applyFont="1" applyBorder="1" applyAlignment="1" applyProtection="1">
      <alignment horizontal="left" vertical="center"/>
      <protection hidden="1"/>
    </xf>
    <xf numFmtId="0" fontId="21" fillId="0" borderId="4" xfId="0" applyFont="1" applyBorder="1" applyAlignment="1" applyProtection="1">
      <alignment horizontal="center" vertical="center"/>
      <protection hidden="1"/>
    </xf>
    <xf numFmtId="0" fontId="21" fillId="0" borderId="5" xfId="0" applyFont="1" applyBorder="1" applyAlignment="1" applyProtection="1">
      <alignment horizontal="center" vertical="center"/>
      <protection hidden="1"/>
    </xf>
    <xf numFmtId="0" fontId="21" fillId="0" borderId="2" xfId="0"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43" fillId="0" borderId="4" xfId="0" applyFont="1" applyBorder="1" applyAlignment="1" applyProtection="1">
      <alignment horizontal="center" vertical="center"/>
      <protection hidden="1"/>
    </xf>
    <xf numFmtId="0" fontId="43" fillId="0" borderId="5" xfId="0" applyFont="1" applyBorder="1" applyAlignment="1" applyProtection="1">
      <alignment horizontal="center" vertical="center"/>
      <protection hidden="1"/>
    </xf>
    <xf numFmtId="0" fontId="43" fillId="0" borderId="2" xfId="0" applyFont="1" applyBorder="1" applyAlignment="1" applyProtection="1">
      <alignment horizontal="center" vertical="center"/>
      <protection hidden="1"/>
    </xf>
    <xf numFmtId="0" fontId="27" fillId="0" borderId="1" xfId="0" applyFont="1" applyBorder="1" applyAlignment="1" applyProtection="1">
      <alignment horizontal="left" vertical="center" wrapText="1"/>
      <protection hidden="1"/>
    </xf>
    <xf numFmtId="0" fontId="51" fillId="0" borderId="4" xfId="0" applyFont="1" applyBorder="1" applyAlignment="1" applyProtection="1">
      <alignment horizontal="center" vertical="center"/>
      <protection locked="0"/>
    </xf>
    <xf numFmtId="0" fontId="51" fillId="0" borderId="5" xfId="0" applyFont="1" applyBorder="1" applyAlignment="1" applyProtection="1">
      <alignment horizontal="center" vertical="center"/>
      <protection locked="0"/>
    </xf>
    <xf numFmtId="0" fontId="51" fillId="0" borderId="2" xfId="0" applyFont="1" applyBorder="1" applyAlignment="1" applyProtection="1">
      <alignment horizontal="center" vertical="center"/>
      <protection locked="0"/>
    </xf>
    <xf numFmtId="0" fontId="41" fillId="5" borderId="7" xfId="0" applyFont="1" applyFill="1" applyBorder="1" applyAlignment="1" applyProtection="1">
      <alignment horizontal="left" vertical="center"/>
      <protection locked="0"/>
    </xf>
    <xf numFmtId="0" fontId="41" fillId="5" borderId="8" xfId="0" applyFont="1" applyFill="1" applyBorder="1" applyAlignment="1" applyProtection="1">
      <alignment horizontal="left" vertical="center"/>
      <protection locked="0"/>
    </xf>
    <xf numFmtId="0" fontId="41" fillId="5" borderId="1" xfId="0" applyFont="1" applyFill="1" applyBorder="1" applyAlignment="1" applyProtection="1">
      <alignment horizontal="left" vertical="center"/>
      <protection locked="0"/>
    </xf>
    <xf numFmtId="0" fontId="41" fillId="5" borderId="43" xfId="0" applyFont="1" applyFill="1" applyBorder="1" applyAlignment="1" applyProtection="1">
      <alignment horizontal="left" vertical="center"/>
      <protection locked="0"/>
    </xf>
    <xf numFmtId="14" fontId="41" fillId="5" borderId="1" xfId="0" applyNumberFormat="1" applyFont="1" applyFill="1" applyBorder="1" applyAlignment="1" applyProtection="1">
      <alignment horizontal="left" vertical="center"/>
      <protection locked="0"/>
    </xf>
    <xf numFmtId="0" fontId="41" fillId="11" borderId="7" xfId="0" applyFont="1" applyFill="1" applyBorder="1" applyAlignment="1" applyProtection="1">
      <alignment horizontal="left" vertical="center"/>
      <protection hidden="1"/>
    </xf>
    <xf numFmtId="0" fontId="7" fillId="0" borderId="4" xfId="0" applyFont="1" applyBorder="1" applyAlignment="1" applyProtection="1">
      <alignment horizontal="center" vertical="center"/>
      <protection hidden="1"/>
    </xf>
    <xf numFmtId="0" fontId="7" fillId="0" borderId="5" xfId="0" applyFont="1" applyBorder="1" applyAlignment="1" applyProtection="1">
      <alignment horizontal="center" vertical="center"/>
      <protection hidden="1"/>
    </xf>
    <xf numFmtId="0" fontId="7" fillId="0" borderId="2" xfId="0" applyFont="1" applyBorder="1" applyAlignment="1" applyProtection="1">
      <alignment horizontal="center" vertical="center"/>
      <protection hidden="1"/>
    </xf>
    <xf numFmtId="0" fontId="27" fillId="0" borderId="4" xfId="0" applyFont="1" applyBorder="1" applyAlignment="1" applyProtection="1">
      <alignment horizontal="left" vertical="center" wrapText="1"/>
      <protection hidden="1"/>
    </xf>
    <xf numFmtId="0" fontId="27" fillId="0" borderId="5" xfId="0" applyFont="1" applyBorder="1" applyAlignment="1" applyProtection="1">
      <alignment horizontal="left" vertical="center" wrapText="1"/>
      <protection hidden="1"/>
    </xf>
    <xf numFmtId="0" fontId="27" fillId="0" borderId="2" xfId="0" applyFont="1" applyBorder="1" applyAlignment="1" applyProtection="1">
      <alignment horizontal="left" vertical="center" wrapText="1"/>
      <protection hidden="1"/>
    </xf>
    <xf numFmtId="0" fontId="27" fillId="0" borderId="4" xfId="0" applyFont="1" applyBorder="1" applyAlignment="1" applyProtection="1">
      <alignment horizontal="left" vertical="center"/>
      <protection hidden="1"/>
    </xf>
    <xf numFmtId="0" fontId="27" fillId="0" borderId="5" xfId="0" applyFont="1" applyBorder="1" applyAlignment="1" applyProtection="1">
      <alignment horizontal="left" vertical="center"/>
      <protection hidden="1"/>
    </xf>
    <xf numFmtId="0" fontId="27" fillId="0" borderId="2" xfId="0" applyFont="1" applyBorder="1" applyAlignment="1" applyProtection="1">
      <alignment horizontal="left" vertical="center"/>
      <protection hidden="1"/>
    </xf>
    <xf numFmtId="0" fontId="27" fillId="0" borderId="14" xfId="0" applyFont="1" applyBorder="1" applyAlignment="1" applyProtection="1">
      <alignment vertical="center"/>
      <protection hidden="1"/>
    </xf>
    <xf numFmtId="0" fontId="27" fillId="0" borderId="15" xfId="0" applyFont="1" applyBorder="1" applyAlignment="1" applyProtection="1">
      <alignment vertical="center"/>
      <protection hidden="1"/>
    </xf>
    <xf numFmtId="0" fontId="27" fillId="0" borderId="16" xfId="0" applyFont="1" applyBorder="1" applyAlignment="1" applyProtection="1">
      <alignment vertical="center"/>
      <protection hidden="1"/>
    </xf>
    <xf numFmtId="0" fontId="27" fillId="0" borderId="1" xfId="0" applyFont="1" applyBorder="1" applyAlignment="1" applyProtection="1">
      <alignment horizontal="center" vertical="center" wrapText="1"/>
      <protection hidden="1"/>
    </xf>
    <xf numFmtId="0" fontId="23" fillId="0" borderId="0" xfId="0" applyFont="1" applyAlignment="1" applyProtection="1">
      <alignment horizontal="center" vertical="center" wrapText="1"/>
      <protection hidden="1"/>
    </xf>
    <xf numFmtId="0" fontId="23" fillId="0" borderId="0" xfId="0" applyFont="1" applyAlignment="1" applyProtection="1">
      <alignment horizontal="center" vertical="center"/>
      <protection hidden="1"/>
    </xf>
    <xf numFmtId="0" fontId="27" fillId="0" borderId="0" xfId="0" applyFont="1" applyAlignment="1" applyProtection="1">
      <alignment horizontal="left" vertical="center" wrapText="1"/>
      <protection hidden="1"/>
    </xf>
    <xf numFmtId="0" fontId="43" fillId="0" borderId="0"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0" fillId="0" borderId="12" xfId="0" applyBorder="1" applyAlignment="1" applyProtection="1">
      <alignment horizontal="center" vertical="center" wrapText="1"/>
      <protection hidden="1"/>
    </xf>
    <xf numFmtId="0" fontId="0" fillId="0" borderId="13" xfId="0" applyBorder="1" applyAlignment="1" applyProtection="1">
      <alignment horizontal="center" vertical="center" wrapText="1"/>
      <protection hidden="1"/>
    </xf>
    <xf numFmtId="0" fontId="41" fillId="11" borderId="1" xfId="0" applyFont="1" applyFill="1" applyBorder="1" applyAlignment="1" applyProtection="1">
      <alignment horizontal="left" vertical="center"/>
      <protection hidden="1"/>
    </xf>
    <xf numFmtId="0" fontId="23" fillId="0" borderId="1" xfId="0" applyFont="1" applyBorder="1" applyAlignment="1" applyProtection="1">
      <alignment horizontal="left" vertical="center" wrapText="1"/>
      <protection hidden="1"/>
    </xf>
    <xf numFmtId="0" fontId="44" fillId="0" borderId="11" xfId="0" applyFont="1" applyBorder="1" applyAlignment="1" applyProtection="1">
      <alignment horizontal="center"/>
      <protection hidden="1"/>
    </xf>
    <xf numFmtId="0" fontId="23" fillId="0" borderId="1" xfId="0" applyFont="1" applyBorder="1" applyAlignment="1" applyProtection="1">
      <alignment horizontal="left" vertical="center"/>
      <protection hidden="1"/>
    </xf>
    <xf numFmtId="0" fontId="23" fillId="0" borderId="1" xfId="0" applyNumberFormat="1" applyFont="1" applyBorder="1" applyAlignment="1" applyProtection="1">
      <alignment horizontal="left" vertical="center"/>
      <protection hidden="1"/>
    </xf>
    <xf numFmtId="14" fontId="23" fillId="0" borderId="1" xfId="0" applyNumberFormat="1" applyFont="1" applyBorder="1" applyAlignment="1" applyProtection="1">
      <alignment horizontal="center" vertical="center"/>
      <protection hidden="1"/>
    </xf>
    <xf numFmtId="0" fontId="23" fillId="0" borderId="1" xfId="0" applyFont="1" applyBorder="1" applyAlignment="1" applyProtection="1">
      <alignment horizontal="center" vertical="center"/>
      <protection hidden="1"/>
    </xf>
    <xf numFmtId="1" fontId="47" fillId="0" borderId="1" xfId="0" applyNumberFormat="1" applyFont="1" applyBorder="1" applyAlignment="1" applyProtection="1">
      <alignment horizontal="center" vertical="center"/>
      <protection hidden="1"/>
    </xf>
    <xf numFmtId="166" fontId="23" fillId="0" borderId="1" xfId="0" applyNumberFormat="1" applyFont="1" applyBorder="1" applyAlignment="1" applyProtection="1">
      <alignment horizontal="center" vertical="center"/>
      <protection hidden="1"/>
    </xf>
    <xf numFmtId="0" fontId="1" fillId="0" borderId="1" xfId="0" applyFont="1" applyBorder="1" applyAlignment="1" applyProtection="1">
      <alignment horizontal="left" vertical="center"/>
      <protection hidden="1"/>
    </xf>
    <xf numFmtId="1" fontId="7" fillId="0" borderId="1" xfId="0" applyNumberFormat="1" applyFont="1" applyBorder="1" applyAlignment="1" applyProtection="1">
      <alignment horizontal="center" vertical="center"/>
      <protection hidden="1"/>
    </xf>
    <xf numFmtId="0" fontId="7" fillId="0" borderId="1" xfId="0" applyFont="1" applyBorder="1" applyAlignment="1" applyProtection="1">
      <alignment horizontal="center" vertical="center"/>
      <protection hidden="1"/>
    </xf>
    <xf numFmtId="0" fontId="41" fillId="11" borderId="9" xfId="0" applyFont="1" applyFill="1" applyBorder="1" applyAlignment="1" applyProtection="1">
      <alignment horizontal="left" vertical="center"/>
      <protection hidden="1"/>
    </xf>
    <xf numFmtId="10" fontId="41" fillId="5" borderId="9" xfId="0" applyNumberFormat="1" applyFont="1" applyFill="1" applyBorder="1" applyAlignment="1" applyProtection="1">
      <alignment horizontal="left" vertical="center"/>
      <protection locked="0"/>
    </xf>
    <xf numFmtId="0" fontId="41" fillId="5" borderId="9" xfId="0" applyFont="1" applyFill="1" applyBorder="1" applyAlignment="1" applyProtection="1">
      <alignment horizontal="left" vertical="center"/>
      <protection locked="0"/>
    </xf>
    <xf numFmtId="0" fontId="41" fillId="5" borderId="10" xfId="0" applyFont="1" applyFill="1" applyBorder="1" applyAlignment="1" applyProtection="1">
      <alignment horizontal="left" vertical="center"/>
      <protection locked="0"/>
    </xf>
    <xf numFmtId="0" fontId="7" fillId="0" borderId="0" xfId="0" applyFont="1" applyAlignment="1" applyProtection="1">
      <alignment horizontal="center" vertical="center"/>
      <protection hidden="1"/>
    </xf>
    <xf numFmtId="1" fontId="49" fillId="0" borderId="39" xfId="0" applyNumberFormat="1" applyFont="1" applyBorder="1" applyAlignment="1" applyProtection="1">
      <alignment horizontal="center" vertical="center"/>
      <protection hidden="1"/>
    </xf>
    <xf numFmtId="1" fontId="49" fillId="0" borderId="40" xfId="0" applyNumberFormat="1" applyFont="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24" xfId="0" applyBorder="1" applyAlignment="1" applyProtection="1">
      <alignment horizontal="center" vertical="center"/>
      <protection hidden="1"/>
    </xf>
    <xf numFmtId="0" fontId="0" fillId="0" borderId="4" xfId="0" applyBorder="1" applyAlignment="1" applyProtection="1">
      <alignment horizontal="center" vertical="center"/>
      <protection hidden="1"/>
    </xf>
    <xf numFmtId="0" fontId="0" fillId="0" borderId="5" xfId="0"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11" xfId="0" applyBorder="1" applyAlignment="1" applyProtection="1">
      <alignment horizontal="center" vertical="center"/>
      <protection hidden="1"/>
    </xf>
    <xf numFmtId="0" fontId="24" fillId="0" borderId="0" xfId="0" applyFont="1" applyAlignment="1" applyProtection="1">
      <alignment horizontal="left" vertical="center"/>
      <protection hidden="1"/>
    </xf>
    <xf numFmtId="0" fontId="0" fillId="0" borderId="27" xfId="0" applyBorder="1" applyAlignment="1" applyProtection="1">
      <alignment vertical="center"/>
      <protection hidden="1"/>
    </xf>
    <xf numFmtId="0" fontId="0" fillId="0" borderId="29" xfId="0" applyBorder="1" applyAlignment="1" applyProtection="1">
      <alignment vertical="center"/>
      <protection hidden="1"/>
    </xf>
    <xf numFmtId="0" fontId="0" fillId="0" borderId="12" xfId="0" applyBorder="1" applyAlignment="1" applyProtection="1">
      <alignment horizontal="center" vertical="center"/>
      <protection hidden="1"/>
    </xf>
    <xf numFmtId="0" fontId="0" fillId="0" borderId="13" xfId="0" applyBorder="1" applyAlignment="1" applyProtection="1">
      <alignment horizontal="center" vertical="center"/>
      <protection hidden="1"/>
    </xf>
    <xf numFmtId="1" fontId="7" fillId="0" borderId="12" xfId="0" applyNumberFormat="1" applyFont="1" applyBorder="1" applyAlignment="1" applyProtection="1">
      <alignment horizontal="center" vertical="center"/>
      <protection hidden="1"/>
    </xf>
    <xf numFmtId="1" fontId="7" fillId="0" borderId="13" xfId="0" applyNumberFormat="1" applyFont="1" applyBorder="1" applyAlignment="1" applyProtection="1">
      <alignment horizontal="center" vertical="center"/>
      <protection hidden="1"/>
    </xf>
    <xf numFmtId="0" fontId="45" fillId="0" borderId="0" xfId="0" applyFont="1" applyAlignment="1" applyProtection="1">
      <alignment horizontal="center" vertical="center"/>
      <protection hidden="1"/>
    </xf>
    <xf numFmtId="0" fontId="0" fillId="0" borderId="0" xfId="0" applyAlignment="1" applyProtection="1">
      <alignment vertical="center"/>
      <protection hidden="1"/>
    </xf>
    <xf numFmtId="0" fontId="46" fillId="0" borderId="0" xfId="0" applyFont="1" applyAlignment="1" applyProtection="1">
      <alignment horizontal="center" vertical="center"/>
      <protection hidden="1"/>
    </xf>
    <xf numFmtId="1" fontId="50" fillId="9" borderId="37" xfId="0" applyNumberFormat="1" applyFont="1" applyFill="1" applyBorder="1" applyAlignment="1" applyProtection="1">
      <alignment horizontal="center" vertical="center"/>
      <protection hidden="1"/>
    </xf>
    <xf numFmtId="0" fontId="50" fillId="9" borderId="24" xfId="0" applyFont="1" applyFill="1" applyBorder="1" applyAlignment="1" applyProtection="1">
      <alignment horizontal="center" vertical="center"/>
      <protection hidden="1"/>
    </xf>
    <xf numFmtId="0" fontId="50" fillId="9" borderId="25" xfId="0" applyFont="1" applyFill="1" applyBorder="1" applyAlignment="1" applyProtection="1">
      <alignment horizontal="center" vertical="center"/>
      <protection hidden="1"/>
    </xf>
    <xf numFmtId="0" fontId="43" fillId="0" borderId="5" xfId="0" applyFont="1" applyBorder="1" applyAlignment="1" applyProtection="1">
      <alignment horizontal="left"/>
      <protection hidden="1"/>
    </xf>
    <xf numFmtId="0" fontId="43" fillId="0" borderId="0" xfId="0" applyFont="1" applyAlignment="1" applyProtection="1">
      <alignment horizontal="left"/>
      <protection hidden="1"/>
    </xf>
    <xf numFmtId="1" fontId="12" fillId="0" borderId="4" xfId="0" applyNumberFormat="1" applyFont="1" applyBorder="1" applyAlignment="1" applyProtection="1">
      <alignment horizontal="center" vertical="center"/>
      <protection hidden="1"/>
    </xf>
    <xf numFmtId="1" fontId="12" fillId="0" borderId="5" xfId="0" applyNumberFormat="1" applyFont="1" applyBorder="1" applyAlignment="1" applyProtection="1">
      <alignment horizontal="center" vertical="center"/>
      <protection hidden="1"/>
    </xf>
    <xf numFmtId="1" fontId="12" fillId="0" borderId="2" xfId="0" applyNumberFormat="1" applyFont="1" applyBorder="1" applyAlignment="1" applyProtection="1">
      <alignment horizontal="center" vertical="center"/>
      <protection hidden="1"/>
    </xf>
    <xf numFmtId="1" fontId="22" fillId="4" borderId="4" xfId="0" applyNumberFormat="1" applyFont="1" applyFill="1" applyBorder="1" applyAlignment="1" applyProtection="1">
      <alignment horizontal="center" vertical="center"/>
      <protection hidden="1"/>
    </xf>
    <xf numFmtId="1" fontId="22" fillId="4" borderId="5" xfId="0" applyNumberFormat="1" applyFont="1" applyFill="1" applyBorder="1" applyAlignment="1" applyProtection="1">
      <alignment horizontal="center" vertical="center"/>
      <protection hidden="1"/>
    </xf>
    <xf numFmtId="1" fontId="22" fillId="4" borderId="2" xfId="0" applyNumberFormat="1" applyFont="1" applyFill="1" applyBorder="1" applyAlignment="1" applyProtection="1">
      <alignment horizontal="center" vertical="center"/>
      <protection hidden="1"/>
    </xf>
    <xf numFmtId="0" fontId="43" fillId="0" borderId="1" xfId="0" applyFont="1" applyBorder="1" applyAlignment="1" applyProtection="1">
      <alignment horizontal="center" vertical="center"/>
      <protection hidden="1"/>
    </xf>
    <xf numFmtId="0" fontId="19" fillId="0" borderId="1" xfId="0" applyFont="1" applyBorder="1" applyAlignment="1" applyProtection="1">
      <alignment horizontal="left" vertical="center"/>
      <protection hidden="1"/>
    </xf>
    <xf numFmtId="0" fontId="19" fillId="0" borderId="1" xfId="0" applyFont="1" applyBorder="1" applyAlignment="1" applyProtection="1">
      <alignment horizontal="center" vertical="center" wrapText="1"/>
      <protection hidden="1"/>
    </xf>
    <xf numFmtId="0" fontId="27" fillId="0" borderId="14" xfId="0" applyFont="1" applyBorder="1" applyAlignment="1" applyProtection="1">
      <alignment horizontal="left" vertical="center" wrapText="1"/>
      <protection hidden="1"/>
    </xf>
    <xf numFmtId="0" fontId="27" fillId="0" borderId="15" xfId="0" applyFont="1" applyBorder="1" applyAlignment="1" applyProtection="1">
      <alignment horizontal="left" vertical="center" wrapText="1"/>
      <protection hidden="1"/>
    </xf>
    <xf numFmtId="0" fontId="27" fillId="0" borderId="16" xfId="0" applyFont="1" applyBorder="1" applyAlignment="1" applyProtection="1">
      <alignment horizontal="left" vertical="center" wrapText="1"/>
      <protection hidden="1"/>
    </xf>
    <xf numFmtId="0" fontId="47" fillId="0" borderId="21" xfId="0" applyFont="1" applyBorder="1" applyAlignment="1" applyProtection="1">
      <alignment horizontal="center" vertical="center"/>
      <protection hidden="1"/>
    </xf>
    <xf numFmtId="0" fontId="47" fillId="0" borderId="20" xfId="0" applyFont="1" applyBorder="1" applyAlignment="1" applyProtection="1">
      <alignment horizontal="center" vertical="center"/>
      <protection hidden="1"/>
    </xf>
    <xf numFmtId="0" fontId="7" fillId="0" borderId="16" xfId="0" applyFont="1" applyBorder="1" applyAlignment="1" applyProtection="1">
      <alignment horizontal="center" vertical="center"/>
      <protection hidden="1"/>
    </xf>
    <xf numFmtId="0" fontId="7" fillId="0" borderId="17" xfId="0" applyFont="1" applyBorder="1" applyAlignment="1" applyProtection="1">
      <alignment horizontal="center" vertical="center"/>
      <protection hidden="1"/>
    </xf>
    <xf numFmtId="1" fontId="49" fillId="0" borderId="28" xfId="0" applyNumberFormat="1" applyFont="1" applyBorder="1" applyAlignment="1" applyProtection="1">
      <alignment horizontal="center" vertical="center"/>
      <protection hidden="1"/>
    </xf>
    <xf numFmtId="1" fontId="49" fillId="0" borderId="30" xfId="0" applyNumberFormat="1"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0" fontId="43" fillId="0" borderId="0" xfId="0" applyFont="1" applyAlignment="1" applyProtection="1">
      <alignment horizontal="left" vertical="center"/>
      <protection hidden="1"/>
    </xf>
    <xf numFmtId="0" fontId="23" fillId="0" borderId="14" xfId="0" applyFont="1" applyBorder="1" applyAlignment="1" applyProtection="1">
      <alignment horizontal="center" vertical="center" wrapText="1"/>
      <protection hidden="1"/>
    </xf>
    <xf numFmtId="0" fontId="23" fillId="0" borderId="16" xfId="0" applyFont="1" applyBorder="1" applyAlignment="1" applyProtection="1">
      <alignment horizontal="center" vertical="center" wrapText="1"/>
      <protection hidden="1"/>
    </xf>
    <xf numFmtId="0" fontId="23" fillId="0" borderId="18" xfId="0" applyFont="1" applyBorder="1" applyAlignment="1" applyProtection="1">
      <alignment horizontal="center" vertical="center" wrapText="1"/>
      <protection hidden="1"/>
    </xf>
    <xf numFmtId="0" fontId="23" fillId="0" borderId="19" xfId="0" applyFont="1" applyBorder="1" applyAlignment="1" applyProtection="1">
      <alignment horizontal="center" vertical="center" wrapText="1"/>
      <protection hidden="1"/>
    </xf>
    <xf numFmtId="0" fontId="23" fillId="0" borderId="26" xfId="0" applyFont="1" applyBorder="1" applyAlignment="1" applyProtection="1">
      <alignment horizontal="center" vertical="center" wrapText="1"/>
      <protection hidden="1"/>
    </xf>
    <xf numFmtId="0" fontId="23" fillId="0" borderId="17" xfId="0" applyFont="1" applyBorder="1" applyAlignment="1" applyProtection="1">
      <alignment horizontal="center" vertical="center" wrapText="1"/>
      <protection hidden="1"/>
    </xf>
    <xf numFmtId="0" fontId="0" fillId="0" borderId="12" xfId="0" applyFont="1" applyBorder="1" applyAlignment="1" applyProtection="1">
      <alignment horizontal="center" vertical="center" wrapText="1"/>
      <protection hidden="1"/>
    </xf>
    <xf numFmtId="0" fontId="0" fillId="0" borderId="13" xfId="0" applyFont="1" applyBorder="1" applyAlignment="1" applyProtection="1">
      <alignment horizontal="center" vertical="center" wrapText="1"/>
      <protection hidden="1"/>
    </xf>
    <xf numFmtId="0" fontId="41" fillId="10" borderId="1" xfId="0" applyFont="1" applyFill="1" applyBorder="1" applyAlignment="1" applyProtection="1">
      <alignment horizontal="left" vertical="center"/>
      <protection hidden="1"/>
    </xf>
    <xf numFmtId="14" fontId="41" fillId="10" borderId="1" xfId="0" applyNumberFormat="1" applyFont="1" applyFill="1" applyBorder="1" applyAlignment="1" applyProtection="1">
      <alignment horizontal="left" vertical="center"/>
      <protection locked="0"/>
    </xf>
    <xf numFmtId="0" fontId="41" fillId="10" borderId="1" xfId="0" applyFont="1" applyFill="1" applyBorder="1" applyAlignment="1" applyProtection="1">
      <alignment horizontal="left" vertical="center"/>
      <protection locked="0"/>
    </xf>
    <xf numFmtId="10" fontId="41" fillId="10" borderId="1" xfId="0" applyNumberFormat="1" applyFont="1" applyFill="1" applyBorder="1" applyAlignment="1" applyProtection="1">
      <alignment horizontal="left" vertical="center"/>
      <protection locked="0"/>
    </xf>
    <xf numFmtId="0" fontId="17" fillId="0" borderId="1" xfId="0" applyFont="1" applyFill="1" applyBorder="1" applyAlignment="1" applyProtection="1">
      <alignment horizontal="center" vertical="center" wrapText="1"/>
      <protection hidden="1"/>
    </xf>
    <xf numFmtId="0" fontId="7" fillId="0" borderId="0" xfId="0" applyFont="1" applyFill="1" applyBorder="1" applyAlignment="1" applyProtection="1">
      <alignment horizontal="center" vertical="center" wrapText="1"/>
      <protection hidden="1"/>
    </xf>
    <xf numFmtId="0" fontId="1" fillId="2" borderId="4" xfId="0" applyFont="1" applyFill="1" applyBorder="1" applyAlignment="1" applyProtection="1">
      <alignment horizontal="center" vertical="center" wrapText="1"/>
      <protection hidden="1"/>
    </xf>
    <xf numFmtId="0" fontId="1" fillId="2" borderId="2" xfId="0" applyFont="1" applyFill="1" applyBorder="1" applyAlignment="1" applyProtection="1">
      <alignment horizontal="center" vertical="center" wrapText="1"/>
      <protection hidden="1"/>
    </xf>
    <xf numFmtId="0" fontId="3" fillId="0" borderId="0" xfId="0" applyFont="1" applyFill="1" applyAlignment="1" applyProtection="1">
      <alignment horizontal="center" vertical="center" wrapText="1"/>
      <protection hidden="1"/>
    </xf>
    <xf numFmtId="0" fontId="3" fillId="0" borderId="0" xfId="0" applyFont="1" applyFill="1" applyBorder="1" applyAlignment="1" applyProtection="1">
      <alignment horizontal="center" vertical="center" wrapText="1"/>
      <protection hidden="1"/>
    </xf>
    <xf numFmtId="0" fontId="14" fillId="0" borderId="1" xfId="0" applyFont="1" applyFill="1" applyBorder="1" applyAlignment="1" applyProtection="1">
      <alignment horizontal="center" vertical="center" wrapText="1"/>
      <protection hidden="1"/>
    </xf>
    <xf numFmtId="0" fontId="15" fillId="0" borderId="1" xfId="0" applyFont="1" applyFill="1" applyBorder="1" applyAlignment="1" applyProtection="1">
      <alignment horizontal="center" vertical="center" wrapText="1"/>
      <protection hidden="1"/>
    </xf>
  </cellXfs>
  <cellStyles count="1">
    <cellStyle name="Normal" xfId="0" builtinId="0"/>
  </cellStyles>
  <dxfs count="0"/>
  <tableStyles count="0" defaultTableStyle="TableStyleMedium2" defaultPivotStyle="PivotStyleLight16"/>
  <colors>
    <mruColors>
      <color rgb="FFCB7FE9"/>
      <color rgb="FFC694D4"/>
      <color rgb="FF665BA5"/>
      <color rgb="FF6F8E91"/>
      <color rgb="FF1A04BC"/>
      <color rgb="FF0080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0</xdr:col>
      <xdr:colOff>619125</xdr:colOff>
      <xdr:row>0</xdr:row>
      <xdr:rowOff>46784</xdr:rowOff>
    </xdr:from>
    <xdr:ext cx="10629900" cy="335057"/>
    <xdr:sp macro="" textlink="">
      <xdr:nvSpPr>
        <xdr:cNvPr id="2" name="Rounded Rectangle 1">
          <a:extLst>
            <a:ext uri="{FF2B5EF4-FFF2-40B4-BE49-F238E27FC236}">
              <a16:creationId xmlns="" xmlns:a16="http://schemas.microsoft.com/office/drawing/2014/main" id="{00000000-0008-0000-0000-000002000000}"/>
            </a:ext>
          </a:extLst>
        </xdr:cNvPr>
        <xdr:cNvSpPr>
          <a:spLocks noChangeAspect="1"/>
        </xdr:cNvSpPr>
      </xdr:nvSpPr>
      <xdr:spPr>
        <a:xfrm>
          <a:off x="619125" y="46784"/>
          <a:ext cx="10629900" cy="335057"/>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spAutoFit/>
        </a:bodyPr>
        <a:lstStyle/>
        <a:p>
          <a:pPr algn="ctr"/>
          <a:r>
            <a:rPr lang="en-US" sz="1400">
              <a:latin typeface="+mj-lt"/>
            </a:rPr>
            <a:t>Designed and Programmed by P.Purushotham, Stenographer, Commissionerate</a:t>
          </a:r>
          <a:r>
            <a:rPr lang="en-US" sz="1400" baseline="0">
              <a:latin typeface="+mj-lt"/>
            </a:rPr>
            <a:t> of Collegiate Education, Bangalore.</a:t>
          </a:r>
          <a:endParaRPr lang="en-US" sz="1400">
            <a:latin typeface="+mj-lt"/>
          </a:endParaRPr>
        </a:p>
      </xdr:txBody>
    </xdr:sp>
    <xdr:clientData fPrintsWithSheet="0"/>
  </xdr:oneCellAnchor>
</xdr:wsDr>
</file>

<file path=xl/drawings/drawing2.xml><?xml version="1.0" encoding="utf-8"?>
<xdr:wsDr xmlns:xdr="http://schemas.openxmlformats.org/drawingml/2006/spreadsheetDrawing" xmlns:a="http://schemas.openxmlformats.org/drawingml/2006/main">
  <xdr:oneCellAnchor>
    <xdr:from>
      <xdr:col>0</xdr:col>
      <xdr:colOff>28575</xdr:colOff>
      <xdr:row>8</xdr:row>
      <xdr:rowOff>95796</xdr:rowOff>
    </xdr:from>
    <xdr:ext cx="6057900" cy="276813"/>
    <xdr:sp macro="" textlink="">
      <xdr:nvSpPr>
        <xdr:cNvPr id="3" name="Rounded Rectangle 2">
          <a:extLst>
            <a:ext uri="{FF2B5EF4-FFF2-40B4-BE49-F238E27FC236}">
              <a16:creationId xmlns="" xmlns:a16="http://schemas.microsoft.com/office/drawing/2014/main" id="{00000000-0008-0000-0100-000003000000}"/>
            </a:ext>
          </a:extLst>
        </xdr:cNvPr>
        <xdr:cNvSpPr>
          <a:spLocks noChangeAspect="1"/>
        </xdr:cNvSpPr>
      </xdr:nvSpPr>
      <xdr:spPr>
        <a:xfrm>
          <a:off x="28575" y="1705521"/>
          <a:ext cx="6057900" cy="276813"/>
        </a:xfrm>
        <a:prstGeom prst="roundRect">
          <a:avLst/>
        </a:prstGeom>
        <a:solidFill>
          <a:srgbClr val="92D050"/>
        </a:solidFill>
        <a:ln w="38100">
          <a:solidFill>
            <a:srgbClr val="FF0000"/>
          </a:solidFill>
        </a:ln>
        <a:effectLst>
          <a:innerShdw blurRad="63500" dist="50800" dir="54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ln>
                <a:solidFill>
                  <a:srgbClr val="002060"/>
                </a:solidFill>
              </a:ln>
              <a:solidFill>
                <a:srgbClr val="002060"/>
              </a:solidFill>
              <a:latin typeface="+mj-lt"/>
            </a:rPr>
            <a:t>Designed and Programmed by P.Purushotham, Stenographer,  Dept.</a:t>
          </a:r>
          <a:r>
            <a:rPr lang="en-US" sz="1050" baseline="0">
              <a:ln>
                <a:solidFill>
                  <a:srgbClr val="002060"/>
                </a:solidFill>
              </a:ln>
              <a:solidFill>
                <a:srgbClr val="002060"/>
              </a:solidFill>
              <a:latin typeface="+mj-lt"/>
            </a:rPr>
            <a:t> of Collegiate Education, Bangalore.</a:t>
          </a:r>
          <a:endParaRPr lang="en-US" sz="1050">
            <a:ln>
              <a:solidFill>
                <a:srgbClr val="002060"/>
              </a:solidFill>
            </a:ln>
            <a:solidFill>
              <a:srgbClr val="002060"/>
            </a:solidFill>
            <a:latin typeface="+mj-lt"/>
          </a:endParaRPr>
        </a:p>
      </xdr:txBody>
    </xdr:sp>
    <xdr:clientData fPrintsWithSheet="0"/>
  </xdr:oneCellAnchor>
  <xdr:twoCellAnchor editAs="absolute">
    <xdr:from>
      <xdr:col>11</xdr:col>
      <xdr:colOff>152400</xdr:colOff>
      <xdr:row>2</xdr:row>
      <xdr:rowOff>55710</xdr:rowOff>
    </xdr:from>
    <xdr:to>
      <xdr:col>15</xdr:col>
      <xdr:colOff>152400</xdr:colOff>
      <xdr:row>5</xdr:row>
      <xdr:rowOff>133350</xdr:rowOff>
    </xdr:to>
    <xdr:sp macro="" textlink="">
      <xdr:nvSpPr>
        <xdr:cNvPr id="4" name="Left Arrow 3"/>
        <xdr:cNvSpPr/>
      </xdr:nvSpPr>
      <xdr:spPr>
        <a:xfrm>
          <a:off x="6638925" y="455760"/>
          <a:ext cx="2819400" cy="677715"/>
        </a:xfrm>
        <a:prstGeom prst="leftArrow">
          <a:avLst/>
        </a:prstGeom>
        <a:solidFill>
          <a:schemeClr val="accent2">
            <a:lumMod val="50000"/>
          </a:schemeClr>
        </a:solidFill>
        <a:ln w="38100">
          <a:solidFill>
            <a:srgbClr val="FF0000"/>
          </a:solidFill>
        </a:ln>
        <a:effectLst>
          <a:glow rad="101600">
            <a:schemeClr val="accent6">
              <a:satMod val="175000"/>
              <a:alpha val="40000"/>
            </a:schemeClr>
          </a:glow>
          <a:outerShdw blurRad="40000" dist="23000" dir="5400000" rotWithShape="0">
            <a:srgbClr val="000000">
              <a:alpha val="35000"/>
            </a:srgbClr>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1">
          <a:noAutofit/>
        </a:bodyPr>
        <a:lstStyle/>
        <a:p>
          <a:pPr algn="l"/>
          <a:r>
            <a:rPr lang="en-IN" sz="1400">
              <a:solidFill>
                <a:srgbClr val="00B0F0"/>
              </a:solidFill>
              <a:latin typeface="Arial Rounded MT Bold" pitchFamily="34" charset="0"/>
            </a:rPr>
            <a:t>Please enter Sl. No. 1 to 8</a:t>
          </a:r>
        </a:p>
      </xdr:txBody>
    </xdr:sp>
    <xdr:clientData fPrintsWithSheet="0"/>
  </xdr:twoCellAnchor>
</xdr:wsDr>
</file>

<file path=xl/drawings/drawing3.xml><?xml version="1.0" encoding="utf-8"?>
<xdr:wsDr xmlns:xdr="http://schemas.openxmlformats.org/drawingml/2006/spreadsheetDrawing" xmlns:a="http://schemas.openxmlformats.org/drawingml/2006/main">
  <xdr:oneCellAnchor>
    <xdr:from>
      <xdr:col>0</xdr:col>
      <xdr:colOff>38100</xdr:colOff>
      <xdr:row>8</xdr:row>
      <xdr:rowOff>48171</xdr:rowOff>
    </xdr:from>
    <xdr:ext cx="6057900" cy="276813"/>
    <xdr:sp macro="" textlink="">
      <xdr:nvSpPr>
        <xdr:cNvPr id="2" name="Rounded Rectangle 1">
          <a:extLst>
            <a:ext uri="{FF2B5EF4-FFF2-40B4-BE49-F238E27FC236}">
              <a16:creationId xmlns="" xmlns:a16="http://schemas.microsoft.com/office/drawing/2014/main" id="{00000000-0008-0000-0200-000002000000}"/>
            </a:ext>
          </a:extLst>
        </xdr:cNvPr>
        <xdr:cNvSpPr>
          <a:spLocks noChangeAspect="1"/>
        </xdr:cNvSpPr>
      </xdr:nvSpPr>
      <xdr:spPr>
        <a:xfrm>
          <a:off x="38100" y="1648371"/>
          <a:ext cx="6057900" cy="276813"/>
        </a:xfrm>
        <a:prstGeom prst="roundRect">
          <a:avLst/>
        </a:prstGeom>
        <a:solidFill>
          <a:schemeClr val="accent3">
            <a:lumMod val="50000"/>
          </a:schemeClr>
        </a:solidFill>
        <a:ln w="31750">
          <a:solidFill>
            <a:srgbClr val="FF0000"/>
          </a:solid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square" rtlCol="0" anchor="ctr">
          <a:spAutoFit/>
        </a:bodyPr>
        <a:lstStyle/>
        <a:p>
          <a:pPr algn="ctr"/>
          <a:r>
            <a:rPr lang="en-US" sz="1050">
              <a:solidFill>
                <a:schemeClr val="bg2">
                  <a:lumMod val="10000"/>
                </a:schemeClr>
              </a:solidFill>
              <a:latin typeface="+mj-lt"/>
            </a:rPr>
            <a:t>Designed and Programmed by P.Purushotham, Stenographer,  Dept.</a:t>
          </a:r>
          <a:r>
            <a:rPr lang="en-US" sz="1050" baseline="0">
              <a:solidFill>
                <a:schemeClr val="bg2">
                  <a:lumMod val="10000"/>
                </a:schemeClr>
              </a:solidFill>
              <a:latin typeface="+mj-lt"/>
            </a:rPr>
            <a:t> of Collegiate Education, Bangalore.</a:t>
          </a:r>
          <a:endParaRPr lang="en-US" sz="1050">
            <a:solidFill>
              <a:schemeClr val="bg2">
                <a:lumMod val="10000"/>
              </a:schemeClr>
            </a:solidFill>
            <a:latin typeface="+mj-lt"/>
          </a:endParaRPr>
        </a:p>
      </xdr:txBody>
    </xdr:sp>
    <xdr:clientData fPrintsWithSheet="0"/>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8000"/>
  </sheetPr>
  <dimension ref="A1:BL106"/>
  <sheetViews>
    <sheetView workbookViewId="0">
      <pane ySplit="5" topLeftCell="A59" activePane="bottomLeft" state="frozen"/>
      <selection pane="bottomLeft"/>
    </sheetView>
  </sheetViews>
  <sheetFormatPr defaultRowHeight="15"/>
  <cols>
    <col min="1" max="1" width="9.5703125" style="53" customWidth="1"/>
    <col min="2" max="3" width="10.5703125" style="64" customWidth="1"/>
    <col min="4" max="4" width="10.28515625" style="64" customWidth="1"/>
    <col min="5" max="5" width="14.28515625" style="64" customWidth="1"/>
    <col min="6" max="7" width="6.5703125" style="64" customWidth="1"/>
    <col min="8" max="8" width="6.28515625" style="64" customWidth="1"/>
    <col min="9" max="10" width="7.7109375" style="64" customWidth="1"/>
    <col min="11" max="11" width="17.85546875" style="54" customWidth="1"/>
    <col min="12" max="13" width="8.85546875" style="159" customWidth="1"/>
    <col min="14" max="14" width="11" style="93" customWidth="1"/>
    <col min="15" max="15" width="10.7109375" style="93" customWidth="1"/>
    <col min="16" max="16" width="11.140625" style="93" customWidth="1"/>
    <col min="17" max="17" width="7.28515625" style="93" customWidth="1"/>
    <col min="18" max="18" width="10.7109375" style="93" customWidth="1"/>
    <col min="19" max="19" width="11.7109375" style="62" customWidth="1"/>
    <col min="20" max="20" width="6.42578125" style="62" customWidth="1"/>
    <col min="21" max="21" width="7.42578125" style="62" customWidth="1"/>
    <col min="22" max="22" width="7.85546875" style="62" bestFit="1" customWidth="1"/>
    <col min="23" max="23" width="7" style="62" customWidth="1"/>
    <col min="24" max="24" width="12.140625" style="62" customWidth="1"/>
    <col min="25" max="25" width="11.5703125" style="62" customWidth="1"/>
    <col min="26" max="26" width="10.140625" style="62" customWidth="1"/>
    <col min="27" max="27" width="8.28515625" style="62" customWidth="1"/>
    <col min="28" max="28" width="10.7109375" style="62" customWidth="1"/>
    <col min="29" max="29" width="13.42578125" style="62" customWidth="1"/>
    <col min="30" max="33" width="10.140625" style="62" customWidth="1"/>
    <col min="34" max="34" width="18.42578125" style="62" customWidth="1"/>
    <col min="35" max="35" width="11" style="62" customWidth="1"/>
    <col min="36" max="36" width="10.140625" style="62" customWidth="1"/>
    <col min="37" max="37" width="15.28515625" style="62" customWidth="1"/>
    <col min="38" max="39" width="9" style="54" customWidth="1"/>
    <col min="40" max="40" width="10.28515625" style="63" customWidth="1"/>
    <col min="41" max="41" width="11.5703125" style="63" customWidth="1"/>
    <col min="42" max="42" width="11.5703125" style="54" customWidth="1"/>
    <col min="43" max="43" width="10.85546875" style="54" customWidth="1"/>
    <col min="44" max="44" width="12" style="54" customWidth="1"/>
    <col min="45" max="45" width="11.42578125" style="54" customWidth="1"/>
    <col min="46" max="46" width="11.140625" style="54" customWidth="1"/>
    <col min="47" max="47" width="11.28515625" style="54" customWidth="1"/>
    <col min="48" max="50" width="8.28515625" style="54" customWidth="1"/>
    <col min="51" max="51" width="11.85546875" style="54" customWidth="1"/>
    <col min="52" max="52" width="11.7109375" style="54" customWidth="1"/>
    <col min="53" max="54" width="8.28515625" style="54" customWidth="1"/>
    <col min="55" max="55" width="15" style="54" customWidth="1"/>
    <col min="56" max="56" width="10.140625" style="54" customWidth="1"/>
    <col min="57" max="85" width="8.28515625" style="54" customWidth="1"/>
    <col min="86" max="86" width="24.7109375" style="54" customWidth="1"/>
    <col min="87" max="88" width="8.28515625" style="54" customWidth="1"/>
    <col min="89" max="89" width="12" style="54" customWidth="1"/>
    <col min="90" max="106" width="8.28515625" style="54" customWidth="1"/>
    <col min="107" max="266" width="8.28515625" style="54"/>
    <col min="267" max="267" width="4.5703125" style="54" customWidth="1"/>
    <col min="268" max="268" width="22.5703125" style="54" customWidth="1"/>
    <col min="269" max="269" width="3.85546875" style="54" customWidth="1"/>
    <col min="270" max="270" width="4.140625" style="54" bestFit="1" customWidth="1"/>
    <col min="271" max="271" width="9.85546875" style="54" customWidth="1"/>
    <col min="272" max="273" width="6.7109375" style="54" bestFit="1" customWidth="1"/>
    <col min="274" max="274" width="8.140625" style="54" customWidth="1"/>
    <col min="275" max="275" width="9.140625" style="54" customWidth="1"/>
    <col min="276" max="276" width="10.28515625" style="54" bestFit="1" customWidth="1"/>
    <col min="277" max="277" width="4" style="54" bestFit="1" customWidth="1"/>
    <col min="278" max="278" width="3" style="54" bestFit="1" customWidth="1"/>
    <col min="279" max="279" width="8.140625" style="54" customWidth="1"/>
    <col min="280" max="280" width="9.140625" style="54" customWidth="1"/>
    <col min="281" max="281" width="8.140625" style="54" bestFit="1" customWidth="1"/>
    <col min="282" max="282" width="8" style="54" bestFit="1" customWidth="1"/>
    <col min="283" max="283" width="8.5703125" style="54" bestFit="1" customWidth="1"/>
    <col min="284" max="284" width="6" style="54" bestFit="1" customWidth="1"/>
    <col min="285" max="285" width="6.7109375" style="54" bestFit="1" customWidth="1"/>
    <col min="286" max="287" width="8.28515625" style="54" customWidth="1"/>
    <col min="288" max="288" width="6.7109375" style="54" customWidth="1"/>
    <col min="289" max="289" width="9.140625" style="54" customWidth="1"/>
    <col min="290" max="291" width="8.28515625" style="54"/>
    <col min="292" max="362" width="8.28515625" style="54" customWidth="1"/>
    <col min="363" max="522" width="8.28515625" style="54"/>
    <col min="523" max="523" width="4.5703125" style="54" customWidth="1"/>
    <col min="524" max="524" width="22.5703125" style="54" customWidth="1"/>
    <col min="525" max="525" width="3.85546875" style="54" customWidth="1"/>
    <col min="526" max="526" width="4.140625" style="54" bestFit="1" customWidth="1"/>
    <col min="527" max="527" width="9.85546875" style="54" customWidth="1"/>
    <col min="528" max="529" width="6.7109375" style="54" bestFit="1" customWidth="1"/>
    <col min="530" max="530" width="8.140625" style="54" customWidth="1"/>
    <col min="531" max="531" width="9.140625" style="54" customWidth="1"/>
    <col min="532" max="532" width="10.28515625" style="54" bestFit="1" customWidth="1"/>
    <col min="533" max="533" width="4" style="54" bestFit="1" customWidth="1"/>
    <col min="534" max="534" width="3" style="54" bestFit="1" customWidth="1"/>
    <col min="535" max="535" width="8.140625" style="54" customWidth="1"/>
    <col min="536" max="536" width="9.140625" style="54" customWidth="1"/>
    <col min="537" max="537" width="8.140625" style="54" bestFit="1" customWidth="1"/>
    <col min="538" max="538" width="8" style="54" bestFit="1" customWidth="1"/>
    <col min="539" max="539" width="8.5703125" style="54" bestFit="1" customWidth="1"/>
    <col min="540" max="540" width="6" style="54" bestFit="1" customWidth="1"/>
    <col min="541" max="541" width="6.7109375" style="54" bestFit="1" customWidth="1"/>
    <col min="542" max="543" width="8.28515625" style="54" customWidth="1"/>
    <col min="544" max="544" width="6.7109375" style="54" customWidth="1"/>
    <col min="545" max="545" width="9.140625" style="54" customWidth="1"/>
    <col min="546" max="547" width="8.28515625" style="54"/>
    <col min="548" max="618" width="8.28515625" style="54" customWidth="1"/>
    <col min="619" max="778" width="8.28515625" style="54"/>
    <col min="779" max="779" width="4.5703125" style="54" customWidth="1"/>
    <col min="780" max="780" width="22.5703125" style="54" customWidth="1"/>
    <col min="781" max="781" width="3.85546875" style="54" customWidth="1"/>
    <col min="782" max="782" width="4.140625" style="54" bestFit="1" customWidth="1"/>
    <col min="783" max="783" width="9.85546875" style="54" customWidth="1"/>
    <col min="784" max="785" width="6.7109375" style="54" bestFit="1" customWidth="1"/>
    <col min="786" max="786" width="8.140625" style="54" customWidth="1"/>
    <col min="787" max="787" width="9.140625" style="54" customWidth="1"/>
    <col min="788" max="788" width="10.28515625" style="54" bestFit="1" customWidth="1"/>
    <col min="789" max="789" width="4" style="54" bestFit="1" customWidth="1"/>
    <col min="790" max="790" width="3" style="54" bestFit="1" customWidth="1"/>
    <col min="791" max="791" width="8.140625" style="54" customWidth="1"/>
    <col min="792" max="792" width="9.140625" style="54" customWidth="1"/>
    <col min="793" max="793" width="8.140625" style="54" bestFit="1" customWidth="1"/>
    <col min="794" max="794" width="8" style="54" bestFit="1" customWidth="1"/>
    <col min="795" max="795" width="8.5703125" style="54" bestFit="1" customWidth="1"/>
    <col min="796" max="796" width="6" style="54" bestFit="1" customWidth="1"/>
    <col min="797" max="797" width="6.7109375" style="54" bestFit="1" customWidth="1"/>
    <col min="798" max="799" width="8.28515625" style="54" customWidth="1"/>
    <col min="800" max="800" width="6.7109375" style="54" customWidth="1"/>
    <col min="801" max="801" width="9.140625" style="54" customWidth="1"/>
    <col min="802" max="803" width="8.28515625" style="54"/>
    <col min="804" max="874" width="8.28515625" style="54" customWidth="1"/>
    <col min="875" max="1032" width="9.140625" style="54"/>
    <col min="1033" max="1034" width="8.28515625" style="54"/>
    <col min="1035" max="1035" width="4.5703125" style="54" customWidth="1"/>
    <col min="1036" max="1036" width="22.5703125" style="54" customWidth="1"/>
    <col min="1037" max="1037" width="3.85546875" style="54" customWidth="1"/>
    <col min="1038" max="1038" width="4.140625" style="54" bestFit="1" customWidth="1"/>
    <col min="1039" max="1039" width="9.85546875" style="54" customWidth="1"/>
    <col min="1040" max="1041" width="6.7109375" style="54" bestFit="1" customWidth="1"/>
    <col min="1042" max="1042" width="8.140625" style="54" customWidth="1"/>
    <col min="1043" max="1043" width="9.140625" style="54" customWidth="1"/>
    <col min="1044" max="1044" width="10.28515625" style="54" bestFit="1" customWidth="1"/>
    <col min="1045" max="1045" width="4" style="54" bestFit="1" customWidth="1"/>
    <col min="1046" max="1046" width="3" style="54" bestFit="1" customWidth="1"/>
    <col min="1047" max="1047" width="8.140625" style="54" customWidth="1"/>
    <col min="1048" max="1048" width="9.140625" style="54" customWidth="1"/>
    <col min="1049" max="1049" width="8.140625" style="54" bestFit="1" customWidth="1"/>
    <col min="1050" max="1050" width="8" style="54" bestFit="1" customWidth="1"/>
    <col min="1051" max="1051" width="8.5703125" style="54" bestFit="1" customWidth="1"/>
    <col min="1052" max="1052" width="6" style="54" bestFit="1" customWidth="1"/>
    <col min="1053" max="1053" width="6.7109375" style="54" bestFit="1" customWidth="1"/>
    <col min="1054" max="1055" width="8.28515625" style="54" customWidth="1"/>
    <col min="1056" max="1056" width="6.7109375" style="54" customWidth="1"/>
    <col min="1057" max="1057" width="9.140625" style="54" customWidth="1"/>
    <col min="1058" max="1059" width="8.28515625" style="54"/>
    <col min="1060" max="1130" width="8.28515625" style="54" customWidth="1"/>
    <col min="1131" max="1290" width="8.28515625" style="54"/>
    <col min="1291" max="1291" width="4.5703125" style="54" customWidth="1"/>
    <col min="1292" max="1292" width="22.5703125" style="54" customWidth="1"/>
    <col min="1293" max="1293" width="3.85546875" style="54" customWidth="1"/>
    <col min="1294" max="1294" width="4.140625" style="54" bestFit="1" customWidth="1"/>
    <col min="1295" max="1295" width="9.85546875" style="54" customWidth="1"/>
    <col min="1296" max="1297" width="6.7109375" style="54" bestFit="1" customWidth="1"/>
    <col min="1298" max="1298" width="8.140625" style="54" customWidth="1"/>
    <col min="1299" max="1299" width="9.140625" style="54" customWidth="1"/>
    <col min="1300" max="1300" width="10.28515625" style="54" bestFit="1" customWidth="1"/>
    <col min="1301" max="1301" width="4" style="54" bestFit="1" customWidth="1"/>
    <col min="1302" max="1302" width="3" style="54" bestFit="1" customWidth="1"/>
    <col min="1303" max="1303" width="8.140625" style="54" customWidth="1"/>
    <col min="1304" max="1304" width="9.140625" style="54" customWidth="1"/>
    <col min="1305" max="1305" width="8.140625" style="54" bestFit="1" customWidth="1"/>
    <col min="1306" max="1306" width="8" style="54" bestFit="1" customWidth="1"/>
    <col min="1307" max="1307" width="8.5703125" style="54" bestFit="1" customWidth="1"/>
    <col min="1308" max="1308" width="6" style="54" bestFit="1" customWidth="1"/>
    <col min="1309" max="1309" width="6.7109375" style="54" bestFit="1" customWidth="1"/>
    <col min="1310" max="1311" width="8.28515625" style="54" customWidth="1"/>
    <col min="1312" max="1312" width="6.7109375" style="54" customWidth="1"/>
    <col min="1313" max="1313" width="9.140625" style="54" customWidth="1"/>
    <col min="1314" max="1315" width="8.28515625" style="54"/>
    <col min="1316" max="1386" width="8.28515625" style="54" customWidth="1"/>
    <col min="1387" max="1546" width="8.28515625" style="54"/>
    <col min="1547" max="1547" width="4.5703125" style="54" customWidth="1"/>
    <col min="1548" max="1548" width="22.5703125" style="54" customWidth="1"/>
    <col min="1549" max="1549" width="3.85546875" style="54" customWidth="1"/>
    <col min="1550" max="1550" width="4.140625" style="54" bestFit="1" customWidth="1"/>
    <col min="1551" max="1551" width="9.85546875" style="54" customWidth="1"/>
    <col min="1552" max="1553" width="6.7109375" style="54" bestFit="1" customWidth="1"/>
    <col min="1554" max="1554" width="8.140625" style="54" customWidth="1"/>
    <col min="1555" max="1555" width="9.140625" style="54" customWidth="1"/>
    <col min="1556" max="1556" width="10.28515625" style="54" bestFit="1" customWidth="1"/>
    <col min="1557" max="1557" width="4" style="54" bestFit="1" customWidth="1"/>
    <col min="1558" max="1558" width="3" style="54" bestFit="1" customWidth="1"/>
    <col min="1559" max="1559" width="8.140625" style="54" customWidth="1"/>
    <col min="1560" max="1560" width="9.140625" style="54" customWidth="1"/>
    <col min="1561" max="1561" width="8.140625" style="54" bestFit="1" customWidth="1"/>
    <col min="1562" max="1562" width="8" style="54" bestFit="1" customWidth="1"/>
    <col min="1563" max="1563" width="8.5703125" style="54" bestFit="1" customWidth="1"/>
    <col min="1564" max="1564" width="6" style="54" bestFit="1" customWidth="1"/>
    <col min="1565" max="1565" width="6.7109375" style="54" bestFit="1" customWidth="1"/>
    <col min="1566" max="1567" width="8.28515625" style="54" customWidth="1"/>
    <col min="1568" max="1568" width="6.7109375" style="54" customWidth="1"/>
    <col min="1569" max="1569" width="9.140625" style="54" customWidth="1"/>
    <col min="1570" max="1571" width="8.28515625" style="54"/>
    <col min="1572" max="1642" width="8.28515625" style="54" customWidth="1"/>
    <col min="1643" max="1802" width="8.28515625" style="54"/>
    <col min="1803" max="1803" width="4.5703125" style="54" customWidth="1"/>
    <col min="1804" max="1804" width="22.5703125" style="54" customWidth="1"/>
    <col min="1805" max="1805" width="3.85546875" style="54" customWidth="1"/>
    <col min="1806" max="1806" width="4.140625" style="54" bestFit="1" customWidth="1"/>
    <col min="1807" max="1807" width="9.85546875" style="54" customWidth="1"/>
    <col min="1808" max="1809" width="6.7109375" style="54" bestFit="1" customWidth="1"/>
    <col min="1810" max="1810" width="8.140625" style="54" customWidth="1"/>
    <col min="1811" max="1811" width="9.140625" style="54" customWidth="1"/>
    <col min="1812" max="1812" width="10.28515625" style="54" bestFit="1" customWidth="1"/>
    <col min="1813" max="1813" width="4" style="54" bestFit="1" customWidth="1"/>
    <col min="1814" max="1814" width="3" style="54" bestFit="1" customWidth="1"/>
    <col min="1815" max="1815" width="8.140625" style="54" customWidth="1"/>
    <col min="1816" max="1816" width="9.140625" style="54" customWidth="1"/>
    <col min="1817" max="1817" width="8.140625" style="54" bestFit="1" customWidth="1"/>
    <col min="1818" max="1818" width="8" style="54" bestFit="1" customWidth="1"/>
    <col min="1819" max="1819" width="8.5703125" style="54" bestFit="1" customWidth="1"/>
    <col min="1820" max="1820" width="6" style="54" bestFit="1" customWidth="1"/>
    <col min="1821" max="1821" width="6.7109375" style="54" bestFit="1" customWidth="1"/>
    <col min="1822" max="1823" width="8.28515625" style="54" customWidth="1"/>
    <col min="1824" max="1824" width="6.7109375" style="54" customWidth="1"/>
    <col min="1825" max="1825" width="9.140625" style="54" customWidth="1"/>
    <col min="1826" max="1827" width="8.28515625" style="54"/>
    <col min="1828" max="1898" width="8.28515625" style="54" customWidth="1"/>
    <col min="1899" max="2056" width="9.140625" style="54"/>
    <col min="2057" max="2058" width="8.28515625" style="54"/>
    <col min="2059" max="2059" width="4.5703125" style="54" customWidth="1"/>
    <col min="2060" max="2060" width="22.5703125" style="54" customWidth="1"/>
    <col min="2061" max="2061" width="3.85546875" style="54" customWidth="1"/>
    <col min="2062" max="2062" width="4.140625" style="54" bestFit="1" customWidth="1"/>
    <col min="2063" max="2063" width="9.85546875" style="54" customWidth="1"/>
    <col min="2064" max="2065" width="6.7109375" style="54" bestFit="1" customWidth="1"/>
    <col min="2066" max="2066" width="8.140625" style="54" customWidth="1"/>
    <col min="2067" max="2067" width="9.140625" style="54" customWidth="1"/>
    <col min="2068" max="2068" width="10.28515625" style="54" bestFit="1" customWidth="1"/>
    <col min="2069" max="2069" width="4" style="54" bestFit="1" customWidth="1"/>
    <col min="2070" max="2070" width="3" style="54" bestFit="1" customWidth="1"/>
    <col min="2071" max="2071" width="8.140625" style="54" customWidth="1"/>
    <col min="2072" max="2072" width="9.140625" style="54" customWidth="1"/>
    <col min="2073" max="2073" width="8.140625" style="54" bestFit="1" customWidth="1"/>
    <col min="2074" max="2074" width="8" style="54" bestFit="1" customWidth="1"/>
    <col min="2075" max="2075" width="8.5703125" style="54" bestFit="1" customWidth="1"/>
    <col min="2076" max="2076" width="6" style="54" bestFit="1" customWidth="1"/>
    <col min="2077" max="2077" width="6.7109375" style="54" bestFit="1" customWidth="1"/>
    <col min="2078" max="2079" width="8.28515625" style="54" customWidth="1"/>
    <col min="2080" max="2080" width="6.7109375" style="54" customWidth="1"/>
    <col min="2081" max="2081" width="9.140625" style="54" customWidth="1"/>
    <col min="2082" max="2083" width="8.28515625" style="54"/>
    <col min="2084" max="2154" width="8.28515625" style="54" customWidth="1"/>
    <col min="2155" max="2314" width="8.28515625" style="54"/>
    <col min="2315" max="2315" width="4.5703125" style="54" customWidth="1"/>
    <col min="2316" max="2316" width="22.5703125" style="54" customWidth="1"/>
    <col min="2317" max="2317" width="3.85546875" style="54" customWidth="1"/>
    <col min="2318" max="2318" width="4.140625" style="54" bestFit="1" customWidth="1"/>
    <col min="2319" max="2319" width="9.85546875" style="54" customWidth="1"/>
    <col min="2320" max="2321" width="6.7109375" style="54" bestFit="1" customWidth="1"/>
    <col min="2322" max="2322" width="8.140625" style="54" customWidth="1"/>
    <col min="2323" max="2323" width="9.140625" style="54" customWidth="1"/>
    <col min="2324" max="2324" width="10.28515625" style="54" bestFit="1" customWidth="1"/>
    <col min="2325" max="2325" width="4" style="54" bestFit="1" customWidth="1"/>
    <col min="2326" max="2326" width="3" style="54" bestFit="1" customWidth="1"/>
    <col min="2327" max="2327" width="8.140625" style="54" customWidth="1"/>
    <col min="2328" max="2328" width="9.140625" style="54" customWidth="1"/>
    <col min="2329" max="2329" width="8.140625" style="54" bestFit="1" customWidth="1"/>
    <col min="2330" max="2330" width="8" style="54" bestFit="1" customWidth="1"/>
    <col min="2331" max="2331" width="8.5703125" style="54" bestFit="1" customWidth="1"/>
    <col min="2332" max="2332" width="6" style="54" bestFit="1" customWidth="1"/>
    <col min="2333" max="2333" width="6.7109375" style="54" bestFit="1" customWidth="1"/>
    <col min="2334" max="2335" width="8.28515625" style="54" customWidth="1"/>
    <col min="2336" max="2336" width="6.7109375" style="54" customWidth="1"/>
    <col min="2337" max="2337" width="9.140625" style="54" customWidth="1"/>
    <col min="2338" max="2339" width="8.28515625" style="54"/>
    <col min="2340" max="2410" width="8.28515625" style="54" customWidth="1"/>
    <col min="2411" max="2570" width="8.28515625" style="54"/>
    <col min="2571" max="2571" width="4.5703125" style="54" customWidth="1"/>
    <col min="2572" max="2572" width="22.5703125" style="54" customWidth="1"/>
    <col min="2573" max="2573" width="3.85546875" style="54" customWidth="1"/>
    <col min="2574" max="2574" width="4.140625" style="54" bestFit="1" customWidth="1"/>
    <col min="2575" max="2575" width="9.85546875" style="54" customWidth="1"/>
    <col min="2576" max="2577" width="6.7109375" style="54" bestFit="1" customWidth="1"/>
    <col min="2578" max="2578" width="8.140625" style="54" customWidth="1"/>
    <col min="2579" max="2579" width="9.140625" style="54" customWidth="1"/>
    <col min="2580" max="2580" width="10.28515625" style="54" bestFit="1" customWidth="1"/>
    <col min="2581" max="2581" width="4" style="54" bestFit="1" customWidth="1"/>
    <col min="2582" max="2582" width="3" style="54" bestFit="1" customWidth="1"/>
    <col min="2583" max="2583" width="8.140625" style="54" customWidth="1"/>
    <col min="2584" max="2584" width="9.140625" style="54" customWidth="1"/>
    <col min="2585" max="2585" width="8.140625" style="54" bestFit="1" customWidth="1"/>
    <col min="2586" max="2586" width="8" style="54" bestFit="1" customWidth="1"/>
    <col min="2587" max="2587" width="8.5703125" style="54" bestFit="1" customWidth="1"/>
    <col min="2588" max="2588" width="6" style="54" bestFit="1" customWidth="1"/>
    <col min="2589" max="2589" width="6.7109375" style="54" bestFit="1" customWidth="1"/>
    <col min="2590" max="2591" width="8.28515625" style="54" customWidth="1"/>
    <col min="2592" max="2592" width="6.7109375" style="54" customWidth="1"/>
    <col min="2593" max="2593" width="9.140625" style="54" customWidth="1"/>
    <col min="2594" max="2595" width="8.28515625" style="54"/>
    <col min="2596" max="2666" width="8.28515625" style="54" customWidth="1"/>
    <col min="2667" max="2826" width="8.28515625" style="54"/>
    <col min="2827" max="2827" width="4.5703125" style="54" customWidth="1"/>
    <col min="2828" max="2828" width="22.5703125" style="54" customWidth="1"/>
    <col min="2829" max="2829" width="3.85546875" style="54" customWidth="1"/>
    <col min="2830" max="2830" width="4.140625" style="54" bestFit="1" customWidth="1"/>
    <col min="2831" max="2831" width="9.85546875" style="54" customWidth="1"/>
    <col min="2832" max="2833" width="6.7109375" style="54" bestFit="1" customWidth="1"/>
    <col min="2834" max="2834" width="8.140625" style="54" customWidth="1"/>
    <col min="2835" max="2835" width="9.140625" style="54" customWidth="1"/>
    <col min="2836" max="2836" width="10.28515625" style="54" bestFit="1" customWidth="1"/>
    <col min="2837" max="2837" width="4" style="54" bestFit="1" customWidth="1"/>
    <col min="2838" max="2838" width="3" style="54" bestFit="1" customWidth="1"/>
    <col min="2839" max="2839" width="8.140625" style="54" customWidth="1"/>
    <col min="2840" max="2840" width="9.140625" style="54" customWidth="1"/>
    <col min="2841" max="2841" width="8.140625" style="54" bestFit="1" customWidth="1"/>
    <col min="2842" max="2842" width="8" style="54" bestFit="1" customWidth="1"/>
    <col min="2843" max="2843" width="8.5703125" style="54" bestFit="1" customWidth="1"/>
    <col min="2844" max="2844" width="6" style="54" bestFit="1" customWidth="1"/>
    <col min="2845" max="2845" width="6.7109375" style="54" bestFit="1" customWidth="1"/>
    <col min="2846" max="2847" width="8.28515625" style="54" customWidth="1"/>
    <col min="2848" max="2848" width="6.7109375" style="54" customWidth="1"/>
    <col min="2849" max="2849" width="9.140625" style="54" customWidth="1"/>
    <col min="2850" max="2851" width="8.28515625" style="54"/>
    <col min="2852" max="2922" width="8.28515625" style="54" customWidth="1"/>
    <col min="2923" max="3080" width="9.140625" style="54"/>
    <col min="3081" max="3082" width="8.28515625" style="54"/>
    <col min="3083" max="3083" width="4.5703125" style="54" customWidth="1"/>
    <col min="3084" max="3084" width="22.5703125" style="54" customWidth="1"/>
    <col min="3085" max="3085" width="3.85546875" style="54" customWidth="1"/>
    <col min="3086" max="3086" width="4.140625" style="54" bestFit="1" customWidth="1"/>
    <col min="3087" max="3087" width="9.85546875" style="54" customWidth="1"/>
    <col min="3088" max="3089" width="6.7109375" style="54" bestFit="1" customWidth="1"/>
    <col min="3090" max="3090" width="8.140625" style="54" customWidth="1"/>
    <col min="3091" max="3091" width="9.140625" style="54" customWidth="1"/>
    <col min="3092" max="3092" width="10.28515625" style="54" bestFit="1" customWidth="1"/>
    <col min="3093" max="3093" width="4" style="54" bestFit="1" customWidth="1"/>
    <col min="3094" max="3094" width="3" style="54" bestFit="1" customWidth="1"/>
    <col min="3095" max="3095" width="8.140625" style="54" customWidth="1"/>
    <col min="3096" max="3096" width="9.140625" style="54" customWidth="1"/>
    <col min="3097" max="3097" width="8.140625" style="54" bestFit="1" customWidth="1"/>
    <col min="3098" max="3098" width="8" style="54" bestFit="1" customWidth="1"/>
    <col min="3099" max="3099" width="8.5703125" style="54" bestFit="1" customWidth="1"/>
    <col min="3100" max="3100" width="6" style="54" bestFit="1" customWidth="1"/>
    <col min="3101" max="3101" width="6.7109375" style="54" bestFit="1" customWidth="1"/>
    <col min="3102" max="3103" width="8.28515625" style="54" customWidth="1"/>
    <col min="3104" max="3104" width="6.7109375" style="54" customWidth="1"/>
    <col min="3105" max="3105" width="9.140625" style="54" customWidth="1"/>
    <col min="3106" max="3107" width="8.28515625" style="54"/>
    <col min="3108" max="3178" width="8.28515625" style="54" customWidth="1"/>
    <col min="3179" max="3338" width="8.28515625" style="54"/>
    <col min="3339" max="3339" width="4.5703125" style="54" customWidth="1"/>
    <col min="3340" max="3340" width="22.5703125" style="54" customWidth="1"/>
    <col min="3341" max="3341" width="3.85546875" style="54" customWidth="1"/>
    <col min="3342" max="3342" width="4.140625" style="54" bestFit="1" customWidth="1"/>
    <col min="3343" max="3343" width="9.85546875" style="54" customWidth="1"/>
    <col min="3344" max="3345" width="6.7109375" style="54" bestFit="1" customWidth="1"/>
    <col min="3346" max="3346" width="8.140625" style="54" customWidth="1"/>
    <col min="3347" max="3347" width="9.140625" style="54" customWidth="1"/>
    <col min="3348" max="3348" width="10.28515625" style="54" bestFit="1" customWidth="1"/>
    <col min="3349" max="3349" width="4" style="54" bestFit="1" customWidth="1"/>
    <col min="3350" max="3350" width="3" style="54" bestFit="1" customWidth="1"/>
    <col min="3351" max="3351" width="8.140625" style="54" customWidth="1"/>
    <col min="3352" max="3352" width="9.140625" style="54" customWidth="1"/>
    <col min="3353" max="3353" width="8.140625" style="54" bestFit="1" customWidth="1"/>
    <col min="3354" max="3354" width="8" style="54" bestFit="1" customWidth="1"/>
    <col min="3355" max="3355" width="8.5703125" style="54" bestFit="1" customWidth="1"/>
    <col min="3356" max="3356" width="6" style="54" bestFit="1" customWidth="1"/>
    <col min="3357" max="3357" width="6.7109375" style="54" bestFit="1" customWidth="1"/>
    <col min="3358" max="3359" width="8.28515625" style="54" customWidth="1"/>
    <col min="3360" max="3360" width="6.7109375" style="54" customWidth="1"/>
    <col min="3361" max="3361" width="9.140625" style="54" customWidth="1"/>
    <col min="3362" max="3363" width="8.28515625" style="54"/>
    <col min="3364" max="3434" width="8.28515625" style="54" customWidth="1"/>
    <col min="3435" max="3594" width="8.28515625" style="54"/>
    <col min="3595" max="3595" width="4.5703125" style="54" customWidth="1"/>
    <col min="3596" max="3596" width="22.5703125" style="54" customWidth="1"/>
    <col min="3597" max="3597" width="3.85546875" style="54" customWidth="1"/>
    <col min="3598" max="3598" width="4.140625" style="54" bestFit="1" customWidth="1"/>
    <col min="3599" max="3599" width="9.85546875" style="54" customWidth="1"/>
    <col min="3600" max="3601" width="6.7109375" style="54" bestFit="1" customWidth="1"/>
    <col min="3602" max="3602" width="8.140625" style="54" customWidth="1"/>
    <col min="3603" max="3603" width="9.140625" style="54" customWidth="1"/>
    <col min="3604" max="3604" width="10.28515625" style="54" bestFit="1" customWidth="1"/>
    <col min="3605" max="3605" width="4" style="54" bestFit="1" customWidth="1"/>
    <col min="3606" max="3606" width="3" style="54" bestFit="1" customWidth="1"/>
    <col min="3607" max="3607" width="8.140625" style="54" customWidth="1"/>
    <col min="3608" max="3608" width="9.140625" style="54" customWidth="1"/>
    <col min="3609" max="3609" width="8.140625" style="54" bestFit="1" customWidth="1"/>
    <col min="3610" max="3610" width="8" style="54" bestFit="1" customWidth="1"/>
    <col min="3611" max="3611" width="8.5703125" style="54" bestFit="1" customWidth="1"/>
    <col min="3612" max="3612" width="6" style="54" bestFit="1" customWidth="1"/>
    <col min="3613" max="3613" width="6.7109375" style="54" bestFit="1" customWidth="1"/>
    <col min="3614" max="3615" width="8.28515625" style="54" customWidth="1"/>
    <col min="3616" max="3616" width="6.7109375" style="54" customWidth="1"/>
    <col min="3617" max="3617" width="9.140625" style="54" customWidth="1"/>
    <col min="3618" max="3619" width="8.28515625" style="54"/>
    <col min="3620" max="3690" width="8.28515625" style="54" customWidth="1"/>
    <col min="3691" max="3850" width="8.28515625" style="54"/>
    <col min="3851" max="3851" width="4.5703125" style="54" customWidth="1"/>
    <col min="3852" max="3852" width="22.5703125" style="54" customWidth="1"/>
    <col min="3853" max="3853" width="3.85546875" style="54" customWidth="1"/>
    <col min="3854" max="3854" width="4.140625" style="54" bestFit="1" customWidth="1"/>
    <col min="3855" max="3855" width="9.85546875" style="54" customWidth="1"/>
    <col min="3856" max="3857" width="6.7109375" style="54" bestFit="1" customWidth="1"/>
    <col min="3858" max="3858" width="8.140625" style="54" customWidth="1"/>
    <col min="3859" max="3859" width="9.140625" style="54" customWidth="1"/>
    <col min="3860" max="3860" width="10.28515625" style="54" bestFit="1" customWidth="1"/>
    <col min="3861" max="3861" width="4" style="54" bestFit="1" customWidth="1"/>
    <col min="3862" max="3862" width="3" style="54" bestFit="1" customWidth="1"/>
    <col min="3863" max="3863" width="8.140625" style="54" customWidth="1"/>
    <col min="3864" max="3864" width="9.140625" style="54" customWidth="1"/>
    <col min="3865" max="3865" width="8.140625" style="54" bestFit="1" customWidth="1"/>
    <col min="3866" max="3866" width="8" style="54" bestFit="1" customWidth="1"/>
    <col min="3867" max="3867" width="8.5703125" style="54" bestFit="1" customWidth="1"/>
    <col min="3868" max="3868" width="6" style="54" bestFit="1" customWidth="1"/>
    <col min="3869" max="3869" width="6.7109375" style="54" bestFit="1" customWidth="1"/>
    <col min="3870" max="3871" width="0" style="54" hidden="1" customWidth="1"/>
    <col min="3872" max="3872" width="6.7109375" style="54" customWidth="1"/>
    <col min="3873" max="3873" width="9.140625" style="54" customWidth="1"/>
    <col min="3874" max="3875" width="8.28515625" style="54"/>
    <col min="3876" max="3946" width="0" style="54" hidden="1" customWidth="1"/>
    <col min="3947" max="4104" width="9.140625" style="54"/>
    <col min="4105" max="4106" width="8.28515625" style="54"/>
    <col min="4107" max="4107" width="4.5703125" style="54" customWidth="1"/>
    <col min="4108" max="4108" width="22.5703125" style="54" customWidth="1"/>
    <col min="4109" max="4109" width="3.85546875" style="54" customWidth="1"/>
    <col min="4110" max="4110" width="4.140625" style="54" bestFit="1" customWidth="1"/>
    <col min="4111" max="4111" width="9.85546875" style="54" customWidth="1"/>
    <col min="4112" max="4113" width="6.7109375" style="54" bestFit="1" customWidth="1"/>
    <col min="4114" max="4114" width="8.140625" style="54" customWidth="1"/>
    <col min="4115" max="4115" width="9.140625" style="54" customWidth="1"/>
    <col min="4116" max="4116" width="10.28515625" style="54" bestFit="1" customWidth="1"/>
    <col min="4117" max="4117" width="4" style="54" bestFit="1" customWidth="1"/>
    <col min="4118" max="4118" width="3" style="54" bestFit="1" customWidth="1"/>
    <col min="4119" max="4119" width="8.140625" style="54" customWidth="1"/>
    <col min="4120" max="4120" width="9.140625" style="54" customWidth="1"/>
    <col min="4121" max="4121" width="8.140625" style="54" bestFit="1" customWidth="1"/>
    <col min="4122" max="4122" width="8" style="54" bestFit="1" customWidth="1"/>
    <col min="4123" max="4123" width="8.5703125" style="54" bestFit="1" customWidth="1"/>
    <col min="4124" max="4124" width="6" style="54" bestFit="1" customWidth="1"/>
    <col min="4125" max="4125" width="6.7109375" style="54" bestFit="1" customWidth="1"/>
    <col min="4126" max="4127" width="0" style="54" hidden="1" customWidth="1"/>
    <col min="4128" max="4128" width="6.7109375" style="54" customWidth="1"/>
    <col min="4129" max="4129" width="9.140625" style="54" customWidth="1"/>
    <col min="4130" max="4131" width="8.28515625" style="54"/>
    <col min="4132" max="4202" width="0" style="54" hidden="1" customWidth="1"/>
    <col min="4203" max="4362" width="8.28515625" style="54"/>
    <col min="4363" max="4363" width="4.5703125" style="54" customWidth="1"/>
    <col min="4364" max="4364" width="22.5703125" style="54" customWidth="1"/>
    <col min="4365" max="4365" width="3.85546875" style="54" customWidth="1"/>
    <col min="4366" max="4366" width="4.140625" style="54" bestFit="1" customWidth="1"/>
    <col min="4367" max="4367" width="9.85546875" style="54" customWidth="1"/>
    <col min="4368" max="4369" width="6.7109375" style="54" bestFit="1" customWidth="1"/>
    <col min="4370" max="4370" width="8.140625" style="54" customWidth="1"/>
    <col min="4371" max="4371" width="9.140625" style="54" customWidth="1"/>
    <col min="4372" max="4372" width="10.28515625" style="54" bestFit="1" customWidth="1"/>
    <col min="4373" max="4373" width="4" style="54" bestFit="1" customWidth="1"/>
    <col min="4374" max="4374" width="3" style="54" bestFit="1" customWidth="1"/>
    <col min="4375" max="4375" width="8.140625" style="54" customWidth="1"/>
    <col min="4376" max="4376" width="9.140625" style="54" customWidth="1"/>
    <col min="4377" max="4377" width="8.140625" style="54" bestFit="1" customWidth="1"/>
    <col min="4378" max="4378" width="8" style="54" bestFit="1" customWidth="1"/>
    <col min="4379" max="4379" width="8.5703125" style="54" bestFit="1" customWidth="1"/>
    <col min="4380" max="4380" width="6" style="54" bestFit="1" customWidth="1"/>
    <col min="4381" max="4381" width="6.7109375" style="54" bestFit="1" customWidth="1"/>
    <col min="4382" max="4383" width="0" style="54" hidden="1" customWidth="1"/>
    <col min="4384" max="4384" width="6.7109375" style="54" customWidth="1"/>
    <col min="4385" max="4385" width="9.140625" style="54" customWidth="1"/>
    <col min="4386" max="4387" width="8.28515625" style="54"/>
    <col min="4388" max="4458" width="0" style="54" hidden="1" customWidth="1"/>
    <col min="4459" max="4618" width="8.28515625" style="54"/>
    <col min="4619" max="4619" width="4.5703125" style="54" customWidth="1"/>
    <col min="4620" max="4620" width="22.5703125" style="54" customWidth="1"/>
    <col min="4621" max="4621" width="3.85546875" style="54" customWidth="1"/>
    <col min="4622" max="4622" width="4.140625" style="54" bestFit="1" customWidth="1"/>
    <col min="4623" max="4623" width="9.85546875" style="54" customWidth="1"/>
    <col min="4624" max="4625" width="6.7109375" style="54" bestFit="1" customWidth="1"/>
    <col min="4626" max="4626" width="8.140625" style="54" customWidth="1"/>
    <col min="4627" max="4627" width="9.140625" style="54" customWidth="1"/>
    <col min="4628" max="4628" width="10.28515625" style="54" bestFit="1" customWidth="1"/>
    <col min="4629" max="4629" width="4" style="54" bestFit="1" customWidth="1"/>
    <col min="4630" max="4630" width="3" style="54" bestFit="1" customWidth="1"/>
    <col min="4631" max="4631" width="8.140625" style="54" customWidth="1"/>
    <col min="4632" max="4632" width="9.140625" style="54" customWidth="1"/>
    <col min="4633" max="4633" width="8.140625" style="54" bestFit="1" customWidth="1"/>
    <col min="4634" max="4634" width="8" style="54" bestFit="1" customWidth="1"/>
    <col min="4635" max="4635" width="8.5703125" style="54" bestFit="1" customWidth="1"/>
    <col min="4636" max="4636" width="6" style="54" bestFit="1" customWidth="1"/>
    <col min="4637" max="4637" width="6.7109375" style="54" bestFit="1" customWidth="1"/>
    <col min="4638" max="4639" width="0" style="54" hidden="1" customWidth="1"/>
    <col min="4640" max="4640" width="6.7109375" style="54" customWidth="1"/>
    <col min="4641" max="4641" width="9.140625" style="54" customWidth="1"/>
    <col min="4642" max="4643" width="8.28515625" style="54"/>
    <col min="4644" max="4714" width="0" style="54" hidden="1" customWidth="1"/>
    <col min="4715" max="4874" width="8.28515625" style="54"/>
    <col min="4875" max="4875" width="4.5703125" style="54" customWidth="1"/>
    <col min="4876" max="4876" width="22.5703125" style="54" customWidth="1"/>
    <col min="4877" max="4877" width="3.85546875" style="54" customWidth="1"/>
    <col min="4878" max="4878" width="4.140625" style="54" bestFit="1" customWidth="1"/>
    <col min="4879" max="4879" width="9.85546875" style="54" customWidth="1"/>
    <col min="4880" max="4881" width="6.7109375" style="54" bestFit="1" customWidth="1"/>
    <col min="4882" max="4882" width="8.140625" style="54" customWidth="1"/>
    <col min="4883" max="4883" width="9.140625" style="54" customWidth="1"/>
    <col min="4884" max="4884" width="10.28515625" style="54" bestFit="1" customWidth="1"/>
    <col min="4885" max="4885" width="4" style="54" bestFit="1" customWidth="1"/>
    <col min="4886" max="4886" width="3" style="54" bestFit="1" customWidth="1"/>
    <col min="4887" max="4887" width="8.140625" style="54" customWidth="1"/>
    <col min="4888" max="4888" width="9.140625" style="54" customWidth="1"/>
    <col min="4889" max="4889" width="8.140625" style="54" bestFit="1" customWidth="1"/>
    <col min="4890" max="4890" width="8" style="54" bestFit="1" customWidth="1"/>
    <col min="4891" max="4891" width="8.5703125" style="54" bestFit="1" customWidth="1"/>
    <col min="4892" max="4892" width="6" style="54" bestFit="1" customWidth="1"/>
    <col min="4893" max="4893" width="6.7109375" style="54" bestFit="1" customWidth="1"/>
    <col min="4894" max="4895" width="0" style="54" hidden="1" customWidth="1"/>
    <col min="4896" max="4896" width="6.7109375" style="54" customWidth="1"/>
    <col min="4897" max="4897" width="9.140625" style="54" customWidth="1"/>
    <col min="4898" max="4899" width="8.28515625" style="54"/>
    <col min="4900" max="4970" width="0" style="54" hidden="1" customWidth="1"/>
    <col min="4971" max="5128" width="9.140625" style="54"/>
    <col min="5129" max="5130" width="8.28515625" style="54"/>
    <col min="5131" max="5131" width="4.5703125" style="54" customWidth="1"/>
    <col min="5132" max="5132" width="22.5703125" style="54" customWidth="1"/>
    <col min="5133" max="5133" width="3.85546875" style="54" customWidth="1"/>
    <col min="5134" max="5134" width="4.140625" style="54" bestFit="1" customWidth="1"/>
    <col min="5135" max="5135" width="9.85546875" style="54" customWidth="1"/>
    <col min="5136" max="5137" width="6.7109375" style="54" bestFit="1" customWidth="1"/>
    <col min="5138" max="5138" width="8.140625" style="54" customWidth="1"/>
    <col min="5139" max="5139" width="9.140625" style="54" customWidth="1"/>
    <col min="5140" max="5140" width="10.28515625" style="54" bestFit="1" customWidth="1"/>
    <col min="5141" max="5141" width="4" style="54" bestFit="1" customWidth="1"/>
    <col min="5142" max="5142" width="3" style="54" bestFit="1" customWidth="1"/>
    <col min="5143" max="5143" width="8.140625" style="54" customWidth="1"/>
    <col min="5144" max="5144" width="9.140625" style="54" customWidth="1"/>
    <col min="5145" max="5145" width="8.140625" style="54" bestFit="1" customWidth="1"/>
    <col min="5146" max="5146" width="8" style="54" bestFit="1" customWidth="1"/>
    <col min="5147" max="5147" width="8.5703125" style="54" bestFit="1" customWidth="1"/>
    <col min="5148" max="5148" width="6" style="54" bestFit="1" customWidth="1"/>
    <col min="5149" max="5149" width="6.7109375" style="54" bestFit="1" customWidth="1"/>
    <col min="5150" max="5151" width="0" style="54" hidden="1" customWidth="1"/>
    <col min="5152" max="5152" width="6.7109375" style="54" customWidth="1"/>
    <col min="5153" max="5153" width="9.140625" style="54" customWidth="1"/>
    <col min="5154" max="5155" width="8.28515625" style="54"/>
    <col min="5156" max="5226" width="0" style="54" hidden="1" customWidth="1"/>
    <col min="5227" max="5386" width="8.28515625" style="54"/>
    <col min="5387" max="5387" width="4.5703125" style="54" customWidth="1"/>
    <col min="5388" max="5388" width="22.5703125" style="54" customWidth="1"/>
    <col min="5389" max="5389" width="3.85546875" style="54" customWidth="1"/>
    <col min="5390" max="5390" width="4.140625" style="54" bestFit="1" customWidth="1"/>
    <col min="5391" max="5391" width="9.85546875" style="54" customWidth="1"/>
    <col min="5392" max="5393" width="6.7109375" style="54" bestFit="1" customWidth="1"/>
    <col min="5394" max="5394" width="8.140625" style="54" customWidth="1"/>
    <col min="5395" max="5395" width="9.140625" style="54" customWidth="1"/>
    <col min="5396" max="5396" width="10.28515625" style="54" bestFit="1" customWidth="1"/>
    <col min="5397" max="5397" width="4" style="54" bestFit="1" customWidth="1"/>
    <col min="5398" max="5398" width="3" style="54" bestFit="1" customWidth="1"/>
    <col min="5399" max="5399" width="8.140625" style="54" customWidth="1"/>
    <col min="5400" max="5400" width="9.140625" style="54" customWidth="1"/>
    <col min="5401" max="5401" width="8.140625" style="54" bestFit="1" customWidth="1"/>
    <col min="5402" max="5402" width="8" style="54" bestFit="1" customWidth="1"/>
    <col min="5403" max="5403" width="8.5703125" style="54" bestFit="1" customWidth="1"/>
    <col min="5404" max="5404" width="6" style="54" bestFit="1" customWidth="1"/>
    <col min="5405" max="5405" width="6.7109375" style="54" bestFit="1" customWidth="1"/>
    <col min="5406" max="5407" width="0" style="54" hidden="1" customWidth="1"/>
    <col min="5408" max="5408" width="6.7109375" style="54" customWidth="1"/>
    <col min="5409" max="5409" width="9.140625" style="54" customWidth="1"/>
    <col min="5410" max="5411" width="8.28515625" style="54"/>
    <col min="5412" max="5482" width="0" style="54" hidden="1" customWidth="1"/>
    <col min="5483" max="5642" width="8.28515625" style="54"/>
    <col min="5643" max="5643" width="4.5703125" style="54" customWidth="1"/>
    <col min="5644" max="5644" width="22.5703125" style="54" customWidth="1"/>
    <col min="5645" max="5645" width="3.85546875" style="54" customWidth="1"/>
    <col min="5646" max="5646" width="4.140625" style="54" bestFit="1" customWidth="1"/>
    <col min="5647" max="5647" width="9.85546875" style="54" customWidth="1"/>
    <col min="5648" max="5649" width="6.7109375" style="54" bestFit="1" customWidth="1"/>
    <col min="5650" max="5650" width="8.140625" style="54" customWidth="1"/>
    <col min="5651" max="5651" width="9.140625" style="54" customWidth="1"/>
    <col min="5652" max="5652" width="10.28515625" style="54" bestFit="1" customWidth="1"/>
    <col min="5653" max="5653" width="4" style="54" bestFit="1" customWidth="1"/>
    <col min="5654" max="5654" width="3" style="54" bestFit="1" customWidth="1"/>
    <col min="5655" max="5655" width="8.140625" style="54" customWidth="1"/>
    <col min="5656" max="5656" width="9.140625" style="54" customWidth="1"/>
    <col min="5657" max="5657" width="8.140625" style="54" bestFit="1" customWidth="1"/>
    <col min="5658" max="5658" width="8" style="54" bestFit="1" customWidth="1"/>
    <col min="5659" max="5659" width="8.5703125" style="54" bestFit="1" customWidth="1"/>
    <col min="5660" max="5660" width="6" style="54" bestFit="1" customWidth="1"/>
    <col min="5661" max="5661" width="6.7109375" style="54" bestFit="1" customWidth="1"/>
    <col min="5662" max="5663" width="0" style="54" hidden="1" customWidth="1"/>
    <col min="5664" max="5664" width="6.7109375" style="54" customWidth="1"/>
    <col min="5665" max="5665" width="9.140625" style="54" customWidth="1"/>
    <col min="5666" max="5667" width="8.28515625" style="54"/>
    <col min="5668" max="5738" width="0" style="54" hidden="1" customWidth="1"/>
    <col min="5739" max="5898" width="8.28515625" style="54"/>
    <col min="5899" max="5899" width="4.5703125" style="54" customWidth="1"/>
    <col min="5900" max="5900" width="22.5703125" style="54" customWidth="1"/>
    <col min="5901" max="5901" width="3.85546875" style="54" customWidth="1"/>
    <col min="5902" max="5902" width="4.140625" style="54" bestFit="1" customWidth="1"/>
    <col min="5903" max="5903" width="9.85546875" style="54" customWidth="1"/>
    <col min="5904" max="5905" width="6.7109375" style="54" bestFit="1" customWidth="1"/>
    <col min="5906" max="5906" width="8.140625" style="54" customWidth="1"/>
    <col min="5907" max="5907" width="9.140625" style="54" customWidth="1"/>
    <col min="5908" max="5908" width="10.28515625" style="54" bestFit="1" customWidth="1"/>
    <col min="5909" max="5909" width="4" style="54" bestFit="1" customWidth="1"/>
    <col min="5910" max="5910" width="3" style="54" bestFit="1" customWidth="1"/>
    <col min="5911" max="5911" width="8.140625" style="54" customWidth="1"/>
    <col min="5912" max="5912" width="9.140625" style="54" customWidth="1"/>
    <col min="5913" max="5913" width="8.140625" style="54" bestFit="1" customWidth="1"/>
    <col min="5914" max="5914" width="8" style="54" bestFit="1" customWidth="1"/>
    <col min="5915" max="5915" width="8.5703125" style="54" bestFit="1" customWidth="1"/>
    <col min="5916" max="5916" width="6" style="54" bestFit="1" customWidth="1"/>
    <col min="5917" max="5917" width="6.7109375" style="54" bestFit="1" customWidth="1"/>
    <col min="5918" max="5919" width="0" style="54" hidden="1" customWidth="1"/>
    <col min="5920" max="5920" width="6.7109375" style="54" customWidth="1"/>
    <col min="5921" max="5921" width="9.140625" style="54" customWidth="1"/>
    <col min="5922" max="5923" width="8.28515625" style="54"/>
    <col min="5924" max="5994" width="0" style="54" hidden="1" customWidth="1"/>
    <col min="5995" max="6152" width="9.140625" style="54"/>
    <col min="6153" max="6154" width="8.28515625" style="54"/>
    <col min="6155" max="6155" width="4.5703125" style="54" customWidth="1"/>
    <col min="6156" max="6156" width="22.5703125" style="54" customWidth="1"/>
    <col min="6157" max="6157" width="3.85546875" style="54" customWidth="1"/>
    <col min="6158" max="6158" width="4.140625" style="54" bestFit="1" customWidth="1"/>
    <col min="6159" max="6159" width="9.85546875" style="54" customWidth="1"/>
    <col min="6160" max="6161" width="6.7109375" style="54" bestFit="1" customWidth="1"/>
    <col min="6162" max="6162" width="8.140625" style="54" customWidth="1"/>
    <col min="6163" max="6163" width="9.140625" style="54" customWidth="1"/>
    <col min="6164" max="6164" width="10.28515625" style="54" bestFit="1" customWidth="1"/>
    <col min="6165" max="6165" width="4" style="54" bestFit="1" customWidth="1"/>
    <col min="6166" max="6166" width="3" style="54" bestFit="1" customWidth="1"/>
    <col min="6167" max="6167" width="8.140625" style="54" customWidth="1"/>
    <col min="6168" max="6168" width="9.140625" style="54" customWidth="1"/>
    <col min="6169" max="6169" width="8.140625" style="54" bestFit="1" customWidth="1"/>
    <col min="6170" max="6170" width="8" style="54" bestFit="1" customWidth="1"/>
    <col min="6171" max="6171" width="8.5703125" style="54" bestFit="1" customWidth="1"/>
    <col min="6172" max="6172" width="6" style="54" bestFit="1" customWidth="1"/>
    <col min="6173" max="6173" width="6.7109375" style="54" bestFit="1" customWidth="1"/>
    <col min="6174" max="6175" width="0" style="54" hidden="1" customWidth="1"/>
    <col min="6176" max="6176" width="6.7109375" style="54" customWidth="1"/>
    <col min="6177" max="6177" width="9.140625" style="54" customWidth="1"/>
    <col min="6178" max="6179" width="8.28515625" style="54"/>
    <col min="6180" max="6250" width="0" style="54" hidden="1" customWidth="1"/>
    <col min="6251" max="6410" width="8.28515625" style="54"/>
    <col min="6411" max="6411" width="4.5703125" style="54" customWidth="1"/>
    <col min="6412" max="6412" width="22.5703125" style="54" customWidth="1"/>
    <col min="6413" max="6413" width="3.85546875" style="54" customWidth="1"/>
    <col min="6414" max="6414" width="4.140625" style="54" bestFit="1" customWidth="1"/>
    <col min="6415" max="6415" width="9.85546875" style="54" customWidth="1"/>
    <col min="6416" max="6417" width="6.7109375" style="54" bestFit="1" customWidth="1"/>
    <col min="6418" max="6418" width="8.140625" style="54" customWidth="1"/>
    <col min="6419" max="6419" width="9.140625" style="54" customWidth="1"/>
    <col min="6420" max="6420" width="10.28515625" style="54" bestFit="1" customWidth="1"/>
    <col min="6421" max="6421" width="4" style="54" bestFit="1" customWidth="1"/>
    <col min="6422" max="6422" width="3" style="54" bestFit="1" customWidth="1"/>
    <col min="6423" max="6423" width="8.140625" style="54" customWidth="1"/>
    <col min="6424" max="6424" width="9.140625" style="54" customWidth="1"/>
    <col min="6425" max="6425" width="8.140625" style="54" bestFit="1" customWidth="1"/>
    <col min="6426" max="6426" width="8" style="54" bestFit="1" customWidth="1"/>
    <col min="6427" max="6427" width="8.5703125" style="54" bestFit="1" customWidth="1"/>
    <col min="6428" max="6428" width="6" style="54" bestFit="1" customWidth="1"/>
    <col min="6429" max="6429" width="6.7109375" style="54" bestFit="1" customWidth="1"/>
    <col min="6430" max="6431" width="0" style="54" hidden="1" customWidth="1"/>
    <col min="6432" max="6432" width="6.7109375" style="54" customWidth="1"/>
    <col min="6433" max="6433" width="9.140625" style="54" customWidth="1"/>
    <col min="6434" max="6435" width="8.28515625" style="54"/>
    <col min="6436" max="6506" width="0" style="54" hidden="1" customWidth="1"/>
    <col min="6507" max="6666" width="8.28515625" style="54"/>
    <col min="6667" max="6667" width="4.5703125" style="54" customWidth="1"/>
    <col min="6668" max="6668" width="22.5703125" style="54" customWidth="1"/>
    <col min="6669" max="6669" width="3.85546875" style="54" customWidth="1"/>
    <col min="6670" max="6670" width="4.140625" style="54" bestFit="1" customWidth="1"/>
    <col min="6671" max="6671" width="9.85546875" style="54" customWidth="1"/>
    <col min="6672" max="6673" width="6.7109375" style="54" bestFit="1" customWidth="1"/>
    <col min="6674" max="6674" width="8.140625" style="54" customWidth="1"/>
    <col min="6675" max="6675" width="9.140625" style="54" customWidth="1"/>
    <col min="6676" max="6676" width="10.28515625" style="54" bestFit="1" customWidth="1"/>
    <col min="6677" max="6677" width="4" style="54" bestFit="1" customWidth="1"/>
    <col min="6678" max="6678" width="3" style="54" bestFit="1" customWidth="1"/>
    <col min="6679" max="6679" width="8.140625" style="54" customWidth="1"/>
    <col min="6680" max="6680" width="9.140625" style="54" customWidth="1"/>
    <col min="6681" max="6681" width="8.140625" style="54" bestFit="1" customWidth="1"/>
    <col min="6682" max="6682" width="8" style="54" bestFit="1" customWidth="1"/>
    <col min="6683" max="6683" width="8.5703125" style="54" bestFit="1" customWidth="1"/>
    <col min="6684" max="6684" width="6" style="54" bestFit="1" customWidth="1"/>
    <col min="6685" max="6685" width="6.7109375" style="54" bestFit="1" customWidth="1"/>
    <col min="6686" max="6687" width="0" style="54" hidden="1" customWidth="1"/>
    <col min="6688" max="6688" width="6.7109375" style="54" customWidth="1"/>
    <col min="6689" max="6689" width="9.140625" style="54" customWidth="1"/>
    <col min="6690" max="6691" width="8.28515625" style="54"/>
    <col min="6692" max="6762" width="0" style="54" hidden="1" customWidth="1"/>
    <col min="6763" max="6922" width="8.28515625" style="54"/>
    <col min="6923" max="6923" width="4.5703125" style="54" customWidth="1"/>
    <col min="6924" max="6924" width="22.5703125" style="54" customWidth="1"/>
    <col min="6925" max="6925" width="3.85546875" style="54" customWidth="1"/>
    <col min="6926" max="6926" width="4.140625" style="54" bestFit="1" customWidth="1"/>
    <col min="6927" max="6927" width="9.85546875" style="54" customWidth="1"/>
    <col min="6928" max="6929" width="6.7109375" style="54" bestFit="1" customWidth="1"/>
    <col min="6930" max="6930" width="8.140625" style="54" customWidth="1"/>
    <col min="6931" max="6931" width="9.140625" style="54" customWidth="1"/>
    <col min="6932" max="6932" width="10.28515625" style="54" bestFit="1" customWidth="1"/>
    <col min="6933" max="6933" width="4" style="54" bestFit="1" customWidth="1"/>
    <col min="6934" max="6934" width="3" style="54" bestFit="1" customWidth="1"/>
    <col min="6935" max="6935" width="8.140625" style="54" customWidth="1"/>
    <col min="6936" max="6936" width="9.140625" style="54" customWidth="1"/>
    <col min="6937" max="6937" width="8.140625" style="54" bestFit="1" customWidth="1"/>
    <col min="6938" max="6938" width="8" style="54" bestFit="1" customWidth="1"/>
    <col min="6939" max="6939" width="8.5703125" style="54" bestFit="1" customWidth="1"/>
    <col min="6940" max="6940" width="6" style="54" bestFit="1" customWidth="1"/>
    <col min="6941" max="6941" width="6.7109375" style="54" bestFit="1" customWidth="1"/>
    <col min="6942" max="6943" width="0" style="54" hidden="1" customWidth="1"/>
    <col min="6944" max="6944" width="6.7109375" style="54" customWidth="1"/>
    <col min="6945" max="6945" width="9.140625" style="54" customWidth="1"/>
    <col min="6946" max="6947" width="8.28515625" style="54"/>
    <col min="6948" max="7018" width="0" style="54" hidden="1" customWidth="1"/>
    <col min="7019" max="7176" width="9.140625" style="54"/>
    <col min="7177" max="7178" width="8.28515625" style="54"/>
    <col min="7179" max="7179" width="4.5703125" style="54" customWidth="1"/>
    <col min="7180" max="7180" width="22.5703125" style="54" customWidth="1"/>
    <col min="7181" max="7181" width="3.85546875" style="54" customWidth="1"/>
    <col min="7182" max="7182" width="4.140625" style="54" bestFit="1" customWidth="1"/>
    <col min="7183" max="7183" width="9.85546875" style="54" customWidth="1"/>
    <col min="7184" max="7185" width="6.7109375" style="54" bestFit="1" customWidth="1"/>
    <col min="7186" max="7186" width="8.140625" style="54" customWidth="1"/>
    <col min="7187" max="7187" width="9.140625" style="54" customWidth="1"/>
    <col min="7188" max="7188" width="10.28515625" style="54" bestFit="1" customWidth="1"/>
    <col min="7189" max="7189" width="4" style="54" bestFit="1" customWidth="1"/>
    <col min="7190" max="7190" width="3" style="54" bestFit="1" customWidth="1"/>
    <col min="7191" max="7191" width="8.140625" style="54" customWidth="1"/>
    <col min="7192" max="7192" width="9.140625" style="54" customWidth="1"/>
    <col min="7193" max="7193" width="8.140625" style="54" bestFit="1" customWidth="1"/>
    <col min="7194" max="7194" width="8" style="54" bestFit="1" customWidth="1"/>
    <col min="7195" max="7195" width="8.5703125" style="54" bestFit="1" customWidth="1"/>
    <col min="7196" max="7196" width="6" style="54" bestFit="1" customWidth="1"/>
    <col min="7197" max="7197" width="6.7109375" style="54" bestFit="1" customWidth="1"/>
    <col min="7198" max="7199" width="0" style="54" hidden="1" customWidth="1"/>
    <col min="7200" max="7200" width="6.7109375" style="54" customWidth="1"/>
    <col min="7201" max="7201" width="9.140625" style="54" customWidth="1"/>
    <col min="7202" max="7203" width="8.28515625" style="54"/>
    <col min="7204" max="7274" width="0" style="54" hidden="1" customWidth="1"/>
    <col min="7275" max="7434" width="8.28515625" style="54"/>
    <col min="7435" max="7435" width="4.5703125" style="54" customWidth="1"/>
    <col min="7436" max="7436" width="22.5703125" style="54" customWidth="1"/>
    <col min="7437" max="7437" width="3.85546875" style="54" customWidth="1"/>
    <col min="7438" max="7438" width="4.140625" style="54" bestFit="1" customWidth="1"/>
    <col min="7439" max="7439" width="9.85546875" style="54" customWidth="1"/>
    <col min="7440" max="7441" width="6.7109375" style="54" bestFit="1" customWidth="1"/>
    <col min="7442" max="7442" width="8.140625" style="54" customWidth="1"/>
    <col min="7443" max="7443" width="9.140625" style="54" customWidth="1"/>
    <col min="7444" max="7444" width="10.28515625" style="54" bestFit="1" customWidth="1"/>
    <col min="7445" max="7445" width="4" style="54" bestFit="1" customWidth="1"/>
    <col min="7446" max="7446" width="3" style="54" bestFit="1" customWidth="1"/>
    <col min="7447" max="7447" width="8.140625" style="54" customWidth="1"/>
    <col min="7448" max="7448" width="9.140625" style="54" customWidth="1"/>
    <col min="7449" max="7449" width="8.140625" style="54" bestFit="1" customWidth="1"/>
    <col min="7450" max="7450" width="8" style="54" bestFit="1" customWidth="1"/>
    <col min="7451" max="7451" width="8.5703125" style="54" bestFit="1" customWidth="1"/>
    <col min="7452" max="7452" width="6" style="54" bestFit="1" customWidth="1"/>
    <col min="7453" max="7453" width="6.7109375" style="54" bestFit="1" customWidth="1"/>
    <col min="7454" max="7455" width="0" style="54" hidden="1" customWidth="1"/>
    <col min="7456" max="7456" width="6.7109375" style="54" customWidth="1"/>
    <col min="7457" max="7457" width="9.140625" style="54" customWidth="1"/>
    <col min="7458" max="7459" width="8.28515625" style="54"/>
    <col min="7460" max="7530" width="0" style="54" hidden="1" customWidth="1"/>
    <col min="7531" max="7690" width="8.28515625" style="54"/>
    <col min="7691" max="7691" width="4.5703125" style="54" customWidth="1"/>
    <col min="7692" max="7692" width="22.5703125" style="54" customWidth="1"/>
    <col min="7693" max="7693" width="3.85546875" style="54" customWidth="1"/>
    <col min="7694" max="7694" width="4.140625" style="54" bestFit="1" customWidth="1"/>
    <col min="7695" max="7695" width="9.85546875" style="54" customWidth="1"/>
    <col min="7696" max="7697" width="6.7109375" style="54" bestFit="1" customWidth="1"/>
    <col min="7698" max="7698" width="8.140625" style="54" customWidth="1"/>
    <col min="7699" max="7699" width="9.140625" style="54" customWidth="1"/>
    <col min="7700" max="7700" width="10.28515625" style="54" bestFit="1" customWidth="1"/>
    <col min="7701" max="7701" width="4" style="54" bestFit="1" customWidth="1"/>
    <col min="7702" max="7702" width="3" style="54" bestFit="1" customWidth="1"/>
    <col min="7703" max="7703" width="8.140625" style="54" customWidth="1"/>
    <col min="7704" max="7704" width="9.140625" style="54" customWidth="1"/>
    <col min="7705" max="7705" width="8.140625" style="54" bestFit="1" customWidth="1"/>
    <col min="7706" max="7706" width="8" style="54" bestFit="1" customWidth="1"/>
    <col min="7707" max="7707" width="8.5703125" style="54" bestFit="1" customWidth="1"/>
    <col min="7708" max="7708" width="6" style="54" bestFit="1" customWidth="1"/>
    <col min="7709" max="7709" width="6.7109375" style="54" bestFit="1" customWidth="1"/>
    <col min="7710" max="7711" width="0" style="54" hidden="1" customWidth="1"/>
    <col min="7712" max="7712" width="6.7109375" style="54" customWidth="1"/>
    <col min="7713" max="7713" width="9.140625" style="54" customWidth="1"/>
    <col min="7714" max="7715" width="8.28515625" style="54"/>
    <col min="7716" max="7786" width="0" style="54" hidden="1" customWidth="1"/>
    <col min="7787" max="7946" width="8.28515625" style="54"/>
    <col min="7947" max="7947" width="4.5703125" style="54" customWidth="1"/>
    <col min="7948" max="7948" width="22.5703125" style="54" customWidth="1"/>
    <col min="7949" max="7949" width="3.85546875" style="54" customWidth="1"/>
    <col min="7950" max="7950" width="4.140625" style="54" bestFit="1" customWidth="1"/>
    <col min="7951" max="7951" width="9.85546875" style="54" customWidth="1"/>
    <col min="7952" max="7953" width="6.7109375" style="54" bestFit="1" customWidth="1"/>
    <col min="7954" max="7954" width="8.140625" style="54" customWidth="1"/>
    <col min="7955" max="7955" width="9.140625" style="54" customWidth="1"/>
    <col min="7956" max="7956" width="10.28515625" style="54" bestFit="1" customWidth="1"/>
    <col min="7957" max="7957" width="4" style="54" bestFit="1" customWidth="1"/>
    <col min="7958" max="7958" width="3" style="54" bestFit="1" customWidth="1"/>
    <col min="7959" max="7959" width="8.140625" style="54" customWidth="1"/>
    <col min="7960" max="7960" width="9.140625" style="54" customWidth="1"/>
    <col min="7961" max="7961" width="8.140625" style="54" bestFit="1" customWidth="1"/>
    <col min="7962" max="7962" width="8" style="54" bestFit="1" customWidth="1"/>
    <col min="7963" max="7963" width="8.5703125" style="54" bestFit="1" customWidth="1"/>
    <col min="7964" max="7964" width="6" style="54" bestFit="1" customWidth="1"/>
    <col min="7965" max="7965" width="6.7109375" style="54" bestFit="1" customWidth="1"/>
    <col min="7966" max="7967" width="0" style="54" hidden="1" customWidth="1"/>
    <col min="7968" max="7968" width="6.7109375" style="54" customWidth="1"/>
    <col min="7969" max="7969" width="9.140625" style="54" customWidth="1"/>
    <col min="7970" max="7971" width="8.28515625" style="54"/>
    <col min="7972" max="8042" width="0" style="54" hidden="1" customWidth="1"/>
    <col min="8043" max="8200" width="9.140625" style="54"/>
    <col min="8201" max="8202" width="8.28515625" style="54"/>
    <col min="8203" max="8203" width="4.5703125" style="54" customWidth="1"/>
    <col min="8204" max="8204" width="22.5703125" style="54" customWidth="1"/>
    <col min="8205" max="8205" width="3.85546875" style="54" customWidth="1"/>
    <col min="8206" max="8206" width="4.140625" style="54" bestFit="1" customWidth="1"/>
    <col min="8207" max="8207" width="9.85546875" style="54" customWidth="1"/>
    <col min="8208" max="8209" width="6.7109375" style="54" bestFit="1" customWidth="1"/>
    <col min="8210" max="8210" width="8.140625" style="54" customWidth="1"/>
    <col min="8211" max="8211" width="9.140625" style="54" customWidth="1"/>
    <col min="8212" max="8212" width="10.28515625" style="54" bestFit="1" customWidth="1"/>
    <col min="8213" max="8213" width="4" style="54" bestFit="1" customWidth="1"/>
    <col min="8214" max="8214" width="3" style="54" bestFit="1" customWidth="1"/>
    <col min="8215" max="8215" width="8.140625" style="54" customWidth="1"/>
    <col min="8216" max="8216" width="9.140625" style="54" customWidth="1"/>
    <col min="8217" max="8217" width="8.140625" style="54" bestFit="1" customWidth="1"/>
    <col min="8218" max="8218" width="8" style="54" bestFit="1" customWidth="1"/>
    <col min="8219" max="8219" width="8.5703125" style="54" bestFit="1" customWidth="1"/>
    <col min="8220" max="8220" width="6" style="54" bestFit="1" customWidth="1"/>
    <col min="8221" max="8221" width="6.7109375" style="54" bestFit="1" customWidth="1"/>
    <col min="8222" max="8223" width="0" style="54" hidden="1" customWidth="1"/>
    <col min="8224" max="8224" width="6.7109375" style="54" customWidth="1"/>
    <col min="8225" max="8225" width="9.140625" style="54" customWidth="1"/>
    <col min="8226" max="8227" width="8.28515625" style="54"/>
    <col min="8228" max="8298" width="0" style="54" hidden="1" customWidth="1"/>
    <col min="8299" max="8458" width="8.28515625" style="54"/>
    <col min="8459" max="8459" width="4.5703125" style="54" customWidth="1"/>
    <col min="8460" max="8460" width="22.5703125" style="54" customWidth="1"/>
    <col min="8461" max="8461" width="3.85546875" style="54" customWidth="1"/>
    <col min="8462" max="8462" width="4.140625" style="54" bestFit="1" customWidth="1"/>
    <col min="8463" max="8463" width="9.85546875" style="54" customWidth="1"/>
    <col min="8464" max="8465" width="6.7109375" style="54" bestFit="1" customWidth="1"/>
    <col min="8466" max="8466" width="8.140625" style="54" customWidth="1"/>
    <col min="8467" max="8467" width="9.140625" style="54" customWidth="1"/>
    <col min="8468" max="8468" width="10.28515625" style="54" bestFit="1" customWidth="1"/>
    <col min="8469" max="8469" width="4" style="54" bestFit="1" customWidth="1"/>
    <col min="8470" max="8470" width="3" style="54" bestFit="1" customWidth="1"/>
    <col min="8471" max="8471" width="8.140625" style="54" customWidth="1"/>
    <col min="8472" max="8472" width="9.140625" style="54" customWidth="1"/>
    <col min="8473" max="8473" width="8.140625" style="54" bestFit="1" customWidth="1"/>
    <col min="8474" max="8474" width="8" style="54" bestFit="1" customWidth="1"/>
    <col min="8475" max="8475" width="8.5703125" style="54" bestFit="1" customWidth="1"/>
    <col min="8476" max="8476" width="6" style="54" bestFit="1" customWidth="1"/>
    <col min="8477" max="8477" width="6.7109375" style="54" bestFit="1" customWidth="1"/>
    <col min="8478" max="8479" width="0" style="54" hidden="1" customWidth="1"/>
    <col min="8480" max="8480" width="6.7109375" style="54" customWidth="1"/>
    <col min="8481" max="8481" width="9.140625" style="54" customWidth="1"/>
    <col min="8482" max="8483" width="8.28515625" style="54"/>
    <col min="8484" max="8554" width="0" style="54" hidden="1" customWidth="1"/>
    <col min="8555" max="8714" width="8.28515625" style="54"/>
    <col min="8715" max="8715" width="4.5703125" style="54" customWidth="1"/>
    <col min="8716" max="8716" width="22.5703125" style="54" customWidth="1"/>
    <col min="8717" max="8717" width="3.85546875" style="54" customWidth="1"/>
    <col min="8718" max="8718" width="4.140625" style="54" bestFit="1" customWidth="1"/>
    <col min="8719" max="8719" width="9.85546875" style="54" customWidth="1"/>
    <col min="8720" max="8721" width="6.7109375" style="54" bestFit="1" customWidth="1"/>
    <col min="8722" max="8722" width="8.140625" style="54" customWidth="1"/>
    <col min="8723" max="8723" width="9.140625" style="54" customWidth="1"/>
    <col min="8724" max="8724" width="10.28515625" style="54" bestFit="1" customWidth="1"/>
    <col min="8725" max="8725" width="4" style="54" bestFit="1" customWidth="1"/>
    <col min="8726" max="8726" width="3" style="54" bestFit="1" customWidth="1"/>
    <col min="8727" max="8727" width="8.140625" style="54" customWidth="1"/>
    <col min="8728" max="8728" width="9.140625" style="54" customWidth="1"/>
    <col min="8729" max="8729" width="8.140625" style="54" bestFit="1" customWidth="1"/>
    <col min="8730" max="8730" width="8" style="54" bestFit="1" customWidth="1"/>
    <col min="8731" max="8731" width="8.5703125" style="54" bestFit="1" customWidth="1"/>
    <col min="8732" max="8732" width="6" style="54" bestFit="1" customWidth="1"/>
    <col min="8733" max="8733" width="6.7109375" style="54" bestFit="1" customWidth="1"/>
    <col min="8734" max="8735" width="0" style="54" hidden="1" customWidth="1"/>
    <col min="8736" max="8736" width="6.7109375" style="54" customWidth="1"/>
    <col min="8737" max="8737" width="9.140625" style="54" customWidth="1"/>
    <col min="8738" max="8739" width="8.28515625" style="54"/>
    <col min="8740" max="8810" width="0" style="54" hidden="1" customWidth="1"/>
    <col min="8811" max="8970" width="8.28515625" style="54"/>
    <col min="8971" max="8971" width="4.5703125" style="54" customWidth="1"/>
    <col min="8972" max="8972" width="22.5703125" style="54" customWidth="1"/>
    <col min="8973" max="8973" width="3.85546875" style="54" customWidth="1"/>
    <col min="8974" max="8974" width="4.140625" style="54" bestFit="1" customWidth="1"/>
    <col min="8975" max="8975" width="9.85546875" style="54" customWidth="1"/>
    <col min="8976" max="8977" width="6.7109375" style="54" bestFit="1" customWidth="1"/>
    <col min="8978" max="8978" width="8.140625" style="54" customWidth="1"/>
    <col min="8979" max="8979" width="9.140625" style="54" customWidth="1"/>
    <col min="8980" max="8980" width="10.28515625" style="54" bestFit="1" customWidth="1"/>
    <col min="8981" max="8981" width="4" style="54" bestFit="1" customWidth="1"/>
    <col min="8982" max="8982" width="3" style="54" bestFit="1" customWidth="1"/>
    <col min="8983" max="8983" width="8.140625" style="54" customWidth="1"/>
    <col min="8984" max="8984" width="9.140625" style="54" customWidth="1"/>
    <col min="8985" max="8985" width="8.140625" style="54" bestFit="1" customWidth="1"/>
    <col min="8986" max="8986" width="8" style="54" bestFit="1" customWidth="1"/>
    <col min="8987" max="8987" width="8.5703125" style="54" bestFit="1" customWidth="1"/>
    <col min="8988" max="8988" width="6" style="54" bestFit="1" customWidth="1"/>
    <col min="8989" max="8989" width="6.7109375" style="54" bestFit="1" customWidth="1"/>
    <col min="8990" max="8991" width="0" style="54" hidden="1" customWidth="1"/>
    <col min="8992" max="8992" width="6.7109375" style="54" customWidth="1"/>
    <col min="8993" max="8993" width="9.140625" style="54" customWidth="1"/>
    <col min="8994" max="8995" width="8.28515625" style="54"/>
    <col min="8996" max="9066" width="0" style="54" hidden="1" customWidth="1"/>
    <col min="9067" max="9224" width="9.140625" style="54"/>
    <col min="9225" max="9226" width="8.28515625" style="54"/>
    <col min="9227" max="9227" width="4.5703125" style="54" customWidth="1"/>
    <col min="9228" max="9228" width="22.5703125" style="54" customWidth="1"/>
    <col min="9229" max="9229" width="3.85546875" style="54" customWidth="1"/>
    <col min="9230" max="9230" width="4.140625" style="54" bestFit="1" customWidth="1"/>
    <col min="9231" max="9231" width="9.85546875" style="54" customWidth="1"/>
    <col min="9232" max="9233" width="6.7109375" style="54" bestFit="1" customWidth="1"/>
    <col min="9234" max="9234" width="8.140625" style="54" customWidth="1"/>
    <col min="9235" max="9235" width="9.140625" style="54" customWidth="1"/>
    <col min="9236" max="9236" width="10.28515625" style="54" bestFit="1" customWidth="1"/>
    <col min="9237" max="9237" width="4" style="54" bestFit="1" customWidth="1"/>
    <col min="9238" max="9238" width="3" style="54" bestFit="1" customWidth="1"/>
    <col min="9239" max="9239" width="8.140625" style="54" customWidth="1"/>
    <col min="9240" max="9240" width="9.140625" style="54" customWidth="1"/>
    <col min="9241" max="9241" width="8.140625" style="54" bestFit="1" customWidth="1"/>
    <col min="9242" max="9242" width="8" style="54" bestFit="1" customWidth="1"/>
    <col min="9243" max="9243" width="8.5703125" style="54" bestFit="1" customWidth="1"/>
    <col min="9244" max="9244" width="6" style="54" bestFit="1" customWidth="1"/>
    <col min="9245" max="9245" width="6.7109375" style="54" bestFit="1" customWidth="1"/>
    <col min="9246" max="9247" width="0" style="54" hidden="1" customWidth="1"/>
    <col min="9248" max="9248" width="6.7109375" style="54" customWidth="1"/>
    <col min="9249" max="9249" width="9.140625" style="54" customWidth="1"/>
    <col min="9250" max="9251" width="8.28515625" style="54"/>
    <col min="9252" max="9322" width="0" style="54" hidden="1" customWidth="1"/>
    <col min="9323" max="9482" width="8.28515625" style="54"/>
    <col min="9483" max="9483" width="4.5703125" style="54" customWidth="1"/>
    <col min="9484" max="9484" width="22.5703125" style="54" customWidth="1"/>
    <col min="9485" max="9485" width="3.85546875" style="54" customWidth="1"/>
    <col min="9486" max="9486" width="4.140625" style="54" bestFit="1" customWidth="1"/>
    <col min="9487" max="9487" width="9.85546875" style="54" customWidth="1"/>
    <col min="9488" max="9489" width="6.7109375" style="54" bestFit="1" customWidth="1"/>
    <col min="9490" max="9490" width="8.140625" style="54" customWidth="1"/>
    <col min="9491" max="9491" width="9.140625" style="54" customWidth="1"/>
    <col min="9492" max="9492" width="10.28515625" style="54" bestFit="1" customWidth="1"/>
    <col min="9493" max="9493" width="4" style="54" bestFit="1" customWidth="1"/>
    <col min="9494" max="9494" width="3" style="54" bestFit="1" customWidth="1"/>
    <col min="9495" max="9495" width="8.140625" style="54" customWidth="1"/>
    <col min="9496" max="9496" width="9.140625" style="54" customWidth="1"/>
    <col min="9497" max="9497" width="8.140625" style="54" bestFit="1" customWidth="1"/>
    <col min="9498" max="9498" width="8" style="54" bestFit="1" customWidth="1"/>
    <col min="9499" max="9499" width="8.5703125" style="54" bestFit="1" customWidth="1"/>
    <col min="9500" max="9500" width="6" style="54" bestFit="1" customWidth="1"/>
    <col min="9501" max="9501" width="6.7109375" style="54" bestFit="1" customWidth="1"/>
    <col min="9502" max="9503" width="0" style="54" hidden="1" customWidth="1"/>
    <col min="9504" max="9504" width="6.7109375" style="54" customWidth="1"/>
    <col min="9505" max="9505" width="9.140625" style="54" customWidth="1"/>
    <col min="9506" max="9507" width="8.28515625" style="54"/>
    <col min="9508" max="9578" width="0" style="54" hidden="1" customWidth="1"/>
    <col min="9579" max="9738" width="8.28515625" style="54"/>
    <col min="9739" max="9739" width="4.5703125" style="54" customWidth="1"/>
    <col min="9740" max="9740" width="22.5703125" style="54" customWidth="1"/>
    <col min="9741" max="9741" width="3.85546875" style="54" customWidth="1"/>
    <col min="9742" max="9742" width="4.140625" style="54" bestFit="1" customWidth="1"/>
    <col min="9743" max="9743" width="9.85546875" style="54" customWidth="1"/>
    <col min="9744" max="9745" width="6.7109375" style="54" bestFit="1" customWidth="1"/>
    <col min="9746" max="9746" width="8.140625" style="54" customWidth="1"/>
    <col min="9747" max="9747" width="9.140625" style="54" customWidth="1"/>
    <col min="9748" max="9748" width="10.28515625" style="54" bestFit="1" customWidth="1"/>
    <col min="9749" max="9749" width="4" style="54" bestFit="1" customWidth="1"/>
    <col min="9750" max="9750" width="3" style="54" bestFit="1" customWidth="1"/>
    <col min="9751" max="9751" width="8.140625" style="54" customWidth="1"/>
    <col min="9752" max="9752" width="9.140625" style="54" customWidth="1"/>
    <col min="9753" max="9753" width="8.140625" style="54" bestFit="1" customWidth="1"/>
    <col min="9754" max="9754" width="8" style="54" bestFit="1" customWidth="1"/>
    <col min="9755" max="9755" width="8.5703125" style="54" bestFit="1" customWidth="1"/>
    <col min="9756" max="9756" width="6" style="54" bestFit="1" customWidth="1"/>
    <col min="9757" max="9757" width="6.7109375" style="54" bestFit="1" customWidth="1"/>
    <col min="9758" max="9759" width="0" style="54" hidden="1" customWidth="1"/>
    <col min="9760" max="9760" width="6.7109375" style="54" customWidth="1"/>
    <col min="9761" max="9761" width="9.140625" style="54" customWidth="1"/>
    <col min="9762" max="9763" width="8.28515625" style="54"/>
    <col min="9764" max="9834" width="0" style="54" hidden="1" customWidth="1"/>
    <col min="9835" max="9994" width="8.28515625" style="54"/>
    <col min="9995" max="9995" width="4.5703125" style="54" customWidth="1"/>
    <col min="9996" max="9996" width="22.5703125" style="54" customWidth="1"/>
    <col min="9997" max="9997" width="3.85546875" style="54" customWidth="1"/>
    <col min="9998" max="9998" width="4.140625" style="54" bestFit="1" customWidth="1"/>
    <col min="9999" max="9999" width="9.85546875" style="54" customWidth="1"/>
    <col min="10000" max="10001" width="6.7109375" style="54" bestFit="1" customWidth="1"/>
    <col min="10002" max="10002" width="8.140625" style="54" customWidth="1"/>
    <col min="10003" max="10003" width="9.140625" style="54" customWidth="1"/>
    <col min="10004" max="10004" width="10.28515625" style="54" bestFit="1" customWidth="1"/>
    <col min="10005" max="10005" width="4" style="54" bestFit="1" customWidth="1"/>
    <col min="10006" max="10006" width="3" style="54" bestFit="1" customWidth="1"/>
    <col min="10007" max="10007" width="8.140625" style="54" customWidth="1"/>
    <col min="10008" max="10008" width="9.140625" style="54" customWidth="1"/>
    <col min="10009" max="10009" width="8.140625" style="54" bestFit="1" customWidth="1"/>
    <col min="10010" max="10010" width="8" style="54" bestFit="1" customWidth="1"/>
    <col min="10011" max="10011" width="8.5703125" style="54" bestFit="1" customWidth="1"/>
    <col min="10012" max="10012" width="6" style="54" bestFit="1" customWidth="1"/>
    <col min="10013" max="10013" width="6.7109375" style="54" bestFit="1" customWidth="1"/>
    <col min="10014" max="10015" width="0" style="54" hidden="1" customWidth="1"/>
    <col min="10016" max="10016" width="6.7109375" style="54" customWidth="1"/>
    <col min="10017" max="10017" width="9.140625" style="54" customWidth="1"/>
    <col min="10018" max="10019" width="8.28515625" style="54"/>
    <col min="10020" max="10090" width="0" style="54" hidden="1" customWidth="1"/>
    <col min="10091" max="10248" width="9.140625" style="54"/>
    <col min="10249" max="10250" width="8.28515625" style="54"/>
    <col min="10251" max="10251" width="4.5703125" style="54" customWidth="1"/>
    <col min="10252" max="10252" width="22.5703125" style="54" customWidth="1"/>
    <col min="10253" max="10253" width="3.85546875" style="54" customWidth="1"/>
    <col min="10254" max="10254" width="4.140625" style="54" bestFit="1" customWidth="1"/>
    <col min="10255" max="10255" width="9.85546875" style="54" customWidth="1"/>
    <col min="10256" max="10257" width="6.7109375" style="54" bestFit="1" customWidth="1"/>
    <col min="10258" max="10258" width="8.140625" style="54" customWidth="1"/>
    <col min="10259" max="10259" width="9.140625" style="54" customWidth="1"/>
    <col min="10260" max="10260" width="10.28515625" style="54" bestFit="1" customWidth="1"/>
    <col min="10261" max="10261" width="4" style="54" bestFit="1" customWidth="1"/>
    <col min="10262" max="10262" width="3" style="54" bestFit="1" customWidth="1"/>
    <col min="10263" max="10263" width="8.140625" style="54" customWidth="1"/>
    <col min="10264" max="10264" width="9.140625" style="54" customWidth="1"/>
    <col min="10265" max="10265" width="8.140625" style="54" bestFit="1" customWidth="1"/>
    <col min="10266" max="10266" width="8" style="54" bestFit="1" customWidth="1"/>
    <col min="10267" max="10267" width="8.5703125" style="54" bestFit="1" customWidth="1"/>
    <col min="10268" max="10268" width="6" style="54" bestFit="1" customWidth="1"/>
    <col min="10269" max="10269" width="6.7109375" style="54" bestFit="1" customWidth="1"/>
    <col min="10270" max="10271" width="0" style="54" hidden="1" customWidth="1"/>
    <col min="10272" max="10272" width="6.7109375" style="54" customWidth="1"/>
    <col min="10273" max="10273" width="9.140625" style="54" customWidth="1"/>
    <col min="10274" max="10275" width="8.28515625" style="54"/>
    <col min="10276" max="10346" width="0" style="54" hidden="1" customWidth="1"/>
    <col min="10347" max="10506" width="8.28515625" style="54"/>
    <col min="10507" max="10507" width="4.5703125" style="54" customWidth="1"/>
    <col min="10508" max="10508" width="22.5703125" style="54" customWidth="1"/>
    <col min="10509" max="10509" width="3.85546875" style="54" customWidth="1"/>
    <col min="10510" max="10510" width="4.140625" style="54" bestFit="1" customWidth="1"/>
    <col min="10511" max="10511" width="9.85546875" style="54" customWidth="1"/>
    <col min="10512" max="10513" width="6.7109375" style="54" bestFit="1" customWidth="1"/>
    <col min="10514" max="10514" width="8.140625" style="54" customWidth="1"/>
    <col min="10515" max="10515" width="9.140625" style="54" customWidth="1"/>
    <col min="10516" max="10516" width="10.28515625" style="54" bestFit="1" customWidth="1"/>
    <col min="10517" max="10517" width="4" style="54" bestFit="1" customWidth="1"/>
    <col min="10518" max="10518" width="3" style="54" bestFit="1" customWidth="1"/>
    <col min="10519" max="10519" width="8.140625" style="54" customWidth="1"/>
    <col min="10520" max="10520" width="9.140625" style="54" customWidth="1"/>
    <col min="10521" max="10521" width="8.140625" style="54" bestFit="1" customWidth="1"/>
    <col min="10522" max="10522" width="8" style="54" bestFit="1" customWidth="1"/>
    <col min="10523" max="10523" width="8.5703125" style="54" bestFit="1" customWidth="1"/>
    <col min="10524" max="10524" width="6" style="54" bestFit="1" customWidth="1"/>
    <col min="10525" max="10525" width="6.7109375" style="54" bestFit="1" customWidth="1"/>
    <col min="10526" max="10527" width="0" style="54" hidden="1" customWidth="1"/>
    <col min="10528" max="10528" width="6.7109375" style="54" customWidth="1"/>
    <col min="10529" max="10529" width="9.140625" style="54" customWidth="1"/>
    <col min="10530" max="10531" width="8.28515625" style="54"/>
    <col min="10532" max="10602" width="0" style="54" hidden="1" customWidth="1"/>
    <col min="10603" max="10762" width="8.28515625" style="54"/>
    <col min="10763" max="10763" width="4.5703125" style="54" customWidth="1"/>
    <col min="10764" max="10764" width="22.5703125" style="54" customWidth="1"/>
    <col min="10765" max="10765" width="3.85546875" style="54" customWidth="1"/>
    <col min="10766" max="10766" width="4.140625" style="54" bestFit="1" customWidth="1"/>
    <col min="10767" max="10767" width="9.85546875" style="54" customWidth="1"/>
    <col min="10768" max="10769" width="6.7109375" style="54" bestFit="1" customWidth="1"/>
    <col min="10770" max="10770" width="8.140625" style="54" customWidth="1"/>
    <col min="10771" max="10771" width="9.140625" style="54" customWidth="1"/>
    <col min="10772" max="10772" width="10.28515625" style="54" bestFit="1" customWidth="1"/>
    <col min="10773" max="10773" width="4" style="54" bestFit="1" customWidth="1"/>
    <col min="10774" max="10774" width="3" style="54" bestFit="1" customWidth="1"/>
    <col min="10775" max="10775" width="8.140625" style="54" customWidth="1"/>
    <col min="10776" max="10776" width="9.140625" style="54" customWidth="1"/>
    <col min="10777" max="10777" width="8.140625" style="54" bestFit="1" customWidth="1"/>
    <col min="10778" max="10778" width="8" style="54" bestFit="1" customWidth="1"/>
    <col min="10779" max="10779" width="8.5703125" style="54" bestFit="1" customWidth="1"/>
    <col min="10780" max="10780" width="6" style="54" bestFit="1" customWidth="1"/>
    <col min="10781" max="10781" width="6.7109375" style="54" bestFit="1" customWidth="1"/>
    <col min="10782" max="10783" width="0" style="54" hidden="1" customWidth="1"/>
    <col min="10784" max="10784" width="6.7109375" style="54" customWidth="1"/>
    <col min="10785" max="10785" width="9.140625" style="54" customWidth="1"/>
    <col min="10786" max="10787" width="8.28515625" style="54"/>
    <col min="10788" max="10858" width="0" style="54" hidden="1" customWidth="1"/>
    <col min="10859" max="11018" width="8.28515625" style="54"/>
    <col min="11019" max="11019" width="4.5703125" style="54" customWidth="1"/>
    <col min="11020" max="11020" width="22.5703125" style="54" customWidth="1"/>
    <col min="11021" max="11021" width="3.85546875" style="54" customWidth="1"/>
    <col min="11022" max="11022" width="4.140625" style="54" bestFit="1" customWidth="1"/>
    <col min="11023" max="11023" width="9.85546875" style="54" customWidth="1"/>
    <col min="11024" max="11025" width="6.7109375" style="54" bestFit="1" customWidth="1"/>
    <col min="11026" max="11026" width="8.140625" style="54" customWidth="1"/>
    <col min="11027" max="11027" width="9.140625" style="54" customWidth="1"/>
    <col min="11028" max="11028" width="10.28515625" style="54" bestFit="1" customWidth="1"/>
    <col min="11029" max="11029" width="4" style="54" bestFit="1" customWidth="1"/>
    <col min="11030" max="11030" width="3" style="54" bestFit="1" customWidth="1"/>
    <col min="11031" max="11031" width="8.140625" style="54" customWidth="1"/>
    <col min="11032" max="11032" width="9.140625" style="54" customWidth="1"/>
    <col min="11033" max="11033" width="8.140625" style="54" bestFit="1" customWidth="1"/>
    <col min="11034" max="11034" width="8" style="54" bestFit="1" customWidth="1"/>
    <col min="11035" max="11035" width="8.5703125" style="54" bestFit="1" customWidth="1"/>
    <col min="11036" max="11036" width="6" style="54" bestFit="1" customWidth="1"/>
    <col min="11037" max="11037" width="6.7109375" style="54" bestFit="1" customWidth="1"/>
    <col min="11038" max="11039" width="0" style="54" hidden="1" customWidth="1"/>
    <col min="11040" max="11040" width="6.7109375" style="54" customWidth="1"/>
    <col min="11041" max="11041" width="9.140625" style="54" customWidth="1"/>
    <col min="11042" max="11043" width="8.28515625" style="54"/>
    <col min="11044" max="11114" width="0" style="54" hidden="1" customWidth="1"/>
    <col min="11115" max="11272" width="9.140625" style="54"/>
    <col min="11273" max="11274" width="8.28515625" style="54"/>
    <col min="11275" max="11275" width="4.5703125" style="54" customWidth="1"/>
    <col min="11276" max="11276" width="22.5703125" style="54" customWidth="1"/>
    <col min="11277" max="11277" width="3.85546875" style="54" customWidth="1"/>
    <col min="11278" max="11278" width="4.140625" style="54" bestFit="1" customWidth="1"/>
    <col min="11279" max="11279" width="9.85546875" style="54" customWidth="1"/>
    <col min="11280" max="11281" width="6.7109375" style="54" bestFit="1" customWidth="1"/>
    <col min="11282" max="11282" width="8.140625" style="54" customWidth="1"/>
    <col min="11283" max="11283" width="9.140625" style="54" customWidth="1"/>
    <col min="11284" max="11284" width="10.28515625" style="54" bestFit="1" customWidth="1"/>
    <col min="11285" max="11285" width="4" style="54" bestFit="1" customWidth="1"/>
    <col min="11286" max="11286" width="3" style="54" bestFit="1" customWidth="1"/>
    <col min="11287" max="11287" width="8.140625" style="54" customWidth="1"/>
    <col min="11288" max="11288" width="9.140625" style="54" customWidth="1"/>
    <col min="11289" max="11289" width="8.140625" style="54" bestFit="1" customWidth="1"/>
    <col min="11290" max="11290" width="8" style="54" bestFit="1" customWidth="1"/>
    <col min="11291" max="11291" width="8.5703125" style="54" bestFit="1" customWidth="1"/>
    <col min="11292" max="11292" width="6" style="54" bestFit="1" customWidth="1"/>
    <col min="11293" max="11293" width="6.7109375" style="54" bestFit="1" customWidth="1"/>
    <col min="11294" max="11295" width="0" style="54" hidden="1" customWidth="1"/>
    <col min="11296" max="11296" width="6.7109375" style="54" customWidth="1"/>
    <col min="11297" max="11297" width="9.140625" style="54" customWidth="1"/>
    <col min="11298" max="11299" width="8.28515625" style="54"/>
    <col min="11300" max="11370" width="0" style="54" hidden="1" customWidth="1"/>
    <col min="11371" max="11530" width="8.28515625" style="54"/>
    <col min="11531" max="11531" width="4.5703125" style="54" customWidth="1"/>
    <col min="11532" max="11532" width="22.5703125" style="54" customWidth="1"/>
    <col min="11533" max="11533" width="3.85546875" style="54" customWidth="1"/>
    <col min="11534" max="11534" width="4.140625" style="54" bestFit="1" customWidth="1"/>
    <col min="11535" max="11535" width="9.85546875" style="54" customWidth="1"/>
    <col min="11536" max="11537" width="6.7109375" style="54" bestFit="1" customWidth="1"/>
    <col min="11538" max="11538" width="8.140625" style="54" customWidth="1"/>
    <col min="11539" max="11539" width="9.140625" style="54" customWidth="1"/>
    <col min="11540" max="11540" width="10.28515625" style="54" bestFit="1" customWidth="1"/>
    <col min="11541" max="11541" width="4" style="54" bestFit="1" customWidth="1"/>
    <col min="11542" max="11542" width="3" style="54" bestFit="1" customWidth="1"/>
    <col min="11543" max="11543" width="8.140625" style="54" customWidth="1"/>
    <col min="11544" max="11544" width="9.140625" style="54" customWidth="1"/>
    <col min="11545" max="11545" width="8.140625" style="54" bestFit="1" customWidth="1"/>
    <col min="11546" max="11546" width="8" style="54" bestFit="1" customWidth="1"/>
    <col min="11547" max="11547" width="8.5703125" style="54" bestFit="1" customWidth="1"/>
    <col min="11548" max="11548" width="6" style="54" bestFit="1" customWidth="1"/>
    <col min="11549" max="11549" width="6.7109375" style="54" bestFit="1" customWidth="1"/>
    <col min="11550" max="11551" width="0" style="54" hidden="1" customWidth="1"/>
    <col min="11552" max="11552" width="6.7109375" style="54" customWidth="1"/>
    <col min="11553" max="11553" width="9.140625" style="54" customWidth="1"/>
    <col min="11554" max="11555" width="8.28515625" style="54"/>
    <col min="11556" max="11626" width="0" style="54" hidden="1" customWidth="1"/>
    <col min="11627" max="11786" width="8.28515625" style="54"/>
    <col min="11787" max="11787" width="4.5703125" style="54" customWidth="1"/>
    <col min="11788" max="11788" width="22.5703125" style="54" customWidth="1"/>
    <col min="11789" max="11789" width="3.85546875" style="54" customWidth="1"/>
    <col min="11790" max="11790" width="4.140625" style="54" bestFit="1" customWidth="1"/>
    <col min="11791" max="11791" width="9.85546875" style="54" customWidth="1"/>
    <col min="11792" max="11793" width="6.7109375" style="54" bestFit="1" customWidth="1"/>
    <col min="11794" max="11794" width="8.140625" style="54" customWidth="1"/>
    <col min="11795" max="11795" width="9.140625" style="54" customWidth="1"/>
    <col min="11796" max="11796" width="10.28515625" style="54" bestFit="1" customWidth="1"/>
    <col min="11797" max="11797" width="4" style="54" bestFit="1" customWidth="1"/>
    <col min="11798" max="11798" width="3" style="54" bestFit="1" customWidth="1"/>
    <col min="11799" max="11799" width="8.140625" style="54" customWidth="1"/>
    <col min="11800" max="11800" width="9.140625" style="54" customWidth="1"/>
    <col min="11801" max="11801" width="8.140625" style="54" bestFit="1" customWidth="1"/>
    <col min="11802" max="11802" width="8" style="54" bestFit="1" customWidth="1"/>
    <col min="11803" max="11803" width="8.5703125" style="54" bestFit="1" customWidth="1"/>
    <col min="11804" max="11804" width="6" style="54" bestFit="1" customWidth="1"/>
    <col min="11805" max="11805" width="6.7109375" style="54" bestFit="1" customWidth="1"/>
    <col min="11806" max="11807" width="0" style="54" hidden="1" customWidth="1"/>
    <col min="11808" max="11808" width="6.7109375" style="54" customWidth="1"/>
    <col min="11809" max="11809" width="9.140625" style="54" customWidth="1"/>
    <col min="11810" max="11811" width="8.28515625" style="54"/>
    <col min="11812" max="11882" width="0" style="54" hidden="1" customWidth="1"/>
    <col min="11883" max="12042" width="8.28515625" style="54"/>
    <col min="12043" max="12043" width="4.5703125" style="54" customWidth="1"/>
    <col min="12044" max="12044" width="22.5703125" style="54" customWidth="1"/>
    <col min="12045" max="12045" width="3.85546875" style="54" customWidth="1"/>
    <col min="12046" max="12046" width="4.140625" style="54" bestFit="1" customWidth="1"/>
    <col min="12047" max="12047" width="9.85546875" style="54" customWidth="1"/>
    <col min="12048" max="12049" width="6.7109375" style="54" bestFit="1" customWidth="1"/>
    <col min="12050" max="12050" width="8.140625" style="54" customWidth="1"/>
    <col min="12051" max="12051" width="9.140625" style="54" customWidth="1"/>
    <col min="12052" max="12052" width="10.28515625" style="54" bestFit="1" customWidth="1"/>
    <col min="12053" max="12053" width="4" style="54" bestFit="1" customWidth="1"/>
    <col min="12054" max="12054" width="3" style="54" bestFit="1" customWidth="1"/>
    <col min="12055" max="12055" width="8.140625" style="54" customWidth="1"/>
    <col min="12056" max="12056" width="9.140625" style="54" customWidth="1"/>
    <col min="12057" max="12057" width="8.140625" style="54" bestFit="1" customWidth="1"/>
    <col min="12058" max="12058" width="8" style="54" bestFit="1" customWidth="1"/>
    <col min="12059" max="12059" width="8.5703125" style="54" bestFit="1" customWidth="1"/>
    <col min="12060" max="12060" width="6" style="54" bestFit="1" customWidth="1"/>
    <col min="12061" max="12061" width="6.7109375" style="54" bestFit="1" customWidth="1"/>
    <col min="12062" max="12063" width="0" style="54" hidden="1" customWidth="1"/>
    <col min="12064" max="12064" width="6.7109375" style="54" customWidth="1"/>
    <col min="12065" max="12065" width="9.140625" style="54" customWidth="1"/>
    <col min="12066" max="12067" width="8.28515625" style="54"/>
    <col min="12068" max="12138" width="0" style="54" hidden="1" customWidth="1"/>
    <col min="12139" max="12296" width="9.140625" style="54"/>
    <col min="12297" max="12298" width="8.28515625" style="54"/>
    <col min="12299" max="12299" width="4.5703125" style="54" customWidth="1"/>
    <col min="12300" max="12300" width="22.5703125" style="54" customWidth="1"/>
    <col min="12301" max="12301" width="3.85546875" style="54" customWidth="1"/>
    <col min="12302" max="12302" width="4.140625" style="54" bestFit="1" customWidth="1"/>
    <col min="12303" max="12303" width="9.85546875" style="54" customWidth="1"/>
    <col min="12304" max="12305" width="6.7109375" style="54" bestFit="1" customWidth="1"/>
    <col min="12306" max="12306" width="8.140625" style="54" customWidth="1"/>
    <col min="12307" max="12307" width="9.140625" style="54" customWidth="1"/>
    <col min="12308" max="12308" width="10.28515625" style="54" bestFit="1" customWidth="1"/>
    <col min="12309" max="12309" width="4" style="54" bestFit="1" customWidth="1"/>
    <col min="12310" max="12310" width="3" style="54" bestFit="1" customWidth="1"/>
    <col min="12311" max="12311" width="8.140625" style="54" customWidth="1"/>
    <col min="12312" max="12312" width="9.140625" style="54" customWidth="1"/>
    <col min="12313" max="12313" width="8.140625" style="54" bestFit="1" customWidth="1"/>
    <col min="12314" max="12314" width="8" style="54" bestFit="1" customWidth="1"/>
    <col min="12315" max="12315" width="8.5703125" style="54" bestFit="1" customWidth="1"/>
    <col min="12316" max="12316" width="6" style="54" bestFit="1" customWidth="1"/>
    <col min="12317" max="12317" width="6.7109375" style="54" bestFit="1" customWidth="1"/>
    <col min="12318" max="12319" width="0" style="54" hidden="1" customWidth="1"/>
    <col min="12320" max="12320" width="6.7109375" style="54" customWidth="1"/>
    <col min="12321" max="12321" width="9.140625" style="54" customWidth="1"/>
    <col min="12322" max="12323" width="8.28515625" style="54"/>
    <col min="12324" max="12394" width="0" style="54" hidden="1" customWidth="1"/>
    <col min="12395" max="12554" width="8.28515625" style="54"/>
    <col min="12555" max="12555" width="4.5703125" style="54" customWidth="1"/>
    <col min="12556" max="12556" width="22.5703125" style="54" customWidth="1"/>
    <col min="12557" max="12557" width="3.85546875" style="54" customWidth="1"/>
    <col min="12558" max="12558" width="4.140625" style="54" bestFit="1" customWidth="1"/>
    <col min="12559" max="12559" width="9.85546875" style="54" customWidth="1"/>
    <col min="12560" max="12561" width="6.7109375" style="54" bestFit="1" customWidth="1"/>
    <col min="12562" max="12562" width="8.140625" style="54" customWidth="1"/>
    <col min="12563" max="12563" width="9.140625" style="54" customWidth="1"/>
    <col min="12564" max="12564" width="10.28515625" style="54" bestFit="1" customWidth="1"/>
    <col min="12565" max="12565" width="4" style="54" bestFit="1" customWidth="1"/>
    <col min="12566" max="12566" width="3" style="54" bestFit="1" customWidth="1"/>
    <col min="12567" max="12567" width="8.140625" style="54" customWidth="1"/>
    <col min="12568" max="12568" width="9.140625" style="54" customWidth="1"/>
    <col min="12569" max="12569" width="8.140625" style="54" bestFit="1" customWidth="1"/>
    <col min="12570" max="12570" width="8" style="54" bestFit="1" customWidth="1"/>
    <col min="12571" max="12571" width="8.5703125" style="54" bestFit="1" customWidth="1"/>
    <col min="12572" max="12572" width="6" style="54" bestFit="1" customWidth="1"/>
    <col min="12573" max="12573" width="6.7109375" style="54" bestFit="1" customWidth="1"/>
    <col min="12574" max="12575" width="0" style="54" hidden="1" customWidth="1"/>
    <col min="12576" max="12576" width="6.7109375" style="54" customWidth="1"/>
    <col min="12577" max="12577" width="9.140625" style="54" customWidth="1"/>
    <col min="12578" max="12579" width="8.28515625" style="54"/>
    <col min="12580" max="12650" width="0" style="54" hidden="1" customWidth="1"/>
    <col min="12651" max="12810" width="8.28515625" style="54"/>
    <col min="12811" max="12811" width="4.5703125" style="54" customWidth="1"/>
    <col min="12812" max="12812" width="22.5703125" style="54" customWidth="1"/>
    <col min="12813" max="12813" width="3.85546875" style="54" customWidth="1"/>
    <col min="12814" max="12814" width="4.140625" style="54" bestFit="1" customWidth="1"/>
    <col min="12815" max="12815" width="9.85546875" style="54" customWidth="1"/>
    <col min="12816" max="12817" width="6.7109375" style="54" bestFit="1" customWidth="1"/>
    <col min="12818" max="12818" width="8.140625" style="54" customWidth="1"/>
    <col min="12819" max="12819" width="9.140625" style="54" customWidth="1"/>
    <col min="12820" max="12820" width="10.28515625" style="54" bestFit="1" customWidth="1"/>
    <col min="12821" max="12821" width="4" style="54" bestFit="1" customWidth="1"/>
    <col min="12822" max="12822" width="3" style="54" bestFit="1" customWidth="1"/>
    <col min="12823" max="12823" width="8.140625" style="54" customWidth="1"/>
    <col min="12824" max="12824" width="9.140625" style="54" customWidth="1"/>
    <col min="12825" max="12825" width="8.140625" style="54" bestFit="1" customWidth="1"/>
    <col min="12826" max="12826" width="8" style="54" bestFit="1" customWidth="1"/>
    <col min="12827" max="12827" width="8.5703125" style="54" bestFit="1" customWidth="1"/>
    <col min="12828" max="12828" width="6" style="54" bestFit="1" customWidth="1"/>
    <col min="12829" max="12829" width="6.7109375" style="54" bestFit="1" customWidth="1"/>
    <col min="12830" max="12831" width="0" style="54" hidden="1" customWidth="1"/>
    <col min="12832" max="12832" width="6.7109375" style="54" customWidth="1"/>
    <col min="12833" max="12833" width="9.140625" style="54" customWidth="1"/>
    <col min="12834" max="12835" width="8.28515625" style="54"/>
    <col min="12836" max="12906" width="0" style="54" hidden="1" customWidth="1"/>
    <col min="12907" max="13066" width="8.28515625" style="54"/>
    <col min="13067" max="13067" width="4.5703125" style="54" customWidth="1"/>
    <col min="13068" max="13068" width="22.5703125" style="54" customWidth="1"/>
    <col min="13069" max="13069" width="3.85546875" style="54" customWidth="1"/>
    <col min="13070" max="13070" width="4.140625" style="54" bestFit="1" customWidth="1"/>
    <col min="13071" max="13071" width="9.85546875" style="54" customWidth="1"/>
    <col min="13072" max="13073" width="6.7109375" style="54" bestFit="1" customWidth="1"/>
    <col min="13074" max="13074" width="8.140625" style="54" customWidth="1"/>
    <col min="13075" max="13075" width="9.140625" style="54" customWidth="1"/>
    <col min="13076" max="13076" width="10.28515625" style="54" bestFit="1" customWidth="1"/>
    <col min="13077" max="13077" width="4" style="54" bestFit="1" customWidth="1"/>
    <col min="13078" max="13078" width="3" style="54" bestFit="1" customWidth="1"/>
    <col min="13079" max="13079" width="8.140625" style="54" customWidth="1"/>
    <col min="13080" max="13080" width="9.140625" style="54" customWidth="1"/>
    <col min="13081" max="13081" width="8.140625" style="54" bestFit="1" customWidth="1"/>
    <col min="13082" max="13082" width="8" style="54" bestFit="1" customWidth="1"/>
    <col min="13083" max="13083" width="8.5703125" style="54" bestFit="1" customWidth="1"/>
    <col min="13084" max="13084" width="6" style="54" bestFit="1" customWidth="1"/>
    <col min="13085" max="13085" width="6.7109375" style="54" bestFit="1" customWidth="1"/>
    <col min="13086" max="13087" width="0" style="54" hidden="1" customWidth="1"/>
    <col min="13088" max="13088" width="6.7109375" style="54" customWidth="1"/>
    <col min="13089" max="13089" width="9.140625" style="54" customWidth="1"/>
    <col min="13090" max="13091" width="8.28515625" style="54"/>
    <col min="13092" max="13162" width="0" style="54" hidden="1" customWidth="1"/>
    <col min="13163" max="13320" width="9.140625" style="54"/>
    <col min="13321" max="13322" width="8.28515625" style="54"/>
    <col min="13323" max="13323" width="4.5703125" style="54" customWidth="1"/>
    <col min="13324" max="13324" width="22.5703125" style="54" customWidth="1"/>
    <col min="13325" max="13325" width="3.85546875" style="54" customWidth="1"/>
    <col min="13326" max="13326" width="4.140625" style="54" bestFit="1" customWidth="1"/>
    <col min="13327" max="13327" width="9.85546875" style="54" customWidth="1"/>
    <col min="13328" max="13329" width="6.7109375" style="54" bestFit="1" customWidth="1"/>
    <col min="13330" max="13330" width="8.140625" style="54" customWidth="1"/>
    <col min="13331" max="13331" width="9.140625" style="54" customWidth="1"/>
    <col min="13332" max="13332" width="10.28515625" style="54" bestFit="1" customWidth="1"/>
    <col min="13333" max="13333" width="4" style="54" bestFit="1" customWidth="1"/>
    <col min="13334" max="13334" width="3" style="54" bestFit="1" customWidth="1"/>
    <col min="13335" max="13335" width="8.140625" style="54" customWidth="1"/>
    <col min="13336" max="13336" width="9.140625" style="54" customWidth="1"/>
    <col min="13337" max="13337" width="8.140625" style="54" bestFit="1" customWidth="1"/>
    <col min="13338" max="13338" width="8" style="54" bestFit="1" customWidth="1"/>
    <col min="13339" max="13339" width="8.5703125" style="54" bestFit="1" customWidth="1"/>
    <col min="13340" max="13340" width="6" style="54" bestFit="1" customWidth="1"/>
    <col min="13341" max="13341" width="6.7109375" style="54" bestFit="1" customWidth="1"/>
    <col min="13342" max="13343" width="0" style="54" hidden="1" customWidth="1"/>
    <col min="13344" max="13344" width="6.7109375" style="54" customWidth="1"/>
    <col min="13345" max="13345" width="9.140625" style="54" customWidth="1"/>
    <col min="13346" max="13347" width="8.28515625" style="54"/>
    <col min="13348" max="13418" width="0" style="54" hidden="1" customWidth="1"/>
    <col min="13419" max="13578" width="8.28515625" style="54"/>
    <col min="13579" max="13579" width="4.5703125" style="54" customWidth="1"/>
    <col min="13580" max="13580" width="22.5703125" style="54" customWidth="1"/>
    <col min="13581" max="13581" width="3.85546875" style="54" customWidth="1"/>
    <col min="13582" max="13582" width="4.140625" style="54" bestFit="1" customWidth="1"/>
    <col min="13583" max="13583" width="9.85546875" style="54" customWidth="1"/>
    <col min="13584" max="13585" width="6.7109375" style="54" bestFit="1" customWidth="1"/>
    <col min="13586" max="13586" width="8.140625" style="54" customWidth="1"/>
    <col min="13587" max="13587" width="9.140625" style="54" customWidth="1"/>
    <col min="13588" max="13588" width="10.28515625" style="54" bestFit="1" customWidth="1"/>
    <col min="13589" max="13589" width="4" style="54" bestFit="1" customWidth="1"/>
    <col min="13590" max="13590" width="3" style="54" bestFit="1" customWidth="1"/>
    <col min="13591" max="13591" width="8.140625" style="54" customWidth="1"/>
    <col min="13592" max="13592" width="9.140625" style="54" customWidth="1"/>
    <col min="13593" max="13593" width="8.140625" style="54" bestFit="1" customWidth="1"/>
    <col min="13594" max="13594" width="8" style="54" bestFit="1" customWidth="1"/>
    <col min="13595" max="13595" width="8.5703125" style="54" bestFit="1" customWidth="1"/>
    <col min="13596" max="13596" width="6" style="54" bestFit="1" customWidth="1"/>
    <col min="13597" max="13597" width="6.7109375" style="54" bestFit="1" customWidth="1"/>
    <col min="13598" max="13599" width="0" style="54" hidden="1" customWidth="1"/>
    <col min="13600" max="13600" width="6.7109375" style="54" customWidth="1"/>
    <col min="13601" max="13601" width="9.140625" style="54" customWidth="1"/>
    <col min="13602" max="13603" width="8.28515625" style="54"/>
    <col min="13604" max="13674" width="0" style="54" hidden="1" customWidth="1"/>
    <col min="13675" max="13834" width="8.28515625" style="54"/>
    <col min="13835" max="13835" width="4.5703125" style="54" customWidth="1"/>
    <col min="13836" max="13836" width="22.5703125" style="54" customWidth="1"/>
    <col min="13837" max="13837" width="3.85546875" style="54" customWidth="1"/>
    <col min="13838" max="13838" width="4.140625" style="54" bestFit="1" customWidth="1"/>
    <col min="13839" max="13839" width="9.85546875" style="54" customWidth="1"/>
    <col min="13840" max="13841" width="6.7109375" style="54" bestFit="1" customWidth="1"/>
    <col min="13842" max="13842" width="8.140625" style="54" customWidth="1"/>
    <col min="13843" max="13843" width="9.140625" style="54" customWidth="1"/>
    <col min="13844" max="13844" width="10.28515625" style="54" bestFit="1" customWidth="1"/>
    <col min="13845" max="13845" width="4" style="54" bestFit="1" customWidth="1"/>
    <col min="13846" max="13846" width="3" style="54" bestFit="1" customWidth="1"/>
    <col min="13847" max="13847" width="8.140625" style="54" customWidth="1"/>
    <col min="13848" max="13848" width="9.140625" style="54" customWidth="1"/>
    <col min="13849" max="13849" width="8.140625" style="54" bestFit="1" customWidth="1"/>
    <col min="13850" max="13850" width="8" style="54" bestFit="1" customWidth="1"/>
    <col min="13851" max="13851" width="8.5703125" style="54" bestFit="1" customWidth="1"/>
    <col min="13852" max="13852" width="6" style="54" bestFit="1" customWidth="1"/>
    <col min="13853" max="13853" width="6.7109375" style="54" bestFit="1" customWidth="1"/>
    <col min="13854" max="13855" width="0" style="54" hidden="1" customWidth="1"/>
    <col min="13856" max="13856" width="6.7109375" style="54" customWidth="1"/>
    <col min="13857" max="13857" width="9.140625" style="54" customWidth="1"/>
    <col min="13858" max="13859" width="8.28515625" style="54"/>
    <col min="13860" max="13930" width="0" style="54" hidden="1" customWidth="1"/>
    <col min="13931" max="14090" width="8.28515625" style="54"/>
    <col min="14091" max="14091" width="4.5703125" style="54" customWidth="1"/>
    <col min="14092" max="14092" width="22.5703125" style="54" customWidth="1"/>
    <col min="14093" max="14093" width="3.85546875" style="54" customWidth="1"/>
    <col min="14094" max="14094" width="4.140625" style="54" bestFit="1" customWidth="1"/>
    <col min="14095" max="14095" width="9.85546875" style="54" customWidth="1"/>
    <col min="14096" max="14097" width="6.7109375" style="54" bestFit="1" customWidth="1"/>
    <col min="14098" max="14098" width="8.140625" style="54" customWidth="1"/>
    <col min="14099" max="14099" width="9.140625" style="54" customWidth="1"/>
    <col min="14100" max="14100" width="10.28515625" style="54" bestFit="1" customWidth="1"/>
    <col min="14101" max="14101" width="4" style="54" bestFit="1" customWidth="1"/>
    <col min="14102" max="14102" width="3" style="54" bestFit="1" customWidth="1"/>
    <col min="14103" max="14103" width="8.140625" style="54" customWidth="1"/>
    <col min="14104" max="14104" width="9.140625" style="54" customWidth="1"/>
    <col min="14105" max="14105" width="8.140625" style="54" bestFit="1" customWidth="1"/>
    <col min="14106" max="14106" width="8" style="54" bestFit="1" customWidth="1"/>
    <col min="14107" max="14107" width="8.5703125" style="54" bestFit="1" customWidth="1"/>
    <col min="14108" max="14108" width="6" style="54" bestFit="1" customWidth="1"/>
    <col min="14109" max="14109" width="6.7109375" style="54" bestFit="1" customWidth="1"/>
    <col min="14110" max="14111" width="0" style="54" hidden="1" customWidth="1"/>
    <col min="14112" max="14112" width="6.7109375" style="54" customWidth="1"/>
    <col min="14113" max="14113" width="9.140625" style="54" customWidth="1"/>
    <col min="14114" max="14115" width="8.28515625" style="54"/>
    <col min="14116" max="14186" width="0" style="54" hidden="1" customWidth="1"/>
    <col min="14187" max="14344" width="9.140625" style="54"/>
    <col min="14345" max="14346" width="8.28515625" style="54"/>
    <col min="14347" max="14347" width="4.5703125" style="54" customWidth="1"/>
    <col min="14348" max="14348" width="22.5703125" style="54" customWidth="1"/>
    <col min="14349" max="14349" width="3.85546875" style="54" customWidth="1"/>
    <col min="14350" max="14350" width="4.140625" style="54" bestFit="1" customWidth="1"/>
    <col min="14351" max="14351" width="9.85546875" style="54" customWidth="1"/>
    <col min="14352" max="14353" width="6.7109375" style="54" bestFit="1" customWidth="1"/>
    <col min="14354" max="14354" width="8.140625" style="54" customWidth="1"/>
    <col min="14355" max="14355" width="9.140625" style="54" customWidth="1"/>
    <col min="14356" max="14356" width="10.28515625" style="54" bestFit="1" customWidth="1"/>
    <col min="14357" max="14357" width="4" style="54" bestFit="1" customWidth="1"/>
    <col min="14358" max="14358" width="3" style="54" bestFit="1" customWidth="1"/>
    <col min="14359" max="14359" width="8.140625" style="54" customWidth="1"/>
    <col min="14360" max="14360" width="9.140625" style="54" customWidth="1"/>
    <col min="14361" max="14361" width="8.140625" style="54" bestFit="1" customWidth="1"/>
    <col min="14362" max="14362" width="8" style="54" bestFit="1" customWidth="1"/>
    <col min="14363" max="14363" width="8.5703125" style="54" bestFit="1" customWidth="1"/>
    <col min="14364" max="14364" width="6" style="54" bestFit="1" customWidth="1"/>
    <col min="14365" max="14365" width="6.7109375" style="54" bestFit="1" customWidth="1"/>
    <col min="14366" max="14367" width="0" style="54" hidden="1" customWidth="1"/>
    <col min="14368" max="14368" width="6.7109375" style="54" customWidth="1"/>
    <col min="14369" max="14369" width="9.140625" style="54" customWidth="1"/>
    <col min="14370" max="14371" width="8.28515625" style="54"/>
    <col min="14372" max="14442" width="0" style="54" hidden="1" customWidth="1"/>
    <col min="14443" max="14602" width="8.28515625" style="54"/>
    <col min="14603" max="14603" width="4.5703125" style="54" customWidth="1"/>
    <col min="14604" max="14604" width="22.5703125" style="54" customWidth="1"/>
    <col min="14605" max="14605" width="3.85546875" style="54" customWidth="1"/>
    <col min="14606" max="14606" width="4.140625" style="54" bestFit="1" customWidth="1"/>
    <col min="14607" max="14607" width="9.85546875" style="54" customWidth="1"/>
    <col min="14608" max="14609" width="6.7109375" style="54" bestFit="1" customWidth="1"/>
    <col min="14610" max="14610" width="8.140625" style="54" customWidth="1"/>
    <col min="14611" max="14611" width="9.140625" style="54" customWidth="1"/>
    <col min="14612" max="14612" width="10.28515625" style="54" bestFit="1" customWidth="1"/>
    <col min="14613" max="14613" width="4" style="54" bestFit="1" customWidth="1"/>
    <col min="14614" max="14614" width="3" style="54" bestFit="1" customWidth="1"/>
    <col min="14615" max="14615" width="8.140625" style="54" customWidth="1"/>
    <col min="14616" max="14616" width="9.140625" style="54" customWidth="1"/>
    <col min="14617" max="14617" width="8.140625" style="54" bestFit="1" customWidth="1"/>
    <col min="14618" max="14618" width="8" style="54" bestFit="1" customWidth="1"/>
    <col min="14619" max="14619" width="8.5703125" style="54" bestFit="1" customWidth="1"/>
    <col min="14620" max="14620" width="6" style="54" bestFit="1" customWidth="1"/>
    <col min="14621" max="14621" width="6.7109375" style="54" bestFit="1" customWidth="1"/>
    <col min="14622" max="14623" width="0" style="54" hidden="1" customWidth="1"/>
    <col min="14624" max="14624" width="6.7109375" style="54" customWidth="1"/>
    <col min="14625" max="14625" width="9.140625" style="54" customWidth="1"/>
    <col min="14626" max="14627" width="8.28515625" style="54"/>
    <col min="14628" max="14698" width="0" style="54" hidden="1" customWidth="1"/>
    <col min="14699" max="14858" width="8.28515625" style="54"/>
    <col min="14859" max="14859" width="4.5703125" style="54" customWidth="1"/>
    <col min="14860" max="14860" width="22.5703125" style="54" customWidth="1"/>
    <col min="14861" max="14861" width="3.85546875" style="54" customWidth="1"/>
    <col min="14862" max="14862" width="4.140625" style="54" bestFit="1" customWidth="1"/>
    <col min="14863" max="14863" width="9.85546875" style="54" customWidth="1"/>
    <col min="14864" max="14865" width="6.7109375" style="54" bestFit="1" customWidth="1"/>
    <col min="14866" max="14866" width="8.140625" style="54" customWidth="1"/>
    <col min="14867" max="14867" width="9.140625" style="54" customWidth="1"/>
    <col min="14868" max="14868" width="10.28515625" style="54" bestFit="1" customWidth="1"/>
    <col min="14869" max="14869" width="4" style="54" bestFit="1" customWidth="1"/>
    <col min="14870" max="14870" width="3" style="54" bestFit="1" customWidth="1"/>
    <col min="14871" max="14871" width="8.140625" style="54" customWidth="1"/>
    <col min="14872" max="14872" width="9.140625" style="54" customWidth="1"/>
    <col min="14873" max="14873" width="8.140625" style="54" bestFit="1" customWidth="1"/>
    <col min="14874" max="14874" width="8" style="54" bestFit="1" customWidth="1"/>
    <col min="14875" max="14875" width="8.5703125" style="54" bestFit="1" customWidth="1"/>
    <col min="14876" max="14876" width="6" style="54" bestFit="1" customWidth="1"/>
    <col min="14877" max="14877" width="6.7109375" style="54" bestFit="1" customWidth="1"/>
    <col min="14878" max="14879" width="0" style="54" hidden="1" customWidth="1"/>
    <col min="14880" max="14880" width="6.7109375" style="54" customWidth="1"/>
    <col min="14881" max="14881" width="9.140625" style="54" customWidth="1"/>
    <col min="14882" max="14883" width="8.28515625" style="54"/>
    <col min="14884" max="14954" width="0" style="54" hidden="1" customWidth="1"/>
    <col min="14955" max="15114" width="8.28515625" style="54"/>
    <col min="15115" max="15115" width="4.5703125" style="54" customWidth="1"/>
    <col min="15116" max="15116" width="22.5703125" style="54" customWidth="1"/>
    <col min="15117" max="15117" width="3.85546875" style="54" customWidth="1"/>
    <col min="15118" max="15118" width="4.140625" style="54" bestFit="1" customWidth="1"/>
    <col min="15119" max="15119" width="9.85546875" style="54" customWidth="1"/>
    <col min="15120" max="15121" width="6.7109375" style="54" bestFit="1" customWidth="1"/>
    <col min="15122" max="15122" width="8.140625" style="54" customWidth="1"/>
    <col min="15123" max="15123" width="9.140625" style="54" customWidth="1"/>
    <col min="15124" max="15124" width="10.28515625" style="54" bestFit="1" customWidth="1"/>
    <col min="15125" max="15125" width="4" style="54" bestFit="1" customWidth="1"/>
    <col min="15126" max="15126" width="3" style="54" bestFit="1" customWidth="1"/>
    <col min="15127" max="15127" width="8.140625" style="54" customWidth="1"/>
    <col min="15128" max="15128" width="9.140625" style="54" customWidth="1"/>
    <col min="15129" max="15129" width="8.140625" style="54" bestFit="1" customWidth="1"/>
    <col min="15130" max="15130" width="8" style="54" bestFit="1" customWidth="1"/>
    <col min="15131" max="15131" width="8.5703125" style="54" bestFit="1" customWidth="1"/>
    <col min="15132" max="15132" width="6" style="54" bestFit="1" customWidth="1"/>
    <col min="15133" max="15133" width="6.7109375" style="54" bestFit="1" customWidth="1"/>
    <col min="15134" max="15135" width="0" style="54" hidden="1" customWidth="1"/>
    <col min="15136" max="15136" width="6.7109375" style="54" customWidth="1"/>
    <col min="15137" max="15137" width="9.140625" style="54" customWidth="1"/>
    <col min="15138" max="15139" width="8.28515625" style="54"/>
    <col min="15140" max="15210" width="0" style="54" hidden="1" customWidth="1"/>
    <col min="15211" max="15368" width="9.140625" style="54"/>
    <col min="15369" max="15370" width="8.28515625" style="54"/>
    <col min="15371" max="15371" width="4.5703125" style="54" customWidth="1"/>
    <col min="15372" max="15372" width="22.5703125" style="54" customWidth="1"/>
    <col min="15373" max="15373" width="3.85546875" style="54" customWidth="1"/>
    <col min="15374" max="15374" width="4.140625" style="54" bestFit="1" customWidth="1"/>
    <col min="15375" max="15375" width="9.85546875" style="54" customWidth="1"/>
    <col min="15376" max="15377" width="6.7109375" style="54" bestFit="1" customWidth="1"/>
    <col min="15378" max="15378" width="8.140625" style="54" customWidth="1"/>
    <col min="15379" max="15379" width="9.140625" style="54" customWidth="1"/>
    <col min="15380" max="15380" width="10.28515625" style="54" bestFit="1" customWidth="1"/>
    <col min="15381" max="15381" width="4" style="54" bestFit="1" customWidth="1"/>
    <col min="15382" max="15382" width="3" style="54" bestFit="1" customWidth="1"/>
    <col min="15383" max="15383" width="8.140625" style="54" customWidth="1"/>
    <col min="15384" max="15384" width="9.140625" style="54" customWidth="1"/>
    <col min="15385" max="15385" width="8.140625" style="54" bestFit="1" customWidth="1"/>
    <col min="15386" max="15386" width="8" style="54" bestFit="1" customWidth="1"/>
    <col min="15387" max="15387" width="8.5703125" style="54" bestFit="1" customWidth="1"/>
    <col min="15388" max="15388" width="6" style="54" bestFit="1" customWidth="1"/>
    <col min="15389" max="15389" width="6.7109375" style="54" bestFit="1" customWidth="1"/>
    <col min="15390" max="15391" width="0" style="54" hidden="1" customWidth="1"/>
    <col min="15392" max="15392" width="6.7109375" style="54" customWidth="1"/>
    <col min="15393" max="15393" width="9.140625" style="54" customWidth="1"/>
    <col min="15394" max="15395" width="8.28515625" style="54"/>
    <col min="15396" max="15466" width="0" style="54" hidden="1" customWidth="1"/>
    <col min="15467" max="15626" width="8.28515625" style="54"/>
    <col min="15627" max="15627" width="4.5703125" style="54" customWidth="1"/>
    <col min="15628" max="15628" width="22.5703125" style="54" customWidth="1"/>
    <col min="15629" max="15629" width="3.85546875" style="54" customWidth="1"/>
    <col min="15630" max="15630" width="4.140625" style="54" bestFit="1" customWidth="1"/>
    <col min="15631" max="15631" width="9.85546875" style="54" customWidth="1"/>
    <col min="15632" max="15633" width="6.7109375" style="54" bestFit="1" customWidth="1"/>
    <col min="15634" max="15634" width="8.140625" style="54" customWidth="1"/>
    <col min="15635" max="15635" width="9.140625" style="54" customWidth="1"/>
    <col min="15636" max="15636" width="10.28515625" style="54" bestFit="1" customWidth="1"/>
    <col min="15637" max="15637" width="4" style="54" bestFit="1" customWidth="1"/>
    <col min="15638" max="15638" width="3" style="54" bestFit="1" customWidth="1"/>
    <col min="15639" max="15639" width="8.140625" style="54" customWidth="1"/>
    <col min="15640" max="15640" width="9.140625" style="54" customWidth="1"/>
    <col min="15641" max="15641" width="8.140625" style="54" bestFit="1" customWidth="1"/>
    <col min="15642" max="15642" width="8" style="54" bestFit="1" customWidth="1"/>
    <col min="15643" max="15643" width="8.5703125" style="54" bestFit="1" customWidth="1"/>
    <col min="15644" max="15644" width="6" style="54" bestFit="1" customWidth="1"/>
    <col min="15645" max="15645" width="6.7109375" style="54" bestFit="1" customWidth="1"/>
    <col min="15646" max="15647" width="0" style="54" hidden="1" customWidth="1"/>
    <col min="15648" max="15648" width="6.7109375" style="54" customWidth="1"/>
    <col min="15649" max="15649" width="9.140625" style="54" customWidth="1"/>
    <col min="15650" max="15651" width="8.28515625" style="54"/>
    <col min="15652" max="15722" width="0" style="54" hidden="1" customWidth="1"/>
    <col min="15723" max="15882" width="8.28515625" style="54"/>
    <col min="15883" max="15883" width="4.5703125" style="54" customWidth="1"/>
    <col min="15884" max="15884" width="22.5703125" style="54" customWidth="1"/>
    <col min="15885" max="15885" width="3.85546875" style="54" customWidth="1"/>
    <col min="15886" max="15886" width="4.140625" style="54" bestFit="1" customWidth="1"/>
    <col min="15887" max="15887" width="9.85546875" style="54" customWidth="1"/>
    <col min="15888" max="15889" width="6.7109375" style="54" bestFit="1" customWidth="1"/>
    <col min="15890" max="15890" width="8.140625" style="54" customWidth="1"/>
    <col min="15891" max="15891" width="9.140625" style="54" customWidth="1"/>
    <col min="15892" max="15892" width="10.28515625" style="54" bestFit="1" customWidth="1"/>
    <col min="15893" max="15893" width="4" style="54" bestFit="1" customWidth="1"/>
    <col min="15894" max="15894" width="3" style="54" bestFit="1" customWidth="1"/>
    <col min="15895" max="15895" width="8.140625" style="54" customWidth="1"/>
    <col min="15896" max="15896" width="9.140625" style="54" customWidth="1"/>
    <col min="15897" max="15897" width="8.140625" style="54" bestFit="1" customWidth="1"/>
    <col min="15898" max="15898" width="8" style="54" bestFit="1" customWidth="1"/>
    <col min="15899" max="15899" width="8.5703125" style="54" bestFit="1" customWidth="1"/>
    <col min="15900" max="15900" width="6" style="54" bestFit="1" customWidth="1"/>
    <col min="15901" max="15901" width="6.7109375" style="54" bestFit="1" customWidth="1"/>
    <col min="15902" max="15903" width="0" style="54" hidden="1" customWidth="1"/>
    <col min="15904" max="15904" width="6.7109375" style="54" customWidth="1"/>
    <col min="15905" max="15905" width="9.140625" style="54" customWidth="1"/>
    <col min="15906" max="15907" width="8.28515625" style="54"/>
    <col min="15908" max="15978" width="0" style="54" hidden="1" customWidth="1"/>
    <col min="15979" max="16138" width="8.28515625" style="54"/>
    <col min="16139" max="16139" width="4.5703125" style="54" customWidth="1"/>
    <col min="16140" max="16140" width="22.5703125" style="54" customWidth="1"/>
    <col min="16141" max="16141" width="3.85546875" style="54" customWidth="1"/>
    <col min="16142" max="16142" width="4.140625" style="54" bestFit="1" customWidth="1"/>
    <col min="16143" max="16143" width="9.85546875" style="54" customWidth="1"/>
    <col min="16144" max="16145" width="6.7109375" style="54" bestFit="1" customWidth="1"/>
    <col min="16146" max="16146" width="8.140625" style="54" customWidth="1"/>
    <col min="16147" max="16147" width="9.140625" style="54" customWidth="1"/>
    <col min="16148" max="16148" width="10.28515625" style="54" bestFit="1" customWidth="1"/>
    <col min="16149" max="16149" width="4" style="54" bestFit="1" customWidth="1"/>
    <col min="16150" max="16150" width="3" style="54" bestFit="1" customWidth="1"/>
    <col min="16151" max="16151" width="8.140625" style="54" customWidth="1"/>
    <col min="16152" max="16152" width="9.140625" style="54" customWidth="1"/>
    <col min="16153" max="16153" width="8.140625" style="54" bestFit="1" customWidth="1"/>
    <col min="16154" max="16154" width="8" style="54" bestFit="1" customWidth="1"/>
    <col min="16155" max="16155" width="8.5703125" style="54" bestFit="1" customWidth="1"/>
    <col min="16156" max="16156" width="6" style="54" bestFit="1" customWidth="1"/>
    <col min="16157" max="16157" width="6.7109375" style="54" bestFit="1" customWidth="1"/>
    <col min="16158" max="16159" width="0" style="54" hidden="1" customWidth="1"/>
    <col min="16160" max="16160" width="6.7109375" style="54" customWidth="1"/>
    <col min="16161" max="16161" width="9.140625" style="54" customWidth="1"/>
    <col min="16162" max="16163" width="8.28515625" style="54"/>
    <col min="16164" max="16234" width="0" style="54" hidden="1" customWidth="1"/>
    <col min="16235" max="16384" width="9.140625" style="54"/>
  </cols>
  <sheetData>
    <row r="1" spans="1:64" ht="15" customHeight="1">
      <c r="A1" s="94"/>
      <c r="B1" s="84"/>
      <c r="C1" s="84"/>
      <c r="D1" s="84"/>
      <c r="E1" s="84"/>
      <c r="F1" s="84"/>
      <c r="G1" s="84"/>
      <c r="H1" s="84"/>
      <c r="I1" s="84"/>
      <c r="J1" s="84"/>
      <c r="K1" s="84"/>
      <c r="L1" s="84"/>
      <c r="M1" s="84"/>
      <c r="N1" s="84"/>
      <c r="O1" s="84"/>
      <c r="P1" s="84"/>
      <c r="Q1" s="84"/>
      <c r="R1" s="84"/>
      <c r="S1" s="85"/>
      <c r="T1" s="85"/>
      <c r="U1" s="91"/>
      <c r="V1" s="85"/>
      <c r="W1" s="85"/>
      <c r="X1" s="85"/>
      <c r="Y1" s="85"/>
      <c r="Z1" s="85"/>
      <c r="AA1" s="85"/>
      <c r="AB1" s="85"/>
      <c r="AC1" s="85"/>
      <c r="AD1" s="54"/>
      <c r="AE1" s="54"/>
      <c r="AF1" s="54"/>
      <c r="AG1" s="54"/>
      <c r="AH1" s="54"/>
      <c r="AI1" s="54"/>
      <c r="AJ1" s="25"/>
      <c r="AK1" s="86"/>
      <c r="AL1" s="31"/>
      <c r="AM1" s="31"/>
      <c r="AN1" s="54"/>
      <c r="AO1" s="54"/>
    </row>
    <row r="2" spans="1:64" ht="21.75" customHeight="1" thickBot="1">
      <c r="A2" s="95"/>
      <c r="B2" s="87"/>
      <c r="C2" s="87"/>
      <c r="D2" s="87"/>
      <c r="E2" s="87"/>
      <c r="F2" s="87"/>
      <c r="G2" s="87"/>
      <c r="H2" s="87"/>
      <c r="I2" s="87"/>
      <c r="J2" s="87"/>
      <c r="K2" s="87"/>
      <c r="L2" s="87"/>
      <c r="M2" s="87"/>
      <c r="N2" s="87"/>
      <c r="O2" s="87"/>
      <c r="P2" s="87"/>
      <c r="Q2" s="87"/>
      <c r="R2" s="87"/>
      <c r="S2" s="88"/>
      <c r="T2" s="88"/>
      <c r="U2" s="92"/>
      <c r="V2" s="88"/>
      <c r="W2" s="88"/>
      <c r="X2" s="89"/>
      <c r="Y2" s="89"/>
      <c r="Z2" s="89"/>
      <c r="AA2" s="89"/>
      <c r="AB2" s="90"/>
      <c r="AC2" s="90"/>
      <c r="AD2" s="54"/>
      <c r="AE2" s="54"/>
      <c r="AF2" s="54"/>
      <c r="AG2" s="54"/>
      <c r="AH2" s="54"/>
      <c r="AI2" s="54"/>
      <c r="AJ2" s="25"/>
      <c r="AK2" s="90"/>
      <c r="AL2" s="31"/>
      <c r="AM2" s="31"/>
      <c r="AN2" s="54"/>
      <c r="AO2" s="54"/>
    </row>
    <row r="3" spans="1:64" ht="33" customHeight="1" thickBot="1">
      <c r="A3" s="96"/>
      <c r="B3" s="208" t="s">
        <v>92</v>
      </c>
      <c r="C3" s="209"/>
      <c r="D3" s="209"/>
      <c r="E3" s="209"/>
      <c r="F3" s="209"/>
      <c r="G3" s="209"/>
      <c r="H3" s="209"/>
      <c r="I3" s="209"/>
      <c r="J3" s="209"/>
      <c r="K3" s="209"/>
      <c r="L3" s="209"/>
      <c r="M3" s="209"/>
      <c r="N3" s="209"/>
      <c r="O3" s="209"/>
      <c r="P3" s="209"/>
      <c r="Q3" s="209"/>
      <c r="R3" s="209"/>
      <c r="S3" s="209"/>
      <c r="T3" s="209"/>
      <c r="U3" s="209"/>
      <c r="V3" s="209"/>
      <c r="W3" s="209"/>
      <c r="X3" s="209"/>
      <c r="Y3" s="209"/>
      <c r="Z3" s="209"/>
      <c r="AA3" s="210"/>
      <c r="AB3" s="214" t="s">
        <v>93</v>
      </c>
      <c r="AC3" s="215"/>
      <c r="AD3" s="215"/>
      <c r="AE3" s="215"/>
      <c r="AF3" s="215"/>
      <c r="AG3" s="215"/>
      <c r="AH3" s="215"/>
      <c r="AI3" s="215"/>
      <c r="AJ3" s="215"/>
      <c r="AK3" s="215"/>
      <c r="AL3" s="215"/>
      <c r="AM3" s="215"/>
      <c r="AN3" s="215"/>
      <c r="AO3" s="215"/>
      <c r="AP3" s="215"/>
      <c r="AQ3" s="215"/>
      <c r="AR3" s="215"/>
      <c r="AS3" s="215"/>
      <c r="AT3" s="215"/>
      <c r="AU3" s="215"/>
      <c r="AV3" s="215"/>
      <c r="AW3" s="215"/>
      <c r="AX3" s="215"/>
      <c r="AY3" s="215"/>
      <c r="AZ3" s="215"/>
      <c r="BA3" s="215"/>
      <c r="BB3" s="216"/>
    </row>
    <row r="4" spans="1:64" ht="15" customHeight="1">
      <c r="A4" s="235" t="s">
        <v>48</v>
      </c>
      <c r="B4" s="239" t="s">
        <v>64</v>
      </c>
      <c r="C4" s="239" t="s">
        <v>66</v>
      </c>
      <c r="D4" s="213" t="s">
        <v>65</v>
      </c>
      <c r="E4" s="213" t="s">
        <v>90</v>
      </c>
      <c r="F4" s="203" t="str">
        <f>IF(F6&gt;=2,"Years","Year")</f>
        <v>Years</v>
      </c>
      <c r="G4" s="203" t="str">
        <f>IF(G6&gt;=2,"Years","Year")</f>
        <v>Years</v>
      </c>
      <c r="H4" s="203" t="s">
        <v>71</v>
      </c>
      <c r="I4" s="203" t="str">
        <f>IF(I6&gt;=2,"Months","Month")</f>
        <v>Months</v>
      </c>
      <c r="J4" s="203" t="str">
        <f>IF(J6&gt;=2,"Months","Month")</f>
        <v>Months</v>
      </c>
      <c r="K4" s="237" t="s">
        <v>67</v>
      </c>
      <c r="L4" s="238" t="s">
        <v>72</v>
      </c>
      <c r="M4" s="238" t="s">
        <v>72</v>
      </c>
      <c r="N4" s="225" t="s">
        <v>73</v>
      </c>
      <c r="O4" s="225" t="s">
        <v>97</v>
      </c>
      <c r="P4" s="237" t="s">
        <v>69</v>
      </c>
      <c r="Q4" s="240" t="s">
        <v>70</v>
      </c>
      <c r="R4" s="227" t="s">
        <v>94</v>
      </c>
      <c r="S4" s="227" t="s">
        <v>91</v>
      </c>
      <c r="T4" s="227" t="s">
        <v>82</v>
      </c>
      <c r="U4" s="227"/>
      <c r="V4" s="227"/>
      <c r="W4" s="227"/>
      <c r="X4" s="227" t="s">
        <v>86</v>
      </c>
      <c r="Y4" s="227" t="s">
        <v>86</v>
      </c>
      <c r="Z4" s="227" t="s">
        <v>87</v>
      </c>
      <c r="AA4" s="211" t="s">
        <v>87</v>
      </c>
      <c r="AB4" s="229" t="s">
        <v>88</v>
      </c>
      <c r="AC4" s="231" t="str">
        <f>IF(AC6&gt;=2,"Years","Year")</f>
        <v>Years</v>
      </c>
      <c r="AD4" s="231" t="str">
        <f>IF(AD6&gt;=2,"Years","Year")</f>
        <v>Years</v>
      </c>
      <c r="AE4" s="223" t="s">
        <v>71</v>
      </c>
      <c r="AF4" s="223" t="str">
        <f>IF(AF6&gt;=2,"Months","Month")</f>
        <v>Months</v>
      </c>
      <c r="AG4" s="223" t="str">
        <f>IF(AG6&gt;=2,"Months","Month")</f>
        <v>Months</v>
      </c>
      <c r="AH4" s="204" t="s">
        <v>67</v>
      </c>
      <c r="AI4" s="233" t="s">
        <v>72</v>
      </c>
      <c r="AJ4" s="233" t="s">
        <v>72</v>
      </c>
      <c r="AK4" s="204" t="s">
        <v>96</v>
      </c>
      <c r="AL4" s="205" t="s">
        <v>89</v>
      </c>
      <c r="AM4" s="205" t="s">
        <v>179</v>
      </c>
      <c r="AN4" s="205" t="s">
        <v>179</v>
      </c>
      <c r="AO4" s="219" t="s">
        <v>73</v>
      </c>
      <c r="AP4" s="219" t="s">
        <v>97</v>
      </c>
      <c r="AQ4" s="204" t="s">
        <v>69</v>
      </c>
      <c r="AR4" s="221" t="s">
        <v>70</v>
      </c>
      <c r="AS4" s="204" t="s">
        <v>94</v>
      </c>
      <c r="AT4" s="204" t="s">
        <v>68</v>
      </c>
      <c r="AU4" s="204" t="s">
        <v>82</v>
      </c>
      <c r="AV4" s="204"/>
      <c r="AW4" s="204"/>
      <c r="AX4" s="204"/>
      <c r="AY4" s="204" t="s">
        <v>86</v>
      </c>
      <c r="AZ4" s="204" t="s">
        <v>86</v>
      </c>
      <c r="BA4" s="204" t="s">
        <v>87</v>
      </c>
      <c r="BB4" s="217" t="s">
        <v>87</v>
      </c>
      <c r="BC4" s="226" t="s">
        <v>95</v>
      </c>
    </row>
    <row r="5" spans="1:64" ht="45.75" customHeight="1" thickBot="1">
      <c r="A5" s="236"/>
      <c r="B5" s="239"/>
      <c r="C5" s="239"/>
      <c r="D5" s="213"/>
      <c r="E5" s="213"/>
      <c r="F5" s="203"/>
      <c r="G5" s="203"/>
      <c r="H5" s="203"/>
      <c r="I5" s="203"/>
      <c r="J5" s="203"/>
      <c r="K5" s="237"/>
      <c r="L5" s="238"/>
      <c r="M5" s="238"/>
      <c r="N5" s="225"/>
      <c r="O5" s="225"/>
      <c r="P5" s="237"/>
      <c r="Q5" s="240"/>
      <c r="R5" s="228"/>
      <c r="S5" s="228"/>
      <c r="T5" s="161" t="s">
        <v>81</v>
      </c>
      <c r="U5" s="162" t="s">
        <v>81</v>
      </c>
      <c r="V5" s="162" t="s">
        <v>83</v>
      </c>
      <c r="W5" s="162" t="s">
        <v>23</v>
      </c>
      <c r="X5" s="228"/>
      <c r="Y5" s="228"/>
      <c r="Z5" s="228"/>
      <c r="AA5" s="212"/>
      <c r="AB5" s="230"/>
      <c r="AC5" s="232"/>
      <c r="AD5" s="232"/>
      <c r="AE5" s="224"/>
      <c r="AF5" s="224"/>
      <c r="AG5" s="224"/>
      <c r="AH5" s="207"/>
      <c r="AI5" s="234"/>
      <c r="AJ5" s="234"/>
      <c r="AK5" s="207"/>
      <c r="AL5" s="206"/>
      <c r="AM5" s="206"/>
      <c r="AN5" s="206"/>
      <c r="AO5" s="220"/>
      <c r="AP5" s="220"/>
      <c r="AQ5" s="207"/>
      <c r="AR5" s="222"/>
      <c r="AS5" s="207"/>
      <c r="AT5" s="207"/>
      <c r="AU5" s="163" t="s">
        <v>81</v>
      </c>
      <c r="AV5" s="164" t="s">
        <v>81</v>
      </c>
      <c r="AW5" s="164" t="s">
        <v>83</v>
      </c>
      <c r="AX5" s="164" t="s">
        <v>23</v>
      </c>
      <c r="AY5" s="207"/>
      <c r="AZ5" s="207"/>
      <c r="BA5" s="207"/>
      <c r="BB5" s="218"/>
      <c r="BC5" s="226"/>
    </row>
    <row r="6" spans="1:64" ht="36" customHeight="1">
      <c r="A6" s="160">
        <f>'PENSION-STATE'!$H$2</f>
        <v>0</v>
      </c>
      <c r="B6" s="98">
        <f>'PENSION-STATE'!$H$3</f>
        <v>22008</v>
      </c>
      <c r="C6" s="98">
        <f>'PENSION-STATE'!$H$4</f>
        <v>32394</v>
      </c>
      <c r="D6" s="99">
        <f t="shared" ref="D6" si="0">DATEVALUE("1-1-60")+B6-2</f>
        <v>43922</v>
      </c>
      <c r="E6" s="196">
        <f t="shared" ref="E6" si="1">IF(B6="","",D6)</f>
        <v>43922</v>
      </c>
      <c r="F6" s="100">
        <f>DATEDIF(C6,D6,"Y")</f>
        <v>31</v>
      </c>
      <c r="G6" s="100">
        <f>IF(F6&gt;33,33,F6)</f>
        <v>31</v>
      </c>
      <c r="H6" s="100">
        <f>IF(C6="","",G6)</f>
        <v>31</v>
      </c>
      <c r="I6" s="100">
        <f>DATEDIF(C6,D6,"Ym")</f>
        <v>6</v>
      </c>
      <c r="J6" s="100">
        <f>IF(C6="","",I6)</f>
        <v>6</v>
      </c>
      <c r="K6" s="101" t="str">
        <f t="shared" ref="K6" si="2">F6&amp;" "&amp;$G$4&amp;","&amp;" "&amp;J6&amp;" "&amp;$J$4</f>
        <v>31 Years, 6 Months</v>
      </c>
      <c r="L6" s="102">
        <f>IF(C6="","",IF(J6&lt;=3,0,IF(J6&lt;9,1,IF(J6&lt;=12,2)))+H6*2)</f>
        <v>63</v>
      </c>
      <c r="M6" s="102">
        <f>IF(L6&gt;66,66,L6)</f>
        <v>63</v>
      </c>
      <c r="N6" s="103">
        <f>IF(L6="","0",M6*A6/4)</f>
        <v>0</v>
      </c>
      <c r="O6" s="103">
        <f>IF(N6="0",0,IF(N6&gt;1000000,1000000,N6))</f>
        <v>0</v>
      </c>
      <c r="P6" s="104">
        <v>300</v>
      </c>
      <c r="Q6" s="105">
        <f>TRUNC(A6*Psh!$F$9+0.5)+A6</f>
        <v>0</v>
      </c>
      <c r="R6" s="103">
        <f>(Q6*P6)/30</f>
        <v>0</v>
      </c>
      <c r="S6" s="106">
        <f>O6+R6</f>
        <v>0</v>
      </c>
      <c r="T6" s="107">
        <f>(A6*M6)/132</f>
        <v>0</v>
      </c>
      <c r="U6" s="108">
        <f>IF(L6="","0",IF(T6&lt;8500,8500,IF(T6&gt;75300,75300,T6)))</f>
        <v>8500</v>
      </c>
      <c r="V6" s="106">
        <f>TRUNC(U6*Psh!$F$9+0.5)</f>
        <v>956</v>
      </c>
      <c r="W6" s="106">
        <f>SUM(U6:V6)</f>
        <v>9456</v>
      </c>
      <c r="X6" s="106">
        <f>(TRUNC(U6/3+0.5)*12)</f>
        <v>33996</v>
      </c>
      <c r="Y6" s="106">
        <f>TRUNC(X6*9.81+0.5)</f>
        <v>333501</v>
      </c>
      <c r="Z6" s="106">
        <f>TRUNC(A6*30%+0.5)</f>
        <v>0</v>
      </c>
      <c r="AA6" s="109">
        <f>IF(L6="","0",IF(Z6&lt;4800,4800,IF(Z6&gt;23940,23940,Z6)))</f>
        <v>4800</v>
      </c>
      <c r="AB6" s="110">
        <f>'PENSION-STATE'!$H$5</f>
        <v>43951</v>
      </c>
      <c r="AC6" s="100">
        <f>DATEDIF(C6,AB6,"Y")</f>
        <v>31</v>
      </c>
      <c r="AD6" s="100">
        <f>IF(AC6&gt;33,33,AC6)</f>
        <v>31</v>
      </c>
      <c r="AE6" s="100">
        <f>IF(C6="","",AD6)</f>
        <v>31</v>
      </c>
      <c r="AF6" s="100">
        <f>DATEDIF(C6,AB6,"Ym")</f>
        <v>7</v>
      </c>
      <c r="AG6" s="100">
        <f>IF(C6="","",AF6)</f>
        <v>7</v>
      </c>
      <c r="AH6" s="101" t="str">
        <f t="shared" ref="AH6" si="3">AC6&amp;" "&amp;$G$4&amp;","&amp;" "&amp;AG6&amp;" "&amp;$J$4</f>
        <v>31 Years, 7 Months</v>
      </c>
      <c r="AI6" s="102">
        <f>IF(C6="","",IF(AG6&lt;=3,0,IF(AG6&lt;9,1,IF(AG6&lt;=12,2)))+AE6*2)</f>
        <v>63</v>
      </c>
      <c r="AJ6" s="102">
        <f>IF(AI6&gt;66,66,AI6)</f>
        <v>63</v>
      </c>
      <c r="AK6" s="104">
        <f>'PENSION-STATE'!$H$6</f>
        <v>0</v>
      </c>
      <c r="AL6" s="111">
        <f>(AK6*2)+AJ6</f>
        <v>63</v>
      </c>
      <c r="AM6" s="112">
        <f>IF(AL6&gt;66,66,AL6)</f>
        <v>63</v>
      </c>
      <c r="AN6" s="112">
        <f>IF(AL6&gt;60,60,AL6)</f>
        <v>60</v>
      </c>
      <c r="AO6" s="113">
        <f>IF(AM6="","0",AM6*A6/4)</f>
        <v>0</v>
      </c>
      <c r="AP6" s="103">
        <f>IF(AB6="",0,IF(AO6&gt;2000000,2000000,AO6))</f>
        <v>0</v>
      </c>
      <c r="AQ6" s="104">
        <f>'PENSION-STATE'!$H$7</f>
        <v>0</v>
      </c>
      <c r="AR6" s="97">
        <f>TRUNC(A6*Psh!$F$9+0.5)+A6</f>
        <v>0</v>
      </c>
      <c r="AS6" s="103">
        <f>(AR6*AQ6)/30</f>
        <v>0</v>
      </c>
      <c r="AT6" s="106">
        <f>AP6+AS6</f>
        <v>0</v>
      </c>
      <c r="AU6" s="107">
        <f>TRUNC(A6*AN6)/120</f>
        <v>0</v>
      </c>
      <c r="AV6" s="109">
        <f>IF(AB6="","0",IF(AU6&lt;8500,8500,IF(AU6&gt;75300,75300,AU6)))</f>
        <v>8500</v>
      </c>
      <c r="AW6" s="106">
        <f>TRUNC(AV6*Psh!$F$9+0.5)</f>
        <v>956</v>
      </c>
      <c r="AX6" s="106">
        <f>SUM(AV6:AW6)</f>
        <v>9456</v>
      </c>
      <c r="AY6" s="106">
        <f>(TRUNC(AV6/3+0.5)*12)</f>
        <v>33996</v>
      </c>
      <c r="AZ6" s="106">
        <f>TRUNC(AY6*BC6+0.5)</f>
        <v>333501</v>
      </c>
      <c r="BA6" s="106">
        <f>TRUNC(A6*30%+0.5)</f>
        <v>0</v>
      </c>
      <c r="BB6" s="109">
        <f>IF(AB6="","0",IF(BA6&lt;8500,8500,IF(BA6&gt;45180,45180,BA6)))</f>
        <v>8500</v>
      </c>
      <c r="BC6" s="154">
        <f>VLOOKUP(BD6,Psh!$U$25:$V$92,2)</f>
        <v>9.81</v>
      </c>
      <c r="BD6" s="155">
        <f>DATEDIF(B6,AB6,"Y")</f>
        <v>60</v>
      </c>
      <c r="BE6" s="156"/>
      <c r="BF6" s="156"/>
      <c r="BG6" s="156"/>
      <c r="BH6" s="156"/>
      <c r="BI6" s="157"/>
      <c r="BJ6" s="158"/>
      <c r="BK6" s="158"/>
      <c r="BL6" s="25"/>
    </row>
    <row r="7" spans="1:64" ht="15" customHeight="1"/>
    <row r="8" spans="1:64" ht="15" customHeight="1"/>
    <row r="9" spans="1:64" ht="36" customHeight="1">
      <c r="A9" s="172">
        <f>'PENSION-UGC'!$H$2</f>
        <v>61540</v>
      </c>
      <c r="B9" s="173">
        <f>'PENSION-UGC'!$H$3</f>
        <v>21660</v>
      </c>
      <c r="C9" s="173">
        <f>'PENSION-UGC'!$H$4</f>
        <v>31267</v>
      </c>
      <c r="D9" s="174">
        <f t="shared" ref="D9" si="4">DATEVALUE("1-1-60")+B9-2</f>
        <v>43574</v>
      </c>
      <c r="E9" s="195">
        <f t="shared" ref="E9" si="5">IF(B9="","",D9)</f>
        <v>43574</v>
      </c>
      <c r="F9" s="175">
        <f>DATEDIF(C9,D9,"Y")</f>
        <v>33</v>
      </c>
      <c r="G9" s="175">
        <f>IF(F9&gt;33,33,F9)</f>
        <v>33</v>
      </c>
      <c r="H9" s="175">
        <f>IF(C9="","",G9)</f>
        <v>33</v>
      </c>
      <c r="I9" s="175">
        <f>DATEDIF(C9,D9,"Ym")</f>
        <v>8</v>
      </c>
      <c r="J9" s="175">
        <f>IF(C9="","",I9)</f>
        <v>8</v>
      </c>
      <c r="K9" s="176" t="str">
        <f t="shared" ref="K9" si="6">F9&amp;" "&amp;$G$4&amp;","&amp;" "&amp;J9&amp;" "&amp;$J$4</f>
        <v>33 Years, 8 Months</v>
      </c>
      <c r="L9" s="177">
        <f>IF(C9="","",IF(J9&lt;=3,0,IF(J9&lt;9,1,IF(J9&lt;=12,2)))+H9*2)</f>
        <v>67</v>
      </c>
      <c r="M9" s="177">
        <f>IF(L9&gt;66,66,L9)</f>
        <v>66</v>
      </c>
      <c r="N9" s="178">
        <f>IF(L9="","0",M9*A9/4)</f>
        <v>1015410</v>
      </c>
      <c r="O9" s="178">
        <f>IF(N9="0",0,IF(N9&gt;1000000,1000000,N9))</f>
        <v>1000000</v>
      </c>
      <c r="P9" s="179">
        <v>300</v>
      </c>
      <c r="Q9" s="180">
        <f>TRUNC(A9*Psh!$F$9+0.5)+A9</f>
        <v>68463</v>
      </c>
      <c r="R9" s="178">
        <f>(Q9*P9)/30</f>
        <v>684630</v>
      </c>
      <c r="S9" s="181">
        <f>O9+R9</f>
        <v>1684630</v>
      </c>
      <c r="T9" s="182">
        <f>(A9*M9)/132</f>
        <v>30770</v>
      </c>
      <c r="U9" s="183">
        <f>IF(L9="","0",IF(T9&lt;8500,8500,IF(T9&gt;75300,75300,T9)))</f>
        <v>30770</v>
      </c>
      <c r="V9" s="181">
        <f>TRUNC(U9*Psh!$F$9+0.5)</f>
        <v>3462</v>
      </c>
      <c r="W9" s="181">
        <f>SUM(U9:V9)</f>
        <v>34232</v>
      </c>
      <c r="X9" s="181">
        <f>(TRUNC(U9/3+0.5)*12)</f>
        <v>123084</v>
      </c>
      <c r="Y9" s="181">
        <f>TRUNC(X9*9.81+0.5)</f>
        <v>1207454</v>
      </c>
      <c r="Z9" s="181">
        <f>TRUNC(A9*30%+0.5)</f>
        <v>18462</v>
      </c>
      <c r="AA9" s="184">
        <f>IF(L9="","0",IF(Z9&lt;4800,4800,IF(Z9&gt;23940,23940,Z9)))</f>
        <v>18462</v>
      </c>
      <c r="AB9" s="185">
        <f>'PENSION-UGC'!$H$5</f>
        <v>43585</v>
      </c>
      <c r="AC9" s="175">
        <f>DATEDIF(C9,AB9,"Y")</f>
        <v>33</v>
      </c>
      <c r="AD9" s="175">
        <f>IF(AC9&gt;33,33,AC9)</f>
        <v>33</v>
      </c>
      <c r="AE9" s="175">
        <f>IF(C9="","",AD9)</f>
        <v>33</v>
      </c>
      <c r="AF9" s="175">
        <f>DATEDIF(C9,AB9,"Ym")</f>
        <v>8</v>
      </c>
      <c r="AG9" s="175">
        <f>IF(C9="","",AF9)</f>
        <v>8</v>
      </c>
      <c r="AH9" s="197" t="str">
        <f t="shared" ref="AH9" si="7">AC9&amp;" "&amp;$G$4&amp;","&amp;" "&amp;AG9&amp;" "&amp;$J$4</f>
        <v>33 Years, 8 Months</v>
      </c>
      <c r="AI9" s="177">
        <f>IF(C9="","",IF(AG9&lt;=3,0,IF(AG9&lt;9,1,IF(AG9&lt;=12,2)))+AE9*2)</f>
        <v>67</v>
      </c>
      <c r="AJ9" s="177">
        <f>IF(AI9&gt;66,66,AI9)</f>
        <v>66</v>
      </c>
      <c r="AK9" s="179">
        <f>'PENSION-UGC'!$H$6</f>
        <v>0</v>
      </c>
      <c r="AL9" s="186">
        <f>(AK9*2)+AJ9</f>
        <v>66</v>
      </c>
      <c r="AM9" s="112">
        <f>IF(AL9&gt;66,66,AL9)</f>
        <v>66</v>
      </c>
      <c r="AN9" s="187">
        <f>IF(AL9&gt;60,60,AL9)</f>
        <v>60</v>
      </c>
      <c r="AO9" s="113">
        <f>IF(AM9="","0",AM9*A9/4)</f>
        <v>1015410</v>
      </c>
      <c r="AP9" s="178">
        <f>IF(AB9="",0,IF(AO9&gt;2000000,2000000,AO9))</f>
        <v>1015410</v>
      </c>
      <c r="AQ9" s="179">
        <f>'PENSION-UGC'!$H$7</f>
        <v>300</v>
      </c>
      <c r="AR9" s="180">
        <f>TRUNC(A9*Psh!$F$9+0.5)+A9</f>
        <v>68463</v>
      </c>
      <c r="AS9" s="178">
        <f>(AR9*AQ9)/30</f>
        <v>684630</v>
      </c>
      <c r="AT9" s="181">
        <f>AP9+AS9</f>
        <v>1700040</v>
      </c>
      <c r="AU9" s="182">
        <f>TRUNC(A9*AN9)*1.839/120</f>
        <v>56586.03</v>
      </c>
      <c r="AV9" s="184">
        <f>IF(AB9="","0",IF(AU9&lt;8500,8500,IF(AU9&gt;75300,75300,AU9)))</f>
        <v>56586.03</v>
      </c>
      <c r="AW9" s="181">
        <f>TRUNC(AV9*Psh!$F$9+0.5)</f>
        <v>6366</v>
      </c>
      <c r="AX9" s="181">
        <f>SUM(AV9:AW9)</f>
        <v>62952.03</v>
      </c>
      <c r="AY9" s="181">
        <f>(TRUNC(AV9/3+0.5)*12)</f>
        <v>226344</v>
      </c>
      <c r="AZ9" s="181">
        <f>TRUNC(AY9*BC9+0.5)</f>
        <v>2220435</v>
      </c>
      <c r="BA9" s="181">
        <f>TRUNC(A9*30%+0.5)*1.839</f>
        <v>33951.618000000002</v>
      </c>
      <c r="BB9" s="184">
        <f>IF(AB9="","0",IF(BA9&lt;8500,8500,IF(BA9&gt;45180,45180,BA9)))</f>
        <v>33951.618000000002</v>
      </c>
      <c r="BC9" s="154">
        <f>VLOOKUP(BD9,Psh!$U$25:$V$92,2)</f>
        <v>9.81</v>
      </c>
      <c r="BD9" s="155">
        <f>DATEDIF(B9,AB9,"Y")</f>
        <v>60</v>
      </c>
      <c r="BE9" s="156"/>
      <c r="BF9" s="156"/>
      <c r="BG9" s="156"/>
      <c r="BH9" s="156"/>
      <c r="BI9" s="157"/>
      <c r="BJ9" s="158"/>
      <c r="BK9" s="158"/>
      <c r="BL9" s="25"/>
    </row>
    <row r="10" spans="1:64" ht="15" customHeight="1"/>
    <row r="11" spans="1:64" ht="15" customHeight="1"/>
    <row r="12" spans="1:64" ht="15" customHeight="1">
      <c r="BA12" s="192"/>
    </row>
    <row r="13" spans="1:64" ht="15" customHeight="1"/>
    <row r="14" spans="1:64" ht="15" customHeight="1"/>
    <row r="15" spans="1:64" ht="15" customHeight="1"/>
    <row r="16" spans="1:64" ht="15" customHeight="1"/>
    <row r="17" spans="1:1" ht="15" customHeight="1"/>
    <row r="18" spans="1:1" ht="15" customHeight="1"/>
    <row r="19" spans="1:1" ht="15" customHeight="1">
      <c r="A19" s="55"/>
    </row>
    <row r="20" spans="1:1" ht="15" customHeight="1">
      <c r="A20" s="55"/>
    </row>
    <row r="21" spans="1:1" ht="15" customHeight="1">
      <c r="A21" s="55"/>
    </row>
    <row r="22" spans="1:1" ht="15" customHeight="1">
      <c r="A22" s="55"/>
    </row>
    <row r="23" spans="1:1" ht="15" customHeight="1">
      <c r="A23" s="55"/>
    </row>
    <row r="24" spans="1:1" ht="15" customHeight="1">
      <c r="A24" s="55"/>
    </row>
    <row r="25" spans="1:1" ht="15" customHeight="1">
      <c r="A25" s="55"/>
    </row>
    <row r="26" spans="1:1" ht="15" customHeight="1">
      <c r="A26" s="55"/>
    </row>
    <row r="27" spans="1:1" ht="15" customHeight="1">
      <c r="A27" s="55"/>
    </row>
    <row r="28" spans="1:1" ht="15" customHeight="1">
      <c r="A28" s="55"/>
    </row>
    <row r="29" spans="1:1" ht="15" customHeight="1">
      <c r="A29" s="55"/>
    </row>
    <row r="30" spans="1:1" ht="15" customHeight="1">
      <c r="A30" s="55"/>
    </row>
    <row r="31" spans="1:1" ht="15" customHeight="1">
      <c r="A31" s="55"/>
    </row>
    <row r="32" spans="1:1" ht="15" customHeight="1">
      <c r="A32" s="55"/>
    </row>
    <row r="33" spans="1:1" ht="15" customHeight="1">
      <c r="A33" s="55"/>
    </row>
    <row r="34" spans="1:1" ht="15" customHeight="1"/>
    <row r="35" spans="1:1" ht="15" customHeight="1"/>
    <row r="36" spans="1:1" ht="15" customHeight="1"/>
    <row r="37" spans="1:1" ht="15" customHeight="1"/>
    <row r="38" spans="1:1" ht="15" customHeight="1"/>
    <row r="39" spans="1:1" ht="15" customHeight="1"/>
    <row r="40" spans="1:1" ht="15" customHeight="1"/>
    <row r="41" spans="1:1" ht="15" customHeight="1"/>
    <row r="42" spans="1:1" ht="15" customHeight="1"/>
    <row r="43" spans="1:1" ht="15" customHeight="1"/>
    <row r="44" spans="1:1" ht="15" customHeight="1"/>
    <row r="45" spans="1:1" ht="15" customHeight="1"/>
    <row r="46" spans="1:1" ht="15" customHeight="1"/>
    <row r="47" spans="1:1" ht="15" customHeight="1"/>
    <row r="48" spans="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sheetData>
  <sheetProtection password="C345" sheet="1" objects="1" scenarios="1" selectLockedCells="1"/>
  <dataConsolidate/>
  <mergeCells count="51">
    <mergeCell ref="A4:A5"/>
    <mergeCell ref="S4:S5"/>
    <mergeCell ref="K4:K5"/>
    <mergeCell ref="L4:L5"/>
    <mergeCell ref="M4:M5"/>
    <mergeCell ref="P4:P5"/>
    <mergeCell ref="R4:R5"/>
    <mergeCell ref="B4:B5"/>
    <mergeCell ref="J4:J5"/>
    <mergeCell ref="Q4:Q5"/>
    <mergeCell ref="N4:N5"/>
    <mergeCell ref="C4:C5"/>
    <mergeCell ref="F4:F5"/>
    <mergeCell ref="BC4:BC5"/>
    <mergeCell ref="AL4:AL5"/>
    <mergeCell ref="AO4:AO5"/>
    <mergeCell ref="T4:W4"/>
    <mergeCell ref="X4:X5"/>
    <mergeCell ref="Y4:Y5"/>
    <mergeCell ref="AB4:AB5"/>
    <mergeCell ref="AK4:AK5"/>
    <mergeCell ref="AC4:AC5"/>
    <mergeCell ref="AD4:AD5"/>
    <mergeCell ref="AE4:AE5"/>
    <mergeCell ref="Z4:Z5"/>
    <mergeCell ref="BA4:BA5"/>
    <mergeCell ref="AJ4:AJ5"/>
    <mergeCell ref="AG4:AG5"/>
    <mergeCell ref="AI4:AI5"/>
    <mergeCell ref="B3:AA3"/>
    <mergeCell ref="AA4:AA5"/>
    <mergeCell ref="D4:D5"/>
    <mergeCell ref="AB3:BB3"/>
    <mergeCell ref="BB4:BB5"/>
    <mergeCell ref="AY4:AY5"/>
    <mergeCell ref="AZ4:AZ5"/>
    <mergeCell ref="AS4:AS5"/>
    <mergeCell ref="AP4:AP5"/>
    <mergeCell ref="AQ4:AQ5"/>
    <mergeCell ref="AR4:AR5"/>
    <mergeCell ref="AH4:AH5"/>
    <mergeCell ref="AF4:AF5"/>
    <mergeCell ref="O4:O5"/>
    <mergeCell ref="H4:H5"/>
    <mergeCell ref="E4:E5"/>
    <mergeCell ref="G4:G5"/>
    <mergeCell ref="I4:I5"/>
    <mergeCell ref="AU4:AX4"/>
    <mergeCell ref="AN4:AN5"/>
    <mergeCell ref="AM4:AM5"/>
    <mergeCell ref="AT4:AT5"/>
  </mergeCells>
  <dataValidations xWindow="212" yWindow="577" count="5">
    <dataValidation type="whole" errorStyle="warning" allowBlank="1" showInputMessage="1" errorTitle="BASIC PAY" error="ENTER NUMERALS ONLY" promptTitle="BASIC PAY" prompt="Otherwise enter &quot;0&quot;" sqref="A4">
      <formula1>0</formula1>
      <formula2>99000</formula2>
    </dataValidation>
    <dataValidation type="date" operator="lessThan" allowBlank="1" showInputMessage="1" showErrorMessage="1" sqref="B6 B9">
      <formula1>41640</formula1>
    </dataValidation>
    <dataValidation type="date" operator="lessThan" allowBlank="1" showInputMessage="1" showErrorMessage="1" sqref="C6 C9">
      <formula1>43101</formula1>
    </dataValidation>
    <dataValidation allowBlank="1" showInputMessage="1" showErrorMessage="1" promptTitle="RETIRING OFFICIAL" prompt="Financial Year 2016-17" sqref="P6 AQ6 P9 AQ9"/>
    <dataValidation type="whole" errorStyle="warning" allowBlank="1" showInputMessage="1" showErrorMessage="1" errorTitle="BASIC PAY" error="ENTER NUMERALS ONLY" promptTitle="BASIC PAY" prompt="Otherwise enter &quot;0&quot;" sqref="A6:A1048576">
      <formula1>0</formula1>
      <formula2>99000</formula2>
    </dataValidation>
  </dataValidations>
  <printOptions horizontalCentered="1"/>
  <pageMargins left="0.25" right="0.25" top="0.3" bottom="0.3" header="0" footer="0"/>
  <pageSetup paperSize="9" orientation="landscape" r:id="rId1"/>
  <headerFooter>
    <oddHeader>&amp;L&amp;"-,Bold Italic"&amp;8psh*&amp;R&amp;"-,Italic"&amp;8&amp;K07-046NON TEACHING - NON PLAN</oddHeader>
    <oddFooter>&amp;L&amp;"-,Italic"&amp;8&amp;K06-046Design and Program by Purushotham P&amp;R&amp;8PAGE-&amp;P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3"/>
  <sheetViews>
    <sheetView tabSelected="1" workbookViewId="0">
      <selection activeCell="H5" sqref="H5:J5"/>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200">
        <v>1</v>
      </c>
      <c r="B1" s="265" t="s">
        <v>140</v>
      </c>
      <c r="C1" s="265"/>
      <c r="D1" s="265"/>
      <c r="E1" s="265"/>
      <c r="F1" s="265"/>
      <c r="G1" s="265"/>
      <c r="H1" s="260">
        <v>0</v>
      </c>
      <c r="I1" s="260"/>
      <c r="J1" s="261"/>
    </row>
    <row r="2" spans="1:12" ht="15.75">
      <c r="A2" s="201">
        <v>2</v>
      </c>
      <c r="B2" s="286" t="s">
        <v>46</v>
      </c>
      <c r="C2" s="286"/>
      <c r="D2" s="286"/>
      <c r="E2" s="286"/>
      <c r="F2" s="286"/>
      <c r="G2" s="286"/>
      <c r="H2" s="262">
        <v>0</v>
      </c>
      <c r="I2" s="262"/>
      <c r="J2" s="263"/>
    </row>
    <row r="3" spans="1:12" ht="15.75">
      <c r="A3" s="201">
        <v>3</v>
      </c>
      <c r="B3" s="286" t="s">
        <v>141</v>
      </c>
      <c r="C3" s="286"/>
      <c r="D3" s="286"/>
      <c r="E3" s="286"/>
      <c r="F3" s="286"/>
      <c r="G3" s="286"/>
      <c r="H3" s="264">
        <v>22008</v>
      </c>
      <c r="I3" s="262"/>
      <c r="J3" s="263"/>
    </row>
    <row r="4" spans="1:12" ht="15.75">
      <c r="A4" s="201">
        <v>4</v>
      </c>
      <c r="B4" s="286" t="s">
        <v>142</v>
      </c>
      <c r="C4" s="286"/>
      <c r="D4" s="286"/>
      <c r="E4" s="286"/>
      <c r="F4" s="286"/>
      <c r="G4" s="286"/>
      <c r="H4" s="264">
        <v>32394</v>
      </c>
      <c r="I4" s="262"/>
      <c r="J4" s="263"/>
    </row>
    <row r="5" spans="1:12" ht="15.75">
      <c r="A5" s="201">
        <v>5</v>
      </c>
      <c r="B5" s="286" t="s">
        <v>143</v>
      </c>
      <c r="C5" s="286"/>
      <c r="D5" s="286"/>
      <c r="E5" s="286"/>
      <c r="F5" s="286"/>
      <c r="G5" s="286"/>
      <c r="H5" s="264">
        <v>43951</v>
      </c>
      <c r="I5" s="262"/>
      <c r="J5" s="263"/>
    </row>
    <row r="6" spans="1:12" ht="15.75">
      <c r="A6" s="201">
        <v>6</v>
      </c>
      <c r="B6" s="286" t="s">
        <v>144</v>
      </c>
      <c r="C6" s="286"/>
      <c r="D6" s="286"/>
      <c r="E6" s="286"/>
      <c r="F6" s="286"/>
      <c r="G6" s="286"/>
      <c r="H6" s="262">
        <v>0</v>
      </c>
      <c r="I6" s="262"/>
      <c r="J6" s="263"/>
    </row>
    <row r="7" spans="1:12" ht="15.75">
      <c r="A7" s="201">
        <v>7</v>
      </c>
      <c r="B7" s="286" t="s">
        <v>158</v>
      </c>
      <c r="C7" s="286"/>
      <c r="D7" s="286"/>
      <c r="E7" s="286"/>
      <c r="F7" s="286"/>
      <c r="G7" s="286"/>
      <c r="H7" s="262">
        <v>0</v>
      </c>
      <c r="I7" s="262"/>
      <c r="J7" s="263"/>
    </row>
    <row r="8" spans="1:12" ht="16.5" thickBot="1">
      <c r="A8" s="202">
        <v>8</v>
      </c>
      <c r="B8" s="298" t="s">
        <v>30</v>
      </c>
      <c r="C8" s="298"/>
      <c r="D8" s="298"/>
      <c r="E8" s="298"/>
      <c r="F8" s="298"/>
      <c r="G8" s="298"/>
      <c r="H8" s="299">
        <v>0.1125</v>
      </c>
      <c r="I8" s="300"/>
      <c r="J8" s="301"/>
    </row>
    <row r="9" spans="1:12" ht="21.75" customHeight="1"/>
    <row r="10" spans="1:12" ht="21.75" customHeight="1"/>
    <row r="11" spans="1:12" ht="17.25" customHeight="1">
      <c r="B11" s="320" t="s">
        <v>173</v>
      </c>
      <c r="C11" s="320"/>
      <c r="D11" s="320"/>
      <c r="E11" s="320"/>
      <c r="F11" s="320"/>
      <c r="G11" s="320"/>
      <c r="H11" s="320"/>
      <c r="I11" s="320"/>
      <c r="J11" s="320"/>
    </row>
    <row r="12" spans="1:12" ht="17.25" customHeight="1">
      <c r="B12" s="302" t="s">
        <v>139</v>
      </c>
      <c r="C12" s="302"/>
      <c r="D12" s="302"/>
      <c r="E12" s="302"/>
      <c r="F12" s="302"/>
      <c r="G12" s="302"/>
      <c r="H12" s="302"/>
      <c r="I12" s="302"/>
      <c r="J12" s="302"/>
    </row>
    <row r="13" spans="1:12" ht="16.5" customHeight="1">
      <c r="A13" s="123"/>
      <c r="B13" s="283" t="s">
        <v>170</v>
      </c>
      <c r="C13" s="283"/>
      <c r="D13" s="283"/>
      <c r="E13" s="283"/>
      <c r="F13" s="283"/>
      <c r="G13" s="311">
        <f t="shared" ref="G13" si="0">$H$1</f>
        <v>0</v>
      </c>
      <c r="H13" s="311"/>
      <c r="I13" s="311"/>
      <c r="J13" s="311"/>
    </row>
    <row r="14" spans="1:12" ht="15" customHeight="1">
      <c r="A14" s="74">
        <v>1</v>
      </c>
      <c r="B14" s="149" t="s">
        <v>98</v>
      </c>
      <c r="C14" s="150"/>
      <c r="D14" s="150"/>
      <c r="E14" s="123"/>
      <c r="F14" s="123"/>
      <c r="G14" s="123"/>
      <c r="H14" s="288" t="s">
        <v>169</v>
      </c>
      <c r="I14" s="288"/>
      <c r="J14" s="288"/>
      <c r="L14" s="114" t="s">
        <v>99</v>
      </c>
    </row>
    <row r="15" spans="1:12">
      <c r="B15" s="290" t="s">
        <v>149</v>
      </c>
      <c r="C15" s="290"/>
      <c r="D15" s="290"/>
      <c r="E15" s="290"/>
      <c r="F15" s="290"/>
      <c r="G15" s="290"/>
      <c r="H15" s="291">
        <f>'MASTER FILE'!$B$6</f>
        <v>22008</v>
      </c>
      <c r="I15" s="292"/>
      <c r="J15" s="292"/>
      <c r="L15" s="114" t="s">
        <v>99</v>
      </c>
    </row>
    <row r="16" spans="1:12">
      <c r="B16" s="289" t="s">
        <v>100</v>
      </c>
      <c r="C16" s="289"/>
      <c r="D16" s="289"/>
      <c r="E16" s="289"/>
      <c r="F16" s="289"/>
      <c r="G16" s="289"/>
      <c r="H16" s="291">
        <f>'MASTER FILE'!$C$6</f>
        <v>32394</v>
      </c>
      <c r="I16" s="291"/>
      <c r="J16" s="291"/>
      <c r="K16" s="117" t="s">
        <v>99</v>
      </c>
      <c r="L16" s="114" t="s">
        <v>99</v>
      </c>
    </row>
    <row r="17" spans="1:12">
      <c r="A17" s="74"/>
      <c r="B17" s="295" t="s">
        <v>171</v>
      </c>
      <c r="C17" s="295"/>
      <c r="D17" s="295"/>
      <c r="E17" s="295"/>
      <c r="F17" s="295"/>
      <c r="G17" s="295"/>
      <c r="H17" s="291">
        <f>'MASTER FILE'!$AB$6</f>
        <v>43951</v>
      </c>
      <c r="I17" s="291"/>
      <c r="J17" s="291"/>
      <c r="K17" s="116" t="s">
        <v>99</v>
      </c>
      <c r="L17" s="114" t="s">
        <v>99</v>
      </c>
    </row>
    <row r="18" spans="1:12">
      <c r="B18" s="289" t="s">
        <v>150</v>
      </c>
      <c r="C18" s="289"/>
      <c r="D18" s="289"/>
      <c r="E18" s="289"/>
      <c r="F18" s="289"/>
      <c r="G18" s="289"/>
      <c r="H18" s="294" t="str">
        <f>'MASTER FILE'!$AH$6</f>
        <v>31 Years, 7 Months</v>
      </c>
      <c r="I18" s="294"/>
      <c r="J18" s="294"/>
      <c r="K18" s="117" t="s">
        <v>99</v>
      </c>
      <c r="L18" s="114" t="s">
        <v>99</v>
      </c>
    </row>
    <row r="19" spans="1:12">
      <c r="B19" s="295" t="s">
        <v>151</v>
      </c>
      <c r="C19" s="295"/>
      <c r="D19" s="295"/>
      <c r="E19" s="295"/>
      <c r="F19" s="295"/>
      <c r="G19" s="295"/>
      <c r="H19" s="296">
        <f>'MASTER FILE'!$AJ$6</f>
        <v>63</v>
      </c>
      <c r="I19" s="297"/>
      <c r="J19" s="297"/>
      <c r="K19" s="117" t="s">
        <v>99</v>
      </c>
    </row>
    <row r="20" spans="1:12">
      <c r="B20" s="289" t="s">
        <v>146</v>
      </c>
      <c r="C20" s="289"/>
      <c r="D20" s="289"/>
      <c r="E20" s="289"/>
      <c r="F20" s="289"/>
      <c r="G20" s="289"/>
      <c r="H20" s="293">
        <f>'MASTER FILE'!$BD$6</f>
        <v>60</v>
      </c>
      <c r="I20" s="293"/>
      <c r="J20" s="293"/>
    </row>
    <row r="21" spans="1:12" ht="19.5" customHeight="1">
      <c r="B21" s="325" t="s">
        <v>101</v>
      </c>
      <c r="C21" s="325"/>
    </row>
    <row r="22" spans="1:12" ht="27" customHeight="1">
      <c r="B22" s="287" t="s">
        <v>148</v>
      </c>
      <c r="C22" s="287"/>
      <c r="D22" s="287"/>
      <c r="E22" s="287"/>
      <c r="F22" s="287"/>
      <c r="G22" s="287"/>
      <c r="H22" s="257">
        <v>0</v>
      </c>
      <c r="I22" s="258"/>
      <c r="J22" s="259"/>
    </row>
    <row r="23" spans="1:12" ht="27" customHeight="1">
      <c r="B23" s="287" t="s">
        <v>147</v>
      </c>
      <c r="C23" s="287"/>
      <c r="D23" s="287"/>
      <c r="E23" s="287"/>
      <c r="F23" s="287"/>
      <c r="G23" s="287"/>
      <c r="H23" s="326">
        <f>'MASTER FILE'!$AK$6</f>
        <v>0</v>
      </c>
      <c r="I23" s="327"/>
      <c r="J23" s="328"/>
    </row>
    <row r="24" spans="1:12">
      <c r="B24" s="287" t="s">
        <v>102</v>
      </c>
      <c r="C24" s="287"/>
      <c r="D24" s="287"/>
      <c r="E24" s="287"/>
      <c r="F24" s="287"/>
      <c r="G24" s="287"/>
      <c r="H24" s="257">
        <v>0</v>
      </c>
      <c r="I24" s="258"/>
      <c r="J24" s="259"/>
    </row>
    <row r="25" spans="1:12" hidden="1">
      <c r="B25" s="307"/>
      <c r="C25" s="308"/>
      <c r="D25" s="308"/>
      <c r="E25" s="308"/>
      <c r="F25" s="308"/>
      <c r="G25" s="309"/>
      <c r="H25" s="326">
        <f>'MASTER FILE'!$AN$6+(H22+H24)*2</f>
        <v>60</v>
      </c>
      <c r="I25" s="327"/>
      <c r="J25" s="328"/>
    </row>
    <row r="26" spans="1:12">
      <c r="B26" s="332" t="s">
        <v>103</v>
      </c>
      <c r="C26" s="332"/>
      <c r="D26" s="332"/>
      <c r="E26" s="332"/>
      <c r="F26" s="332"/>
      <c r="G26" s="332"/>
      <c r="H26" s="329">
        <f>IF(H25&gt;66,66,H25)</f>
        <v>60</v>
      </c>
      <c r="I26" s="330"/>
      <c r="J26" s="331"/>
    </row>
    <row r="27" spans="1:12" ht="22.5" customHeight="1">
      <c r="B27" s="324" t="s">
        <v>104</v>
      </c>
      <c r="C27" s="324"/>
      <c r="D27" s="123"/>
      <c r="E27" s="123"/>
      <c r="F27" s="123"/>
      <c r="G27" s="123"/>
      <c r="H27" s="123"/>
      <c r="I27" s="123"/>
      <c r="J27" s="123"/>
    </row>
    <row r="28" spans="1:12">
      <c r="B28" s="252" t="s">
        <v>105</v>
      </c>
      <c r="C28" s="252"/>
      <c r="D28" s="252"/>
      <c r="E28" s="252"/>
      <c r="F28" s="252"/>
      <c r="G28" s="252"/>
      <c r="H28" s="257">
        <v>0</v>
      </c>
      <c r="I28" s="258"/>
      <c r="J28" s="259"/>
    </row>
    <row r="29" spans="1:12">
      <c r="B29" s="252" t="s">
        <v>106</v>
      </c>
      <c r="C29" s="252"/>
      <c r="D29" s="252"/>
      <c r="E29" s="252"/>
      <c r="F29" s="252"/>
      <c r="G29" s="252"/>
      <c r="H29" s="257">
        <v>0</v>
      </c>
      <c r="I29" s="258"/>
      <c r="J29" s="259"/>
    </row>
    <row r="30" spans="1:12" ht="15.75" thickBot="1">
      <c r="B30" s="252" t="s">
        <v>107</v>
      </c>
      <c r="C30" s="252"/>
      <c r="D30" s="252"/>
      <c r="E30" s="252"/>
      <c r="F30" s="252"/>
      <c r="G30" s="252"/>
      <c r="H30" s="257">
        <v>0</v>
      </c>
      <c r="I30" s="258"/>
      <c r="J30" s="259"/>
    </row>
    <row r="31" spans="1:12" ht="16.5" thickBot="1">
      <c r="B31" s="253" t="s">
        <v>108</v>
      </c>
      <c r="C31" s="254"/>
      <c r="D31" s="254"/>
      <c r="E31" s="254"/>
      <c r="F31" s="254"/>
      <c r="G31" s="255"/>
      <c r="H31" s="321">
        <f>H26-(H28+H29+H30)</f>
        <v>60</v>
      </c>
      <c r="I31" s="322"/>
      <c r="J31" s="323"/>
    </row>
    <row r="32" spans="1:12" ht="9.75" customHeight="1">
      <c r="B32" s="118"/>
      <c r="C32" s="118"/>
      <c r="D32" s="118"/>
      <c r="E32" s="118"/>
      <c r="F32" s="118"/>
      <c r="G32" s="118"/>
      <c r="H32" s="119"/>
      <c r="I32" s="119"/>
      <c r="J32" s="119"/>
    </row>
    <row r="33" spans="1:10" s="60" customFormat="1" ht="51.75" customHeight="1">
      <c r="A33" s="125" t="s">
        <v>109</v>
      </c>
      <c r="B33" s="256" t="s">
        <v>152</v>
      </c>
      <c r="C33" s="256"/>
      <c r="D33" s="256"/>
      <c r="E33" s="256"/>
      <c r="F33" s="256"/>
      <c r="G33" s="256"/>
      <c r="H33" s="256"/>
      <c r="I33" s="256"/>
      <c r="J33" s="256"/>
    </row>
    <row r="34" spans="1:10" s="60" customFormat="1" ht="9.75" customHeight="1"/>
    <row r="35" spans="1:10" s="60" customFormat="1">
      <c r="B35" s="242" t="s">
        <v>110</v>
      </c>
      <c r="C35" s="243"/>
      <c r="D35" s="243"/>
      <c r="E35" s="244"/>
      <c r="F35" s="245" t="s">
        <v>165</v>
      </c>
      <c r="G35" s="246"/>
      <c r="H35" s="246"/>
      <c r="I35" s="246"/>
      <c r="J35" s="247"/>
    </row>
    <row r="36" spans="1:10" s="60" customFormat="1">
      <c r="B36" s="248" t="s">
        <v>111</v>
      </c>
      <c r="C36" s="248"/>
      <c r="D36" s="248"/>
      <c r="E36" s="248"/>
      <c r="F36" s="249" t="s">
        <v>112</v>
      </c>
      <c r="G36" s="250"/>
      <c r="H36" s="250"/>
      <c r="I36" s="250"/>
      <c r="J36" s="251"/>
    </row>
    <row r="37" spans="1:10" s="60" customFormat="1">
      <c r="B37" s="248" t="s">
        <v>113</v>
      </c>
      <c r="C37" s="248"/>
      <c r="D37" s="248"/>
      <c r="E37" s="248"/>
      <c r="F37" s="249" t="s">
        <v>114</v>
      </c>
      <c r="G37" s="250"/>
      <c r="H37" s="250"/>
      <c r="I37" s="250"/>
      <c r="J37" s="251"/>
    </row>
    <row r="38" spans="1:10" s="60" customFormat="1">
      <c r="B38" s="248" t="s">
        <v>115</v>
      </c>
      <c r="C38" s="248"/>
      <c r="D38" s="248"/>
      <c r="E38" s="248"/>
      <c r="F38" s="249" t="s">
        <v>116</v>
      </c>
      <c r="G38" s="250"/>
      <c r="H38" s="250"/>
      <c r="I38" s="250"/>
      <c r="J38" s="251"/>
    </row>
    <row r="39" spans="1:10" s="60" customFormat="1">
      <c r="B39" s="123"/>
      <c r="C39" s="123"/>
      <c r="D39" s="123"/>
      <c r="E39" s="123"/>
      <c r="F39" s="123"/>
      <c r="G39" s="123"/>
      <c r="H39" s="123"/>
      <c r="I39" s="123"/>
      <c r="J39" s="123"/>
    </row>
    <row r="40" spans="1:10" s="60" customFormat="1">
      <c r="A40" s="61">
        <v>2</v>
      </c>
      <c r="B40" s="318" t="s">
        <v>153</v>
      </c>
      <c r="C40" s="318"/>
      <c r="D40" s="318"/>
      <c r="E40" s="318"/>
      <c r="F40" s="318"/>
      <c r="G40" s="318"/>
      <c r="H40" s="318"/>
      <c r="I40" s="318"/>
      <c r="J40" s="318"/>
    </row>
    <row r="41" spans="1:10" s="60" customFormat="1" ht="6" customHeight="1">
      <c r="B41" s="123"/>
      <c r="C41" s="123"/>
      <c r="D41" s="123"/>
      <c r="E41" s="123"/>
      <c r="F41" s="123"/>
      <c r="G41" s="123"/>
      <c r="H41" s="123"/>
      <c r="I41" s="123"/>
      <c r="J41" s="123"/>
    </row>
    <row r="42" spans="1:10" s="60" customFormat="1">
      <c r="B42" s="319" t="s">
        <v>82</v>
      </c>
      <c r="C42" s="310" t="s">
        <v>117</v>
      </c>
      <c r="D42" s="310"/>
      <c r="E42" s="283" t="s">
        <v>118</v>
      </c>
      <c r="F42" s="310" t="s">
        <v>119</v>
      </c>
      <c r="G42" s="310"/>
      <c r="H42" s="310"/>
      <c r="I42" s="123"/>
      <c r="J42" s="123"/>
    </row>
    <row r="43" spans="1:10" s="60" customFormat="1">
      <c r="B43" s="319"/>
      <c r="C43" s="241">
        <v>2</v>
      </c>
      <c r="D43" s="241"/>
      <c r="E43" s="283"/>
      <c r="F43" s="123"/>
      <c r="G43" s="61">
        <v>60</v>
      </c>
      <c r="H43" s="123"/>
      <c r="I43" s="123"/>
      <c r="J43" s="123"/>
    </row>
    <row r="44" spans="1:10" s="60" customFormat="1" ht="4.5" customHeight="1" thickBot="1">
      <c r="B44" s="123"/>
      <c r="C44" s="123"/>
      <c r="D44" s="123"/>
      <c r="E44" s="123"/>
      <c r="F44" s="123"/>
      <c r="G44" s="123"/>
      <c r="H44" s="123"/>
      <c r="I44" s="123"/>
      <c r="J44" s="123"/>
    </row>
    <row r="45" spans="1:10" s="60" customFormat="1" ht="15.75" thickBot="1">
      <c r="B45" s="312" t="s">
        <v>82</v>
      </c>
      <c r="C45" s="126">
        <f>'MASTER FILE'!$A$6</f>
        <v>0</v>
      </c>
      <c r="D45" s="314" t="s">
        <v>118</v>
      </c>
      <c r="E45" s="127">
        <f>$H$31</f>
        <v>60</v>
      </c>
      <c r="F45" s="284" t="s">
        <v>120</v>
      </c>
      <c r="G45" s="316">
        <f>'MASTER FILE'!$AV$6</f>
        <v>8500</v>
      </c>
      <c r="H45" s="120" t="s">
        <v>81</v>
      </c>
      <c r="I45" s="128" t="s">
        <v>30</v>
      </c>
      <c r="J45" s="143" t="s">
        <v>23</v>
      </c>
    </row>
    <row r="46" spans="1:10" s="60" customFormat="1" ht="15.75" thickBot="1">
      <c r="B46" s="313"/>
      <c r="C46" s="129">
        <v>2</v>
      </c>
      <c r="D46" s="315"/>
      <c r="E46" s="129">
        <v>60</v>
      </c>
      <c r="F46" s="285"/>
      <c r="G46" s="317"/>
      <c r="H46" s="121">
        <f>G45</f>
        <v>8500</v>
      </c>
      <c r="I46" s="142">
        <f>'MASTER FILE'!$AW$6</f>
        <v>956</v>
      </c>
      <c r="J46" s="152">
        <f>SUM(H46:I46)</f>
        <v>9456</v>
      </c>
    </row>
    <row r="47" spans="1:10" s="60" customFormat="1" ht="12.75" customHeight="1">
      <c r="B47" s="123"/>
      <c r="C47" s="123"/>
      <c r="D47" s="123"/>
      <c r="E47" s="123"/>
      <c r="F47" s="123"/>
      <c r="G47" s="123"/>
      <c r="H47" s="123"/>
      <c r="I47" s="123"/>
      <c r="J47" s="123"/>
    </row>
    <row r="48" spans="1:10" s="60" customFormat="1" ht="39" customHeight="1">
      <c r="A48" s="125" t="s">
        <v>109</v>
      </c>
      <c r="B48" s="269" t="s">
        <v>166</v>
      </c>
      <c r="C48" s="270"/>
      <c r="D48" s="270"/>
      <c r="E48" s="270"/>
      <c r="F48" s="270"/>
      <c r="G48" s="270"/>
      <c r="H48" s="270"/>
      <c r="I48" s="270"/>
      <c r="J48" s="271"/>
    </row>
    <row r="49" spans="1:12" ht="6" customHeight="1">
      <c r="B49" s="123"/>
      <c r="C49" s="123"/>
      <c r="D49" s="123"/>
      <c r="E49" s="123"/>
      <c r="F49" s="123"/>
      <c r="G49" s="123"/>
      <c r="H49" s="123"/>
      <c r="I49" s="123"/>
      <c r="J49" s="123"/>
    </row>
    <row r="50" spans="1:12">
      <c r="B50" s="266" t="s">
        <v>176</v>
      </c>
      <c r="C50" s="267"/>
      <c r="D50" s="267"/>
      <c r="E50" s="268"/>
      <c r="F50" s="266" t="s">
        <v>177</v>
      </c>
      <c r="G50" s="267"/>
      <c r="H50" s="267"/>
      <c r="I50" s="267"/>
      <c r="J50" s="268"/>
    </row>
    <row r="51" spans="1:12">
      <c r="B51" s="130"/>
      <c r="C51" s="130"/>
      <c r="D51" s="130"/>
      <c r="E51" s="130"/>
      <c r="F51" s="130"/>
      <c r="G51" s="130"/>
      <c r="H51" s="130"/>
      <c r="I51" s="130"/>
      <c r="J51" s="130"/>
    </row>
    <row r="52" spans="1:12">
      <c r="A52" s="61">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83" t="s">
        <v>122</v>
      </c>
      <c r="C54" s="283"/>
      <c r="D54" s="283"/>
      <c r="E54" s="310" t="s">
        <v>123</v>
      </c>
      <c r="F54" s="310"/>
      <c r="G54" s="310"/>
      <c r="H54" s="310"/>
      <c r="I54" s="123"/>
      <c r="J54" s="123"/>
    </row>
    <row r="55" spans="1:12">
      <c r="B55" s="283"/>
      <c r="C55" s="283"/>
      <c r="D55" s="283"/>
      <c r="E55" s="241">
        <v>4</v>
      </c>
      <c r="F55" s="241"/>
      <c r="G55" s="241"/>
      <c r="H55" s="241"/>
      <c r="I55" s="123"/>
      <c r="J55" s="123"/>
    </row>
    <row r="56" spans="1:12" ht="9" customHeight="1" thickBot="1">
      <c r="B56" s="61"/>
      <c r="C56" s="61"/>
      <c r="D56" s="61"/>
      <c r="E56" s="61"/>
      <c r="F56" s="61"/>
      <c r="G56" s="61"/>
      <c r="H56" s="61"/>
      <c r="I56" s="123"/>
      <c r="J56" s="123"/>
    </row>
    <row r="57" spans="1:12" ht="15.75" thickBot="1">
      <c r="B57" s="283" t="s">
        <v>122</v>
      </c>
      <c r="C57" s="283"/>
      <c r="D57" s="283"/>
      <c r="E57" s="131">
        <f>C45</f>
        <v>0</v>
      </c>
      <c r="F57" s="126" t="s">
        <v>118</v>
      </c>
      <c r="G57" s="127">
        <f>'MASTER FILE'!$AM$6</f>
        <v>63</v>
      </c>
      <c r="H57" s="284" t="s">
        <v>120</v>
      </c>
      <c r="I57" s="303">
        <f>'MASTER FILE'!$AP$6</f>
        <v>0</v>
      </c>
      <c r="J57" s="122"/>
      <c r="L57" s="135"/>
    </row>
    <row r="58" spans="1:12" ht="15.75" thickBot="1">
      <c r="B58" s="283"/>
      <c r="C58" s="283"/>
      <c r="D58" s="283"/>
      <c r="E58" s="305">
        <v>4</v>
      </c>
      <c r="F58" s="306"/>
      <c r="G58" s="306"/>
      <c r="H58" s="285"/>
      <c r="I58" s="304"/>
      <c r="J58" s="122"/>
      <c r="L58" s="198"/>
    </row>
    <row r="59" spans="1:12" ht="12" customHeight="1">
      <c r="B59" s="123"/>
      <c r="C59" s="123"/>
      <c r="D59" s="123"/>
      <c r="E59" s="123"/>
      <c r="F59" s="123"/>
      <c r="G59" s="123"/>
      <c r="H59" s="123"/>
      <c r="I59" s="123"/>
      <c r="J59" s="123"/>
    </row>
    <row r="60" spans="1:12">
      <c r="B60" s="307" t="s">
        <v>178</v>
      </c>
      <c r="C60" s="308"/>
      <c r="D60" s="308"/>
      <c r="E60" s="308"/>
      <c r="F60" s="308"/>
      <c r="G60" s="308"/>
      <c r="H60" s="308"/>
      <c r="I60" s="308"/>
      <c r="J60" s="309"/>
    </row>
    <row r="61" spans="1:12">
      <c r="B61" s="123"/>
      <c r="C61" s="123"/>
      <c r="D61" s="123"/>
      <c r="E61" s="123"/>
      <c r="F61" s="123"/>
      <c r="G61" s="123"/>
      <c r="H61" s="123"/>
      <c r="I61" s="123"/>
      <c r="J61" s="123"/>
    </row>
    <row r="62" spans="1:12" ht="16.5" customHeight="1">
      <c r="A62" s="61">
        <v>4</v>
      </c>
      <c r="B62" s="124" t="s">
        <v>124</v>
      </c>
      <c r="C62" s="123"/>
      <c r="D62" s="123"/>
      <c r="E62" s="123"/>
      <c r="F62" s="123"/>
      <c r="G62" s="123"/>
      <c r="H62" s="123"/>
      <c r="I62" s="123"/>
      <c r="J62" s="123"/>
    </row>
    <row r="63" spans="1:12" ht="6" customHeight="1">
      <c r="B63" s="124"/>
      <c r="C63" s="123"/>
      <c r="D63" s="123"/>
      <c r="E63" s="123"/>
      <c r="F63" s="123"/>
      <c r="G63" s="123"/>
      <c r="H63" s="123"/>
      <c r="I63" s="123"/>
      <c r="J63" s="123"/>
    </row>
    <row r="64" spans="1:12" ht="31.5" customHeight="1">
      <c r="B64" s="281" t="s">
        <v>154</v>
      </c>
      <c r="C64" s="281"/>
      <c r="D64" s="281"/>
      <c r="E64" s="281"/>
      <c r="F64" s="281"/>
      <c r="G64" s="281"/>
      <c r="H64" s="281"/>
      <c r="I64" s="281"/>
      <c r="J64" s="281"/>
    </row>
    <row r="65" spans="1:12" ht="12" customHeight="1">
      <c r="B65" s="123"/>
      <c r="C65" s="123"/>
      <c r="D65" s="123"/>
      <c r="E65" s="123"/>
      <c r="F65" s="123"/>
      <c r="G65" s="123"/>
      <c r="H65" s="123"/>
      <c r="I65" s="123"/>
      <c r="J65" s="123"/>
      <c r="L65" s="60"/>
    </row>
    <row r="66" spans="1:12">
      <c r="B66" s="282" t="s">
        <v>125</v>
      </c>
      <c r="C66" s="282"/>
      <c r="D66" s="282"/>
      <c r="E66" s="282"/>
      <c r="F66" s="282"/>
      <c r="G66" s="282"/>
      <c r="H66" s="282"/>
      <c r="I66" s="282"/>
      <c r="J66" s="282"/>
      <c r="L66" s="60"/>
    </row>
    <row r="67" spans="1:12" ht="4.5" customHeight="1">
      <c r="B67" s="132"/>
      <c r="C67" s="132"/>
      <c r="D67" s="132"/>
      <c r="E67" s="132"/>
      <c r="F67" s="132"/>
      <c r="G67" s="132"/>
      <c r="H67" s="132"/>
      <c r="I67" s="132"/>
      <c r="J67" s="132"/>
      <c r="L67" s="60"/>
    </row>
    <row r="68" spans="1:12">
      <c r="B68" s="272" t="s">
        <v>126</v>
      </c>
      <c r="C68" s="273"/>
      <c r="D68" s="273"/>
      <c r="E68" s="273"/>
      <c r="F68" s="274"/>
      <c r="G68" s="272" t="s">
        <v>127</v>
      </c>
      <c r="H68" s="273"/>
      <c r="I68" s="273"/>
      <c r="J68" s="274"/>
      <c r="L68" s="60"/>
    </row>
    <row r="69" spans="1:12">
      <c r="B69" s="272" t="s">
        <v>128</v>
      </c>
      <c r="C69" s="273"/>
      <c r="D69" s="273"/>
      <c r="E69" s="273"/>
      <c r="F69" s="274"/>
      <c r="G69" s="272" t="s">
        <v>129</v>
      </c>
      <c r="H69" s="273"/>
      <c r="I69" s="273"/>
      <c r="J69" s="274"/>
      <c r="L69" s="60"/>
    </row>
    <row r="70" spans="1:12">
      <c r="B70" s="272" t="s">
        <v>130</v>
      </c>
      <c r="C70" s="273"/>
      <c r="D70" s="273"/>
      <c r="E70" s="273"/>
      <c r="F70" s="274"/>
      <c r="G70" s="272" t="s">
        <v>131</v>
      </c>
      <c r="H70" s="273"/>
      <c r="I70" s="273"/>
      <c r="J70" s="274"/>
      <c r="L70" s="60"/>
    </row>
    <row r="71" spans="1:12" ht="52.5" customHeight="1">
      <c r="B71" s="275" t="s">
        <v>132</v>
      </c>
      <c r="C71" s="276"/>
      <c r="D71" s="276"/>
      <c r="E71" s="276"/>
      <c r="F71" s="277"/>
      <c r="G71" s="335" t="s">
        <v>167</v>
      </c>
      <c r="H71" s="336"/>
      <c r="I71" s="336"/>
      <c r="J71" s="337"/>
      <c r="L71" s="60"/>
    </row>
    <row r="72" spans="1:12">
      <c r="B72" s="278" t="s">
        <v>133</v>
      </c>
      <c r="C72" s="278"/>
      <c r="D72" s="278"/>
      <c r="E72" s="278"/>
      <c r="F72" s="278"/>
      <c r="G72" s="278"/>
      <c r="H72" s="278"/>
      <c r="I72" s="278"/>
      <c r="J72" s="278"/>
      <c r="L72" s="60"/>
    </row>
    <row r="73" spans="1:12">
      <c r="B73" s="123"/>
      <c r="C73" s="123"/>
      <c r="D73" s="123"/>
      <c r="E73" s="123"/>
      <c r="F73" s="123"/>
      <c r="G73" s="123"/>
      <c r="H73" s="123"/>
      <c r="I73" s="123"/>
      <c r="J73" s="123"/>
      <c r="L73" s="60"/>
    </row>
    <row r="74" spans="1:12">
      <c r="A74" s="61">
        <v>5</v>
      </c>
      <c r="B74" s="124" t="s">
        <v>134</v>
      </c>
      <c r="C74" s="123"/>
      <c r="D74" s="123"/>
      <c r="E74" s="123"/>
      <c r="F74" s="123"/>
      <c r="G74" s="123"/>
      <c r="H74" s="123"/>
      <c r="I74" s="123"/>
      <c r="J74" s="123"/>
      <c r="L74" s="60"/>
    </row>
    <row r="75" spans="1:12" ht="6.75" customHeight="1">
      <c r="B75" s="123"/>
      <c r="C75" s="123"/>
      <c r="D75" s="123"/>
      <c r="E75" s="123"/>
      <c r="F75" s="123"/>
      <c r="G75" s="123"/>
      <c r="H75" s="123"/>
      <c r="I75" s="123"/>
      <c r="J75" s="123"/>
      <c r="L75" s="60"/>
    </row>
    <row r="76" spans="1:12" ht="15.75" customHeight="1">
      <c r="B76" s="279" t="s">
        <v>135</v>
      </c>
      <c r="C76" s="279"/>
      <c r="D76" s="280" t="s">
        <v>136</v>
      </c>
      <c r="E76" s="280"/>
      <c r="F76" s="280"/>
      <c r="G76" s="280"/>
      <c r="H76" s="280"/>
      <c r="I76" s="280"/>
      <c r="J76" s="280"/>
      <c r="L76" s="60"/>
    </row>
    <row r="77" spans="1:12" ht="9.75" customHeight="1" thickBot="1">
      <c r="B77" s="279"/>
      <c r="C77" s="279"/>
      <c r="D77" s="123"/>
      <c r="E77" s="123"/>
      <c r="F77" s="123"/>
      <c r="G77" s="123"/>
      <c r="H77" s="123"/>
      <c r="I77" s="123"/>
      <c r="J77" s="123"/>
      <c r="L77" s="60"/>
    </row>
    <row r="78" spans="1:12" ht="15.75" thickBot="1">
      <c r="B78" s="279"/>
      <c r="C78" s="279"/>
      <c r="D78" s="133">
        <f>G45/3</f>
        <v>2833.3333333333335</v>
      </c>
      <c r="E78" s="126" t="s">
        <v>118</v>
      </c>
      <c r="F78" s="134">
        <f>'MASTER FILE'!$BC$6</f>
        <v>9.81</v>
      </c>
      <c r="G78" s="126" t="s">
        <v>118</v>
      </c>
      <c r="H78" s="126">
        <v>12</v>
      </c>
      <c r="I78" s="126" t="s">
        <v>120</v>
      </c>
      <c r="J78" s="153">
        <f>'MASTER FILE'!$AZ$6</f>
        <v>333501</v>
      </c>
      <c r="L78" s="60"/>
    </row>
    <row r="79" spans="1:12">
      <c r="B79" s="123"/>
      <c r="C79" s="123"/>
      <c r="D79" s="123"/>
      <c r="E79" s="123"/>
      <c r="F79" s="123"/>
      <c r="G79" s="123"/>
      <c r="H79" s="123"/>
      <c r="I79" s="123"/>
      <c r="J79" s="123"/>
      <c r="L79" s="60"/>
    </row>
    <row r="80" spans="1:12" ht="53.25" customHeight="1">
      <c r="A80" s="136" t="s">
        <v>109</v>
      </c>
      <c r="B80" s="256" t="s">
        <v>155</v>
      </c>
      <c r="C80" s="256"/>
      <c r="D80" s="256"/>
      <c r="E80" s="256"/>
      <c r="F80" s="256"/>
      <c r="G80" s="256"/>
      <c r="H80" s="256"/>
      <c r="I80" s="256"/>
      <c r="J80" s="256"/>
      <c r="L80" s="60"/>
    </row>
    <row r="81" spans="1:14">
      <c r="B81" s="123"/>
      <c r="C81" s="123"/>
      <c r="D81" s="123"/>
      <c r="E81" s="123"/>
      <c r="F81" s="123"/>
      <c r="G81" s="123"/>
      <c r="H81" s="123"/>
      <c r="I81" s="123"/>
      <c r="J81" s="123"/>
    </row>
    <row r="82" spans="1:14" ht="31.5" customHeight="1">
      <c r="A82" s="151" t="s">
        <v>137</v>
      </c>
      <c r="B82" s="269" t="s">
        <v>168</v>
      </c>
      <c r="C82" s="270"/>
      <c r="D82" s="270"/>
      <c r="E82" s="270"/>
      <c r="F82" s="270"/>
      <c r="G82" s="270"/>
      <c r="H82" s="270"/>
      <c r="I82" s="270"/>
      <c r="J82" s="271"/>
    </row>
    <row r="83" spans="1:14">
      <c r="B83" s="123"/>
      <c r="C83" s="123"/>
      <c r="D83" s="123"/>
      <c r="E83" s="123"/>
      <c r="F83" s="123"/>
      <c r="G83" s="123"/>
      <c r="H83" s="123"/>
      <c r="I83" s="123"/>
      <c r="J83" s="123"/>
    </row>
    <row r="84" spans="1:14" ht="18" customHeight="1">
      <c r="A84" s="74">
        <v>6</v>
      </c>
      <c r="B84" s="325" t="s">
        <v>138</v>
      </c>
      <c r="C84" s="325"/>
      <c r="D84" s="123"/>
      <c r="E84" s="123"/>
      <c r="F84" s="123"/>
      <c r="G84" s="123"/>
      <c r="H84" s="123"/>
      <c r="I84" s="123"/>
      <c r="J84" s="123"/>
    </row>
    <row r="85" spans="1:14" ht="9.75" customHeight="1">
      <c r="B85" s="124"/>
      <c r="C85" s="123"/>
      <c r="D85" s="123"/>
      <c r="E85" s="123"/>
      <c r="F85" s="123"/>
      <c r="G85" s="123"/>
      <c r="H85" s="123"/>
      <c r="I85" s="123"/>
      <c r="J85" s="123"/>
    </row>
    <row r="86" spans="1:14">
      <c r="B86" s="266" t="s">
        <v>176</v>
      </c>
      <c r="C86" s="267"/>
      <c r="D86" s="267"/>
      <c r="E86" s="268"/>
      <c r="F86" s="266" t="s">
        <v>180</v>
      </c>
      <c r="G86" s="267"/>
      <c r="H86" s="267"/>
      <c r="I86" s="267"/>
      <c r="J86" s="268"/>
    </row>
    <row r="87" spans="1:14" ht="10.5" customHeight="1">
      <c r="B87" s="130"/>
      <c r="C87" s="130"/>
      <c r="D87" s="130"/>
      <c r="E87" s="130"/>
      <c r="F87" s="130"/>
      <c r="G87" s="130"/>
      <c r="H87" s="130"/>
      <c r="I87" s="130"/>
      <c r="J87" s="130"/>
    </row>
    <row r="88" spans="1:14">
      <c r="B88" s="130"/>
      <c r="C88" s="283" t="s">
        <v>156</v>
      </c>
      <c r="D88" s="283"/>
      <c r="E88" s="283"/>
      <c r="F88" s="283"/>
      <c r="G88" s="283"/>
      <c r="H88" s="283"/>
      <c r="I88" s="283"/>
      <c r="J88" s="130"/>
    </row>
    <row r="89" spans="1:14" ht="6" customHeight="1" thickBot="1">
      <c r="B89" s="130"/>
      <c r="C89" s="130"/>
      <c r="D89" s="130"/>
      <c r="E89" s="130"/>
      <c r="F89" s="130"/>
      <c r="G89" s="130"/>
      <c r="H89" s="130"/>
      <c r="I89" s="130"/>
      <c r="J89" s="130"/>
    </row>
    <row r="90" spans="1:14" ht="15.75" thickBot="1">
      <c r="C90" s="266" t="s">
        <v>157</v>
      </c>
      <c r="D90" s="267"/>
      <c r="E90" s="267"/>
      <c r="F90" s="140">
        <f>C45</f>
        <v>0</v>
      </c>
      <c r="G90" s="140" t="s">
        <v>118</v>
      </c>
      <c r="H90" s="141">
        <v>0.3</v>
      </c>
      <c r="I90" s="140" t="s">
        <v>120</v>
      </c>
      <c r="J90" s="152">
        <f>'MASTER FILE'!$BB$6</f>
        <v>8500</v>
      </c>
      <c r="L90" s="135"/>
    </row>
    <row r="91" spans="1:14">
      <c r="C91" s="130"/>
      <c r="D91" s="130"/>
      <c r="E91" s="130"/>
      <c r="F91" s="130"/>
      <c r="G91" s="130"/>
      <c r="H91" s="138"/>
      <c r="I91" s="130"/>
      <c r="J91" s="139"/>
      <c r="L91" s="135"/>
    </row>
    <row r="92" spans="1:14">
      <c r="A92" s="61">
        <v>7</v>
      </c>
      <c r="B92" s="345" t="s">
        <v>159</v>
      </c>
      <c r="C92" s="345"/>
      <c r="D92" s="123"/>
      <c r="E92" s="123"/>
      <c r="F92" s="123"/>
      <c r="G92" s="123"/>
      <c r="H92" s="123"/>
      <c r="I92" s="123"/>
      <c r="J92" s="123"/>
      <c r="L92" s="135"/>
    </row>
    <row r="93" spans="1:14" ht="8.25" customHeight="1">
      <c r="B93" s="124"/>
      <c r="C93" s="123"/>
      <c r="D93" s="123"/>
      <c r="E93" s="123"/>
      <c r="F93" s="123"/>
      <c r="G93" s="123"/>
      <c r="H93" s="123"/>
      <c r="I93" s="123"/>
      <c r="J93" s="123"/>
      <c r="L93" s="135"/>
    </row>
    <row r="94" spans="1:14">
      <c r="B94" s="130"/>
      <c r="C94" s="283" t="s">
        <v>162</v>
      </c>
      <c r="D94" s="283"/>
      <c r="E94" s="283"/>
      <c r="F94" s="283"/>
      <c r="G94" s="283"/>
      <c r="H94" s="283"/>
      <c r="I94" s="283"/>
      <c r="J94" s="130"/>
      <c r="N94" s="199"/>
    </row>
    <row r="95" spans="1:14" ht="8.25" customHeight="1" thickBot="1">
      <c r="B95" s="130"/>
      <c r="C95" s="130"/>
      <c r="D95" s="130"/>
      <c r="E95" s="130"/>
      <c r="F95" s="130"/>
      <c r="G95" s="130"/>
      <c r="H95" s="130"/>
      <c r="I95" s="130"/>
      <c r="J95" s="130"/>
    </row>
    <row r="96" spans="1:14" ht="15.75" thickBot="1">
      <c r="B96" s="344" t="s">
        <v>161</v>
      </c>
      <c r="C96" s="344"/>
      <c r="D96" s="144">
        <f>C45</f>
        <v>0</v>
      </c>
      <c r="E96" s="165" t="s">
        <v>160</v>
      </c>
      <c r="F96" s="146">
        <f>TRUNC(D96*Psh!$F$9+0.5)</f>
        <v>0</v>
      </c>
      <c r="G96" s="145" t="s">
        <v>118</v>
      </c>
      <c r="H96" s="147">
        <f>'MASTER FILE'!$AQ$6</f>
        <v>0</v>
      </c>
      <c r="I96" s="340" t="s">
        <v>120</v>
      </c>
      <c r="J96" s="342">
        <f>'MASTER FILE'!$AS$6</f>
        <v>0</v>
      </c>
    </row>
    <row r="97" spans="2:12" ht="15.75" thickBot="1">
      <c r="B97" s="344"/>
      <c r="C97" s="344"/>
      <c r="D97" s="338">
        <v>30</v>
      </c>
      <c r="E97" s="339"/>
      <c r="F97" s="339"/>
      <c r="G97" s="339"/>
      <c r="H97" s="339"/>
      <c r="I97" s="341"/>
      <c r="J97" s="343"/>
    </row>
    <row r="99" spans="2:12" s="123" customFormat="1" ht="17.25" customHeight="1">
      <c r="C99" s="148">
        <v>1</v>
      </c>
      <c r="D99" s="333" t="s">
        <v>82</v>
      </c>
      <c r="E99" s="333"/>
      <c r="F99" s="333"/>
      <c r="G99" s="333"/>
      <c r="H99" s="166">
        <f>J46</f>
        <v>9456</v>
      </c>
      <c r="I99" s="167"/>
      <c r="L99" s="168"/>
    </row>
    <row r="100" spans="2:12" s="123" customFormat="1" ht="17.25" customHeight="1">
      <c r="C100" s="148">
        <v>2</v>
      </c>
      <c r="D100" s="333" t="s">
        <v>163</v>
      </c>
      <c r="E100" s="333"/>
      <c r="F100" s="333"/>
      <c r="G100" s="333"/>
      <c r="H100" s="169"/>
      <c r="I100" s="166">
        <f>I57</f>
        <v>0</v>
      </c>
      <c r="L100" s="168"/>
    </row>
    <row r="101" spans="2:12" s="123" customFormat="1" ht="17.25" customHeight="1">
      <c r="C101" s="148">
        <v>3</v>
      </c>
      <c r="D101" s="333" t="s">
        <v>134</v>
      </c>
      <c r="E101" s="333"/>
      <c r="F101" s="333"/>
      <c r="G101" s="333"/>
      <c r="H101" s="169"/>
      <c r="I101" s="166">
        <f>J78</f>
        <v>333501</v>
      </c>
      <c r="L101" s="168"/>
    </row>
    <row r="102" spans="2:12" s="123" customFormat="1" ht="17.25" customHeight="1">
      <c r="C102" s="148">
        <v>4</v>
      </c>
      <c r="D102" s="333" t="s">
        <v>159</v>
      </c>
      <c r="E102" s="333"/>
      <c r="F102" s="333"/>
      <c r="G102" s="333"/>
      <c r="H102" s="169"/>
      <c r="I102" s="166">
        <f>J96</f>
        <v>0</v>
      </c>
      <c r="L102" s="168"/>
    </row>
    <row r="103" spans="2:12" s="123" customFormat="1" ht="17.25" customHeight="1">
      <c r="C103" s="170"/>
      <c r="D103" s="334" t="s">
        <v>164</v>
      </c>
      <c r="E103" s="334"/>
      <c r="F103" s="334"/>
      <c r="G103" s="334"/>
      <c r="H103" s="171"/>
      <c r="I103" s="166">
        <f>SUM(I100:I102)</f>
        <v>333501</v>
      </c>
      <c r="L103" s="168"/>
    </row>
  </sheetData>
  <sheetProtection password="C345" sheet="1" objects="1" scenarios="1" selectLockedCells="1"/>
  <mergeCells count="114">
    <mergeCell ref="D99:G99"/>
    <mergeCell ref="D100:G100"/>
    <mergeCell ref="D101:G101"/>
    <mergeCell ref="D102:G102"/>
    <mergeCell ref="D103:G103"/>
    <mergeCell ref="G71:J71"/>
    <mergeCell ref="C94:I94"/>
    <mergeCell ref="D97:H97"/>
    <mergeCell ref="I96:I97"/>
    <mergeCell ref="J96:J97"/>
    <mergeCell ref="B96:C97"/>
    <mergeCell ref="C88:I88"/>
    <mergeCell ref="C90:E90"/>
    <mergeCell ref="B92:C92"/>
    <mergeCell ref="B84:C84"/>
    <mergeCell ref="B11:J11"/>
    <mergeCell ref="H29:J29"/>
    <mergeCell ref="H30:J30"/>
    <mergeCell ref="H31:J31"/>
    <mergeCell ref="B27:C27"/>
    <mergeCell ref="B21:C21"/>
    <mergeCell ref="H23:J23"/>
    <mergeCell ref="H24:J24"/>
    <mergeCell ref="H26:J26"/>
    <mergeCell ref="B23:G23"/>
    <mergeCell ref="B24:G24"/>
    <mergeCell ref="B26:G26"/>
    <mergeCell ref="B25:G25"/>
    <mergeCell ref="H25:J25"/>
    <mergeCell ref="I57:I58"/>
    <mergeCell ref="E58:G58"/>
    <mergeCell ref="B60:J60"/>
    <mergeCell ref="B50:E50"/>
    <mergeCell ref="F50:J50"/>
    <mergeCell ref="B54:D55"/>
    <mergeCell ref="E54:H54"/>
    <mergeCell ref="E55:H55"/>
    <mergeCell ref="H6:J6"/>
    <mergeCell ref="B13:F13"/>
    <mergeCell ref="G13:J13"/>
    <mergeCell ref="H22:J22"/>
    <mergeCell ref="B45:B46"/>
    <mergeCell ref="D45:D46"/>
    <mergeCell ref="F45:F46"/>
    <mergeCell ref="G45:G46"/>
    <mergeCell ref="B48:J48"/>
    <mergeCell ref="B38:E38"/>
    <mergeCell ref="F38:J38"/>
    <mergeCell ref="B40:J40"/>
    <mergeCell ref="B42:B43"/>
    <mergeCell ref="C42:D42"/>
    <mergeCell ref="E42:E43"/>
    <mergeCell ref="F42:H42"/>
    <mergeCell ref="B2:G2"/>
    <mergeCell ref="B3:G3"/>
    <mergeCell ref="B4:G4"/>
    <mergeCell ref="B5:G5"/>
    <mergeCell ref="B6:G6"/>
    <mergeCell ref="B22:G22"/>
    <mergeCell ref="H14:J14"/>
    <mergeCell ref="B7:G7"/>
    <mergeCell ref="H7:J7"/>
    <mergeCell ref="B20:G20"/>
    <mergeCell ref="B15:G15"/>
    <mergeCell ref="H15:J15"/>
    <mergeCell ref="H20:J20"/>
    <mergeCell ref="B16:G16"/>
    <mergeCell ref="H16:J16"/>
    <mergeCell ref="B18:G18"/>
    <mergeCell ref="H18:J18"/>
    <mergeCell ref="B19:G19"/>
    <mergeCell ref="H19:J19"/>
    <mergeCell ref="B17:G17"/>
    <mergeCell ref="H17:J17"/>
    <mergeCell ref="B8:G8"/>
    <mergeCell ref="H8:J8"/>
    <mergeCell ref="B12:J12"/>
    <mergeCell ref="H1:J1"/>
    <mergeCell ref="H2:J2"/>
    <mergeCell ref="H3:J3"/>
    <mergeCell ref="H4:J4"/>
    <mergeCell ref="H5:J5"/>
    <mergeCell ref="B1:G1"/>
    <mergeCell ref="B86:E86"/>
    <mergeCell ref="F86:J86"/>
    <mergeCell ref="B80:J80"/>
    <mergeCell ref="B82:J82"/>
    <mergeCell ref="B70:F70"/>
    <mergeCell ref="G70:J70"/>
    <mergeCell ref="B71:F71"/>
    <mergeCell ref="B72:J72"/>
    <mergeCell ref="B76:C78"/>
    <mergeCell ref="D76:J76"/>
    <mergeCell ref="B64:J64"/>
    <mergeCell ref="B66:J66"/>
    <mergeCell ref="B68:F68"/>
    <mergeCell ref="G68:J68"/>
    <mergeCell ref="B69:F69"/>
    <mergeCell ref="G69:J69"/>
    <mergeCell ref="B57:D58"/>
    <mergeCell ref="H57:H58"/>
    <mergeCell ref="C43:D43"/>
    <mergeCell ref="B35:E35"/>
    <mergeCell ref="F35:J35"/>
    <mergeCell ref="B36:E36"/>
    <mergeCell ref="F36:J36"/>
    <mergeCell ref="B37:E37"/>
    <mergeCell ref="F37:J37"/>
    <mergeCell ref="B28:G28"/>
    <mergeCell ref="B29:G29"/>
    <mergeCell ref="B30:G30"/>
    <mergeCell ref="B31:G31"/>
    <mergeCell ref="B33:J33"/>
    <mergeCell ref="H28:J28"/>
  </mergeCells>
  <printOptions horizontalCentered="1"/>
  <pageMargins left="0.39370078740157483" right="0.39370078740157483" top="0.59055118110236227" bottom="0.39370078740157483" header="0.19685039370078741" footer="0.19685039370078741"/>
  <pageSetup paperSize="9" orientation="portrait" horizontalDpi="1200" verticalDpi="1200" r:id="rId1"/>
  <headerFooter>
    <oddHeader>&amp;R&amp;"-,Bold Italic"psh*</oddHeader>
    <oddFooter>&amp;L&amp;"-,Bold Italic"&amp;10Program by Purushotham&amp;R&amp;"-,Bold"PAGE-&amp;P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3"/>
  <sheetViews>
    <sheetView workbookViewId="0">
      <selection activeCell="H5" sqref="H5:J5"/>
    </sheetView>
  </sheetViews>
  <sheetFormatPr defaultRowHeight="15"/>
  <cols>
    <col min="1" max="1" width="6.42578125" style="60" customWidth="1"/>
    <col min="2" max="2" width="10.42578125" style="60" customWidth="1"/>
    <col min="3" max="3" width="9.5703125" style="60" customWidth="1"/>
    <col min="4" max="4" width="9.42578125" style="60" customWidth="1"/>
    <col min="5" max="5" width="8.7109375" style="60" customWidth="1"/>
    <col min="6" max="6" width="8" style="60" customWidth="1"/>
    <col min="7" max="7" width="8.7109375" style="60" customWidth="1"/>
    <col min="8" max="8" width="9.5703125" style="60" customWidth="1"/>
    <col min="9" max="9" width="10.140625" style="60" customWidth="1"/>
    <col min="10" max="10" width="10.7109375" style="60" customWidth="1"/>
    <col min="11" max="11" width="5.5703125" style="60" customWidth="1"/>
    <col min="12" max="12" width="14.85546875" style="114" customWidth="1"/>
    <col min="13" max="256" width="9.140625" style="60"/>
    <col min="257" max="257" width="6.42578125" style="60" customWidth="1"/>
    <col min="258" max="258" width="10.42578125" style="60" customWidth="1"/>
    <col min="259" max="259" width="9.5703125" style="60" customWidth="1"/>
    <col min="260" max="260" width="9.42578125" style="60" customWidth="1"/>
    <col min="261" max="261" width="8.7109375" style="60" customWidth="1"/>
    <col min="262" max="262" width="8" style="60" customWidth="1"/>
    <col min="263" max="263" width="7.42578125" style="60" customWidth="1"/>
    <col min="264" max="266" width="9.5703125" style="60" customWidth="1"/>
    <col min="267" max="267" width="5.5703125" style="60" customWidth="1"/>
    <col min="268" max="268" width="14.85546875" style="60" customWidth="1"/>
    <col min="269" max="512" width="9.140625" style="60"/>
    <col min="513" max="513" width="6.42578125" style="60" customWidth="1"/>
    <col min="514" max="514" width="10.42578125" style="60" customWidth="1"/>
    <col min="515" max="515" width="9.5703125" style="60" customWidth="1"/>
    <col min="516" max="516" width="9.42578125" style="60" customWidth="1"/>
    <col min="517" max="517" width="8.7109375" style="60" customWidth="1"/>
    <col min="518" max="518" width="8" style="60" customWidth="1"/>
    <col min="519" max="519" width="7.42578125" style="60" customWidth="1"/>
    <col min="520" max="522" width="9.5703125" style="60" customWidth="1"/>
    <col min="523" max="523" width="5.5703125" style="60" customWidth="1"/>
    <col min="524" max="524" width="14.85546875" style="60" customWidth="1"/>
    <col min="525" max="768" width="9.140625" style="60"/>
    <col min="769" max="769" width="6.42578125" style="60" customWidth="1"/>
    <col min="770" max="770" width="10.42578125" style="60" customWidth="1"/>
    <col min="771" max="771" width="9.5703125" style="60" customWidth="1"/>
    <col min="772" max="772" width="9.42578125" style="60" customWidth="1"/>
    <col min="773" max="773" width="8.7109375" style="60" customWidth="1"/>
    <col min="774" max="774" width="8" style="60" customWidth="1"/>
    <col min="775" max="775" width="7.42578125" style="60" customWidth="1"/>
    <col min="776" max="778" width="9.5703125" style="60" customWidth="1"/>
    <col min="779" max="779" width="5.5703125" style="60" customWidth="1"/>
    <col min="780" max="780" width="14.85546875" style="60" customWidth="1"/>
    <col min="781" max="1024" width="9.140625" style="60"/>
    <col min="1025" max="1025" width="6.42578125" style="60" customWidth="1"/>
    <col min="1026" max="1026" width="10.42578125" style="60" customWidth="1"/>
    <col min="1027" max="1027" width="9.5703125" style="60" customWidth="1"/>
    <col min="1028" max="1028" width="9.42578125" style="60" customWidth="1"/>
    <col min="1029" max="1029" width="8.7109375" style="60" customWidth="1"/>
    <col min="1030" max="1030" width="8" style="60" customWidth="1"/>
    <col min="1031" max="1031" width="7.42578125" style="60" customWidth="1"/>
    <col min="1032" max="1034" width="9.5703125" style="60" customWidth="1"/>
    <col min="1035" max="1035" width="5.5703125" style="60" customWidth="1"/>
    <col min="1036" max="1036" width="14.85546875" style="60" customWidth="1"/>
    <col min="1037" max="1280" width="9.140625" style="60"/>
    <col min="1281" max="1281" width="6.42578125" style="60" customWidth="1"/>
    <col min="1282" max="1282" width="10.42578125" style="60" customWidth="1"/>
    <col min="1283" max="1283" width="9.5703125" style="60" customWidth="1"/>
    <col min="1284" max="1284" width="9.42578125" style="60" customWidth="1"/>
    <col min="1285" max="1285" width="8.7109375" style="60" customWidth="1"/>
    <col min="1286" max="1286" width="8" style="60" customWidth="1"/>
    <col min="1287" max="1287" width="7.42578125" style="60" customWidth="1"/>
    <col min="1288" max="1290" width="9.5703125" style="60" customWidth="1"/>
    <col min="1291" max="1291" width="5.5703125" style="60" customWidth="1"/>
    <col min="1292" max="1292" width="14.85546875" style="60" customWidth="1"/>
    <col min="1293" max="1536" width="9.140625" style="60"/>
    <col min="1537" max="1537" width="6.42578125" style="60" customWidth="1"/>
    <col min="1538" max="1538" width="10.42578125" style="60" customWidth="1"/>
    <col min="1539" max="1539" width="9.5703125" style="60" customWidth="1"/>
    <col min="1540" max="1540" width="9.42578125" style="60" customWidth="1"/>
    <col min="1541" max="1541" width="8.7109375" style="60" customWidth="1"/>
    <col min="1542" max="1542" width="8" style="60" customWidth="1"/>
    <col min="1543" max="1543" width="7.42578125" style="60" customWidth="1"/>
    <col min="1544" max="1546" width="9.5703125" style="60" customWidth="1"/>
    <col min="1547" max="1547" width="5.5703125" style="60" customWidth="1"/>
    <col min="1548" max="1548" width="14.85546875" style="60" customWidth="1"/>
    <col min="1549" max="1792" width="9.140625" style="60"/>
    <col min="1793" max="1793" width="6.42578125" style="60" customWidth="1"/>
    <col min="1794" max="1794" width="10.42578125" style="60" customWidth="1"/>
    <col min="1795" max="1795" width="9.5703125" style="60" customWidth="1"/>
    <col min="1796" max="1796" width="9.42578125" style="60" customWidth="1"/>
    <col min="1797" max="1797" width="8.7109375" style="60" customWidth="1"/>
    <col min="1798" max="1798" width="8" style="60" customWidth="1"/>
    <col min="1799" max="1799" width="7.42578125" style="60" customWidth="1"/>
    <col min="1800" max="1802" width="9.5703125" style="60" customWidth="1"/>
    <col min="1803" max="1803" width="5.5703125" style="60" customWidth="1"/>
    <col min="1804" max="1804" width="14.85546875" style="60" customWidth="1"/>
    <col min="1805" max="2048" width="9.140625" style="60"/>
    <col min="2049" max="2049" width="6.42578125" style="60" customWidth="1"/>
    <col min="2050" max="2050" width="10.42578125" style="60" customWidth="1"/>
    <col min="2051" max="2051" width="9.5703125" style="60" customWidth="1"/>
    <col min="2052" max="2052" width="9.42578125" style="60" customWidth="1"/>
    <col min="2053" max="2053" width="8.7109375" style="60" customWidth="1"/>
    <col min="2054" max="2054" width="8" style="60" customWidth="1"/>
    <col min="2055" max="2055" width="7.42578125" style="60" customWidth="1"/>
    <col min="2056" max="2058" width="9.5703125" style="60" customWidth="1"/>
    <col min="2059" max="2059" width="5.5703125" style="60" customWidth="1"/>
    <col min="2060" max="2060" width="14.85546875" style="60" customWidth="1"/>
    <col min="2061" max="2304" width="9.140625" style="60"/>
    <col min="2305" max="2305" width="6.42578125" style="60" customWidth="1"/>
    <col min="2306" max="2306" width="10.42578125" style="60" customWidth="1"/>
    <col min="2307" max="2307" width="9.5703125" style="60" customWidth="1"/>
    <col min="2308" max="2308" width="9.42578125" style="60" customWidth="1"/>
    <col min="2309" max="2309" width="8.7109375" style="60" customWidth="1"/>
    <col min="2310" max="2310" width="8" style="60" customWidth="1"/>
    <col min="2311" max="2311" width="7.42578125" style="60" customWidth="1"/>
    <col min="2312" max="2314" width="9.5703125" style="60" customWidth="1"/>
    <col min="2315" max="2315" width="5.5703125" style="60" customWidth="1"/>
    <col min="2316" max="2316" width="14.85546875" style="60" customWidth="1"/>
    <col min="2317" max="2560" width="9.140625" style="60"/>
    <col min="2561" max="2561" width="6.42578125" style="60" customWidth="1"/>
    <col min="2562" max="2562" width="10.42578125" style="60" customWidth="1"/>
    <col min="2563" max="2563" width="9.5703125" style="60" customWidth="1"/>
    <col min="2564" max="2564" width="9.42578125" style="60" customWidth="1"/>
    <col min="2565" max="2565" width="8.7109375" style="60" customWidth="1"/>
    <col min="2566" max="2566" width="8" style="60" customWidth="1"/>
    <col min="2567" max="2567" width="7.42578125" style="60" customWidth="1"/>
    <col min="2568" max="2570" width="9.5703125" style="60" customWidth="1"/>
    <col min="2571" max="2571" width="5.5703125" style="60" customWidth="1"/>
    <col min="2572" max="2572" width="14.85546875" style="60" customWidth="1"/>
    <col min="2573" max="2816" width="9.140625" style="60"/>
    <col min="2817" max="2817" width="6.42578125" style="60" customWidth="1"/>
    <col min="2818" max="2818" width="10.42578125" style="60" customWidth="1"/>
    <col min="2819" max="2819" width="9.5703125" style="60" customWidth="1"/>
    <col min="2820" max="2820" width="9.42578125" style="60" customWidth="1"/>
    <col min="2821" max="2821" width="8.7109375" style="60" customWidth="1"/>
    <col min="2822" max="2822" width="8" style="60" customWidth="1"/>
    <col min="2823" max="2823" width="7.42578125" style="60" customWidth="1"/>
    <col min="2824" max="2826" width="9.5703125" style="60" customWidth="1"/>
    <col min="2827" max="2827" width="5.5703125" style="60" customWidth="1"/>
    <col min="2828" max="2828" width="14.85546875" style="60" customWidth="1"/>
    <col min="2829" max="3072" width="9.140625" style="60"/>
    <col min="3073" max="3073" width="6.42578125" style="60" customWidth="1"/>
    <col min="3074" max="3074" width="10.42578125" style="60" customWidth="1"/>
    <col min="3075" max="3075" width="9.5703125" style="60" customWidth="1"/>
    <col min="3076" max="3076" width="9.42578125" style="60" customWidth="1"/>
    <col min="3077" max="3077" width="8.7109375" style="60" customWidth="1"/>
    <col min="3078" max="3078" width="8" style="60" customWidth="1"/>
    <col min="3079" max="3079" width="7.42578125" style="60" customWidth="1"/>
    <col min="3080" max="3082" width="9.5703125" style="60" customWidth="1"/>
    <col min="3083" max="3083" width="5.5703125" style="60" customWidth="1"/>
    <col min="3084" max="3084" width="14.85546875" style="60" customWidth="1"/>
    <col min="3085" max="3328" width="9.140625" style="60"/>
    <col min="3329" max="3329" width="6.42578125" style="60" customWidth="1"/>
    <col min="3330" max="3330" width="10.42578125" style="60" customWidth="1"/>
    <col min="3331" max="3331" width="9.5703125" style="60" customWidth="1"/>
    <col min="3332" max="3332" width="9.42578125" style="60" customWidth="1"/>
    <col min="3333" max="3333" width="8.7109375" style="60" customWidth="1"/>
    <col min="3334" max="3334" width="8" style="60" customWidth="1"/>
    <col min="3335" max="3335" width="7.42578125" style="60" customWidth="1"/>
    <col min="3336" max="3338" width="9.5703125" style="60" customWidth="1"/>
    <col min="3339" max="3339" width="5.5703125" style="60" customWidth="1"/>
    <col min="3340" max="3340" width="14.85546875" style="60" customWidth="1"/>
    <col min="3341" max="3584" width="9.140625" style="60"/>
    <col min="3585" max="3585" width="6.42578125" style="60" customWidth="1"/>
    <col min="3586" max="3586" width="10.42578125" style="60" customWidth="1"/>
    <col min="3587" max="3587" width="9.5703125" style="60" customWidth="1"/>
    <col min="3588" max="3588" width="9.42578125" style="60" customWidth="1"/>
    <col min="3589" max="3589" width="8.7109375" style="60" customWidth="1"/>
    <col min="3590" max="3590" width="8" style="60" customWidth="1"/>
    <col min="3591" max="3591" width="7.42578125" style="60" customWidth="1"/>
    <col min="3592" max="3594" width="9.5703125" style="60" customWidth="1"/>
    <col min="3595" max="3595" width="5.5703125" style="60" customWidth="1"/>
    <col min="3596" max="3596" width="14.85546875" style="60" customWidth="1"/>
    <col min="3597" max="3840" width="9.140625" style="60"/>
    <col min="3841" max="3841" width="6.42578125" style="60" customWidth="1"/>
    <col min="3842" max="3842" width="10.42578125" style="60" customWidth="1"/>
    <col min="3843" max="3843" width="9.5703125" style="60" customWidth="1"/>
    <col min="3844" max="3844" width="9.42578125" style="60" customWidth="1"/>
    <col min="3845" max="3845" width="8.7109375" style="60" customWidth="1"/>
    <col min="3846" max="3846" width="8" style="60" customWidth="1"/>
    <col min="3847" max="3847" width="7.42578125" style="60" customWidth="1"/>
    <col min="3848" max="3850" width="9.5703125" style="60" customWidth="1"/>
    <col min="3851" max="3851" width="5.5703125" style="60" customWidth="1"/>
    <col min="3852" max="3852" width="14.85546875" style="60" customWidth="1"/>
    <col min="3853" max="4096" width="9.140625" style="60"/>
    <col min="4097" max="4097" width="6.42578125" style="60" customWidth="1"/>
    <col min="4098" max="4098" width="10.42578125" style="60" customWidth="1"/>
    <col min="4099" max="4099" width="9.5703125" style="60" customWidth="1"/>
    <col min="4100" max="4100" width="9.42578125" style="60" customWidth="1"/>
    <col min="4101" max="4101" width="8.7109375" style="60" customWidth="1"/>
    <col min="4102" max="4102" width="8" style="60" customWidth="1"/>
    <col min="4103" max="4103" width="7.42578125" style="60" customWidth="1"/>
    <col min="4104" max="4106" width="9.5703125" style="60" customWidth="1"/>
    <col min="4107" max="4107" width="5.5703125" style="60" customWidth="1"/>
    <col min="4108" max="4108" width="14.85546875" style="60" customWidth="1"/>
    <col min="4109" max="4352" width="9.140625" style="60"/>
    <col min="4353" max="4353" width="6.42578125" style="60" customWidth="1"/>
    <col min="4354" max="4354" width="10.42578125" style="60" customWidth="1"/>
    <col min="4355" max="4355" width="9.5703125" style="60" customWidth="1"/>
    <col min="4356" max="4356" width="9.42578125" style="60" customWidth="1"/>
    <col min="4357" max="4357" width="8.7109375" style="60" customWidth="1"/>
    <col min="4358" max="4358" width="8" style="60" customWidth="1"/>
    <col min="4359" max="4359" width="7.42578125" style="60" customWidth="1"/>
    <col min="4360" max="4362" width="9.5703125" style="60" customWidth="1"/>
    <col min="4363" max="4363" width="5.5703125" style="60" customWidth="1"/>
    <col min="4364" max="4364" width="14.85546875" style="60" customWidth="1"/>
    <col min="4365" max="4608" width="9.140625" style="60"/>
    <col min="4609" max="4609" width="6.42578125" style="60" customWidth="1"/>
    <col min="4610" max="4610" width="10.42578125" style="60" customWidth="1"/>
    <col min="4611" max="4611" width="9.5703125" style="60" customWidth="1"/>
    <col min="4612" max="4612" width="9.42578125" style="60" customWidth="1"/>
    <col min="4613" max="4613" width="8.7109375" style="60" customWidth="1"/>
    <col min="4614" max="4614" width="8" style="60" customWidth="1"/>
    <col min="4615" max="4615" width="7.42578125" style="60" customWidth="1"/>
    <col min="4616" max="4618" width="9.5703125" style="60" customWidth="1"/>
    <col min="4619" max="4619" width="5.5703125" style="60" customWidth="1"/>
    <col min="4620" max="4620" width="14.85546875" style="60" customWidth="1"/>
    <col min="4621" max="4864" width="9.140625" style="60"/>
    <col min="4865" max="4865" width="6.42578125" style="60" customWidth="1"/>
    <col min="4866" max="4866" width="10.42578125" style="60" customWidth="1"/>
    <col min="4867" max="4867" width="9.5703125" style="60" customWidth="1"/>
    <col min="4868" max="4868" width="9.42578125" style="60" customWidth="1"/>
    <col min="4869" max="4869" width="8.7109375" style="60" customWidth="1"/>
    <col min="4870" max="4870" width="8" style="60" customWidth="1"/>
    <col min="4871" max="4871" width="7.42578125" style="60" customWidth="1"/>
    <col min="4872" max="4874" width="9.5703125" style="60" customWidth="1"/>
    <col min="4875" max="4875" width="5.5703125" style="60" customWidth="1"/>
    <col min="4876" max="4876" width="14.85546875" style="60" customWidth="1"/>
    <col min="4877" max="5120" width="9.140625" style="60"/>
    <col min="5121" max="5121" width="6.42578125" style="60" customWidth="1"/>
    <col min="5122" max="5122" width="10.42578125" style="60" customWidth="1"/>
    <col min="5123" max="5123" width="9.5703125" style="60" customWidth="1"/>
    <col min="5124" max="5124" width="9.42578125" style="60" customWidth="1"/>
    <col min="5125" max="5125" width="8.7109375" style="60" customWidth="1"/>
    <col min="5126" max="5126" width="8" style="60" customWidth="1"/>
    <col min="5127" max="5127" width="7.42578125" style="60" customWidth="1"/>
    <col min="5128" max="5130" width="9.5703125" style="60" customWidth="1"/>
    <col min="5131" max="5131" width="5.5703125" style="60" customWidth="1"/>
    <col min="5132" max="5132" width="14.85546875" style="60" customWidth="1"/>
    <col min="5133" max="5376" width="9.140625" style="60"/>
    <col min="5377" max="5377" width="6.42578125" style="60" customWidth="1"/>
    <col min="5378" max="5378" width="10.42578125" style="60" customWidth="1"/>
    <col min="5379" max="5379" width="9.5703125" style="60" customWidth="1"/>
    <col min="5380" max="5380" width="9.42578125" style="60" customWidth="1"/>
    <col min="5381" max="5381" width="8.7109375" style="60" customWidth="1"/>
    <col min="5382" max="5382" width="8" style="60" customWidth="1"/>
    <col min="5383" max="5383" width="7.42578125" style="60" customWidth="1"/>
    <col min="5384" max="5386" width="9.5703125" style="60" customWidth="1"/>
    <col min="5387" max="5387" width="5.5703125" style="60" customWidth="1"/>
    <col min="5388" max="5388" width="14.85546875" style="60" customWidth="1"/>
    <col min="5389" max="5632" width="9.140625" style="60"/>
    <col min="5633" max="5633" width="6.42578125" style="60" customWidth="1"/>
    <col min="5634" max="5634" width="10.42578125" style="60" customWidth="1"/>
    <col min="5635" max="5635" width="9.5703125" style="60" customWidth="1"/>
    <col min="5636" max="5636" width="9.42578125" style="60" customWidth="1"/>
    <col min="5637" max="5637" width="8.7109375" style="60" customWidth="1"/>
    <col min="5638" max="5638" width="8" style="60" customWidth="1"/>
    <col min="5639" max="5639" width="7.42578125" style="60" customWidth="1"/>
    <col min="5640" max="5642" width="9.5703125" style="60" customWidth="1"/>
    <col min="5643" max="5643" width="5.5703125" style="60" customWidth="1"/>
    <col min="5644" max="5644" width="14.85546875" style="60" customWidth="1"/>
    <col min="5645" max="5888" width="9.140625" style="60"/>
    <col min="5889" max="5889" width="6.42578125" style="60" customWidth="1"/>
    <col min="5890" max="5890" width="10.42578125" style="60" customWidth="1"/>
    <col min="5891" max="5891" width="9.5703125" style="60" customWidth="1"/>
    <col min="5892" max="5892" width="9.42578125" style="60" customWidth="1"/>
    <col min="5893" max="5893" width="8.7109375" style="60" customWidth="1"/>
    <col min="5894" max="5894" width="8" style="60" customWidth="1"/>
    <col min="5895" max="5895" width="7.42578125" style="60" customWidth="1"/>
    <col min="5896" max="5898" width="9.5703125" style="60" customWidth="1"/>
    <col min="5899" max="5899" width="5.5703125" style="60" customWidth="1"/>
    <col min="5900" max="5900" width="14.85546875" style="60" customWidth="1"/>
    <col min="5901" max="6144" width="9.140625" style="60"/>
    <col min="6145" max="6145" width="6.42578125" style="60" customWidth="1"/>
    <col min="6146" max="6146" width="10.42578125" style="60" customWidth="1"/>
    <col min="6147" max="6147" width="9.5703125" style="60" customWidth="1"/>
    <col min="6148" max="6148" width="9.42578125" style="60" customWidth="1"/>
    <col min="6149" max="6149" width="8.7109375" style="60" customWidth="1"/>
    <col min="6150" max="6150" width="8" style="60" customWidth="1"/>
    <col min="6151" max="6151" width="7.42578125" style="60" customWidth="1"/>
    <col min="6152" max="6154" width="9.5703125" style="60" customWidth="1"/>
    <col min="6155" max="6155" width="5.5703125" style="60" customWidth="1"/>
    <col min="6156" max="6156" width="14.85546875" style="60" customWidth="1"/>
    <col min="6157" max="6400" width="9.140625" style="60"/>
    <col min="6401" max="6401" width="6.42578125" style="60" customWidth="1"/>
    <col min="6402" max="6402" width="10.42578125" style="60" customWidth="1"/>
    <col min="6403" max="6403" width="9.5703125" style="60" customWidth="1"/>
    <col min="6404" max="6404" width="9.42578125" style="60" customWidth="1"/>
    <col min="6405" max="6405" width="8.7109375" style="60" customWidth="1"/>
    <col min="6406" max="6406" width="8" style="60" customWidth="1"/>
    <col min="6407" max="6407" width="7.42578125" style="60" customWidth="1"/>
    <col min="6408" max="6410" width="9.5703125" style="60" customWidth="1"/>
    <col min="6411" max="6411" width="5.5703125" style="60" customWidth="1"/>
    <col min="6412" max="6412" width="14.85546875" style="60" customWidth="1"/>
    <col min="6413" max="6656" width="9.140625" style="60"/>
    <col min="6657" max="6657" width="6.42578125" style="60" customWidth="1"/>
    <col min="6658" max="6658" width="10.42578125" style="60" customWidth="1"/>
    <col min="6659" max="6659" width="9.5703125" style="60" customWidth="1"/>
    <col min="6660" max="6660" width="9.42578125" style="60" customWidth="1"/>
    <col min="6661" max="6661" width="8.7109375" style="60" customWidth="1"/>
    <col min="6662" max="6662" width="8" style="60" customWidth="1"/>
    <col min="6663" max="6663" width="7.42578125" style="60" customWidth="1"/>
    <col min="6664" max="6666" width="9.5703125" style="60" customWidth="1"/>
    <col min="6667" max="6667" width="5.5703125" style="60" customWidth="1"/>
    <col min="6668" max="6668" width="14.85546875" style="60" customWidth="1"/>
    <col min="6669" max="6912" width="9.140625" style="60"/>
    <col min="6913" max="6913" width="6.42578125" style="60" customWidth="1"/>
    <col min="6914" max="6914" width="10.42578125" style="60" customWidth="1"/>
    <col min="6915" max="6915" width="9.5703125" style="60" customWidth="1"/>
    <col min="6916" max="6916" width="9.42578125" style="60" customWidth="1"/>
    <col min="6917" max="6917" width="8.7109375" style="60" customWidth="1"/>
    <col min="6918" max="6918" width="8" style="60" customWidth="1"/>
    <col min="6919" max="6919" width="7.42578125" style="60" customWidth="1"/>
    <col min="6920" max="6922" width="9.5703125" style="60" customWidth="1"/>
    <col min="6923" max="6923" width="5.5703125" style="60" customWidth="1"/>
    <col min="6924" max="6924" width="14.85546875" style="60" customWidth="1"/>
    <col min="6925" max="7168" width="9.140625" style="60"/>
    <col min="7169" max="7169" width="6.42578125" style="60" customWidth="1"/>
    <col min="7170" max="7170" width="10.42578125" style="60" customWidth="1"/>
    <col min="7171" max="7171" width="9.5703125" style="60" customWidth="1"/>
    <col min="7172" max="7172" width="9.42578125" style="60" customWidth="1"/>
    <col min="7173" max="7173" width="8.7109375" style="60" customWidth="1"/>
    <col min="7174" max="7174" width="8" style="60" customWidth="1"/>
    <col min="7175" max="7175" width="7.42578125" style="60" customWidth="1"/>
    <col min="7176" max="7178" width="9.5703125" style="60" customWidth="1"/>
    <col min="7179" max="7179" width="5.5703125" style="60" customWidth="1"/>
    <col min="7180" max="7180" width="14.85546875" style="60" customWidth="1"/>
    <col min="7181" max="7424" width="9.140625" style="60"/>
    <col min="7425" max="7425" width="6.42578125" style="60" customWidth="1"/>
    <col min="7426" max="7426" width="10.42578125" style="60" customWidth="1"/>
    <col min="7427" max="7427" width="9.5703125" style="60" customWidth="1"/>
    <col min="7428" max="7428" width="9.42578125" style="60" customWidth="1"/>
    <col min="7429" max="7429" width="8.7109375" style="60" customWidth="1"/>
    <col min="7430" max="7430" width="8" style="60" customWidth="1"/>
    <col min="7431" max="7431" width="7.42578125" style="60" customWidth="1"/>
    <col min="7432" max="7434" width="9.5703125" style="60" customWidth="1"/>
    <col min="7435" max="7435" width="5.5703125" style="60" customWidth="1"/>
    <col min="7436" max="7436" width="14.85546875" style="60" customWidth="1"/>
    <col min="7437" max="7680" width="9.140625" style="60"/>
    <col min="7681" max="7681" width="6.42578125" style="60" customWidth="1"/>
    <col min="7682" max="7682" width="10.42578125" style="60" customWidth="1"/>
    <col min="7683" max="7683" width="9.5703125" style="60" customWidth="1"/>
    <col min="7684" max="7684" width="9.42578125" style="60" customWidth="1"/>
    <col min="7685" max="7685" width="8.7109375" style="60" customWidth="1"/>
    <col min="7686" max="7686" width="8" style="60" customWidth="1"/>
    <col min="7687" max="7687" width="7.42578125" style="60" customWidth="1"/>
    <col min="7688" max="7690" width="9.5703125" style="60" customWidth="1"/>
    <col min="7691" max="7691" width="5.5703125" style="60" customWidth="1"/>
    <col min="7692" max="7692" width="14.85546875" style="60" customWidth="1"/>
    <col min="7693" max="7936" width="9.140625" style="60"/>
    <col min="7937" max="7937" width="6.42578125" style="60" customWidth="1"/>
    <col min="7938" max="7938" width="10.42578125" style="60" customWidth="1"/>
    <col min="7939" max="7939" width="9.5703125" style="60" customWidth="1"/>
    <col min="7940" max="7940" width="9.42578125" style="60" customWidth="1"/>
    <col min="7941" max="7941" width="8.7109375" style="60" customWidth="1"/>
    <col min="7942" max="7942" width="8" style="60" customWidth="1"/>
    <col min="7943" max="7943" width="7.42578125" style="60" customWidth="1"/>
    <col min="7944" max="7946" width="9.5703125" style="60" customWidth="1"/>
    <col min="7947" max="7947" width="5.5703125" style="60" customWidth="1"/>
    <col min="7948" max="7948" width="14.85546875" style="60" customWidth="1"/>
    <col min="7949" max="8192" width="9.140625" style="60"/>
    <col min="8193" max="8193" width="6.42578125" style="60" customWidth="1"/>
    <col min="8194" max="8194" width="10.42578125" style="60" customWidth="1"/>
    <col min="8195" max="8195" width="9.5703125" style="60" customWidth="1"/>
    <col min="8196" max="8196" width="9.42578125" style="60" customWidth="1"/>
    <col min="8197" max="8197" width="8.7109375" style="60" customWidth="1"/>
    <col min="8198" max="8198" width="8" style="60" customWidth="1"/>
    <col min="8199" max="8199" width="7.42578125" style="60" customWidth="1"/>
    <col min="8200" max="8202" width="9.5703125" style="60" customWidth="1"/>
    <col min="8203" max="8203" width="5.5703125" style="60" customWidth="1"/>
    <col min="8204" max="8204" width="14.85546875" style="60" customWidth="1"/>
    <col min="8205" max="8448" width="9.140625" style="60"/>
    <col min="8449" max="8449" width="6.42578125" style="60" customWidth="1"/>
    <col min="8450" max="8450" width="10.42578125" style="60" customWidth="1"/>
    <col min="8451" max="8451" width="9.5703125" style="60" customWidth="1"/>
    <col min="8452" max="8452" width="9.42578125" style="60" customWidth="1"/>
    <col min="8453" max="8453" width="8.7109375" style="60" customWidth="1"/>
    <col min="8454" max="8454" width="8" style="60" customWidth="1"/>
    <col min="8455" max="8455" width="7.42578125" style="60" customWidth="1"/>
    <col min="8456" max="8458" width="9.5703125" style="60" customWidth="1"/>
    <col min="8459" max="8459" width="5.5703125" style="60" customWidth="1"/>
    <col min="8460" max="8460" width="14.85546875" style="60" customWidth="1"/>
    <col min="8461" max="8704" width="9.140625" style="60"/>
    <col min="8705" max="8705" width="6.42578125" style="60" customWidth="1"/>
    <col min="8706" max="8706" width="10.42578125" style="60" customWidth="1"/>
    <col min="8707" max="8707" width="9.5703125" style="60" customWidth="1"/>
    <col min="8708" max="8708" width="9.42578125" style="60" customWidth="1"/>
    <col min="8709" max="8709" width="8.7109375" style="60" customWidth="1"/>
    <col min="8710" max="8710" width="8" style="60" customWidth="1"/>
    <col min="8711" max="8711" width="7.42578125" style="60" customWidth="1"/>
    <col min="8712" max="8714" width="9.5703125" style="60" customWidth="1"/>
    <col min="8715" max="8715" width="5.5703125" style="60" customWidth="1"/>
    <col min="8716" max="8716" width="14.85546875" style="60" customWidth="1"/>
    <col min="8717" max="8960" width="9.140625" style="60"/>
    <col min="8961" max="8961" width="6.42578125" style="60" customWidth="1"/>
    <col min="8962" max="8962" width="10.42578125" style="60" customWidth="1"/>
    <col min="8963" max="8963" width="9.5703125" style="60" customWidth="1"/>
    <col min="8964" max="8964" width="9.42578125" style="60" customWidth="1"/>
    <col min="8965" max="8965" width="8.7109375" style="60" customWidth="1"/>
    <col min="8966" max="8966" width="8" style="60" customWidth="1"/>
    <col min="8967" max="8967" width="7.42578125" style="60" customWidth="1"/>
    <col min="8968" max="8970" width="9.5703125" style="60" customWidth="1"/>
    <col min="8971" max="8971" width="5.5703125" style="60" customWidth="1"/>
    <col min="8972" max="8972" width="14.85546875" style="60" customWidth="1"/>
    <col min="8973" max="9216" width="9.140625" style="60"/>
    <col min="9217" max="9217" width="6.42578125" style="60" customWidth="1"/>
    <col min="9218" max="9218" width="10.42578125" style="60" customWidth="1"/>
    <col min="9219" max="9219" width="9.5703125" style="60" customWidth="1"/>
    <col min="9220" max="9220" width="9.42578125" style="60" customWidth="1"/>
    <col min="9221" max="9221" width="8.7109375" style="60" customWidth="1"/>
    <col min="9222" max="9222" width="8" style="60" customWidth="1"/>
    <col min="9223" max="9223" width="7.42578125" style="60" customWidth="1"/>
    <col min="9224" max="9226" width="9.5703125" style="60" customWidth="1"/>
    <col min="9227" max="9227" width="5.5703125" style="60" customWidth="1"/>
    <col min="9228" max="9228" width="14.85546875" style="60" customWidth="1"/>
    <col min="9229" max="9472" width="9.140625" style="60"/>
    <col min="9473" max="9473" width="6.42578125" style="60" customWidth="1"/>
    <col min="9474" max="9474" width="10.42578125" style="60" customWidth="1"/>
    <col min="9475" max="9475" width="9.5703125" style="60" customWidth="1"/>
    <col min="9476" max="9476" width="9.42578125" style="60" customWidth="1"/>
    <col min="9477" max="9477" width="8.7109375" style="60" customWidth="1"/>
    <col min="9478" max="9478" width="8" style="60" customWidth="1"/>
    <col min="9479" max="9479" width="7.42578125" style="60" customWidth="1"/>
    <col min="9480" max="9482" width="9.5703125" style="60" customWidth="1"/>
    <col min="9483" max="9483" width="5.5703125" style="60" customWidth="1"/>
    <col min="9484" max="9484" width="14.85546875" style="60" customWidth="1"/>
    <col min="9485" max="9728" width="9.140625" style="60"/>
    <col min="9729" max="9729" width="6.42578125" style="60" customWidth="1"/>
    <col min="9730" max="9730" width="10.42578125" style="60" customWidth="1"/>
    <col min="9731" max="9731" width="9.5703125" style="60" customWidth="1"/>
    <col min="9732" max="9732" width="9.42578125" style="60" customWidth="1"/>
    <col min="9733" max="9733" width="8.7109375" style="60" customWidth="1"/>
    <col min="9734" max="9734" width="8" style="60" customWidth="1"/>
    <col min="9735" max="9735" width="7.42578125" style="60" customWidth="1"/>
    <col min="9736" max="9738" width="9.5703125" style="60" customWidth="1"/>
    <col min="9739" max="9739" width="5.5703125" style="60" customWidth="1"/>
    <col min="9740" max="9740" width="14.85546875" style="60" customWidth="1"/>
    <col min="9741" max="9984" width="9.140625" style="60"/>
    <col min="9985" max="9985" width="6.42578125" style="60" customWidth="1"/>
    <col min="9986" max="9986" width="10.42578125" style="60" customWidth="1"/>
    <col min="9987" max="9987" width="9.5703125" style="60" customWidth="1"/>
    <col min="9988" max="9988" width="9.42578125" style="60" customWidth="1"/>
    <col min="9989" max="9989" width="8.7109375" style="60" customWidth="1"/>
    <col min="9990" max="9990" width="8" style="60" customWidth="1"/>
    <col min="9991" max="9991" width="7.42578125" style="60" customWidth="1"/>
    <col min="9992" max="9994" width="9.5703125" style="60" customWidth="1"/>
    <col min="9995" max="9995" width="5.5703125" style="60" customWidth="1"/>
    <col min="9996" max="9996" width="14.85546875" style="60" customWidth="1"/>
    <col min="9997" max="10240" width="9.140625" style="60"/>
    <col min="10241" max="10241" width="6.42578125" style="60" customWidth="1"/>
    <col min="10242" max="10242" width="10.42578125" style="60" customWidth="1"/>
    <col min="10243" max="10243" width="9.5703125" style="60" customWidth="1"/>
    <col min="10244" max="10244" width="9.42578125" style="60" customWidth="1"/>
    <col min="10245" max="10245" width="8.7109375" style="60" customWidth="1"/>
    <col min="10246" max="10246" width="8" style="60" customWidth="1"/>
    <col min="10247" max="10247" width="7.42578125" style="60" customWidth="1"/>
    <col min="10248" max="10250" width="9.5703125" style="60" customWidth="1"/>
    <col min="10251" max="10251" width="5.5703125" style="60" customWidth="1"/>
    <col min="10252" max="10252" width="14.85546875" style="60" customWidth="1"/>
    <col min="10253" max="10496" width="9.140625" style="60"/>
    <col min="10497" max="10497" width="6.42578125" style="60" customWidth="1"/>
    <col min="10498" max="10498" width="10.42578125" style="60" customWidth="1"/>
    <col min="10499" max="10499" width="9.5703125" style="60" customWidth="1"/>
    <col min="10500" max="10500" width="9.42578125" style="60" customWidth="1"/>
    <col min="10501" max="10501" width="8.7109375" style="60" customWidth="1"/>
    <col min="10502" max="10502" width="8" style="60" customWidth="1"/>
    <col min="10503" max="10503" width="7.42578125" style="60" customWidth="1"/>
    <col min="10504" max="10506" width="9.5703125" style="60" customWidth="1"/>
    <col min="10507" max="10507" width="5.5703125" style="60" customWidth="1"/>
    <col min="10508" max="10508" width="14.85546875" style="60" customWidth="1"/>
    <col min="10509" max="10752" width="9.140625" style="60"/>
    <col min="10753" max="10753" width="6.42578125" style="60" customWidth="1"/>
    <col min="10754" max="10754" width="10.42578125" style="60" customWidth="1"/>
    <col min="10755" max="10755" width="9.5703125" style="60" customWidth="1"/>
    <col min="10756" max="10756" width="9.42578125" style="60" customWidth="1"/>
    <col min="10757" max="10757" width="8.7109375" style="60" customWidth="1"/>
    <col min="10758" max="10758" width="8" style="60" customWidth="1"/>
    <col min="10759" max="10759" width="7.42578125" style="60" customWidth="1"/>
    <col min="10760" max="10762" width="9.5703125" style="60" customWidth="1"/>
    <col min="10763" max="10763" width="5.5703125" style="60" customWidth="1"/>
    <col min="10764" max="10764" width="14.85546875" style="60" customWidth="1"/>
    <col min="10765" max="11008" width="9.140625" style="60"/>
    <col min="11009" max="11009" width="6.42578125" style="60" customWidth="1"/>
    <col min="11010" max="11010" width="10.42578125" style="60" customWidth="1"/>
    <col min="11011" max="11011" width="9.5703125" style="60" customWidth="1"/>
    <col min="11012" max="11012" width="9.42578125" style="60" customWidth="1"/>
    <col min="11013" max="11013" width="8.7109375" style="60" customWidth="1"/>
    <col min="11014" max="11014" width="8" style="60" customWidth="1"/>
    <col min="11015" max="11015" width="7.42578125" style="60" customWidth="1"/>
    <col min="11016" max="11018" width="9.5703125" style="60" customWidth="1"/>
    <col min="11019" max="11019" width="5.5703125" style="60" customWidth="1"/>
    <col min="11020" max="11020" width="14.85546875" style="60" customWidth="1"/>
    <col min="11021" max="11264" width="9.140625" style="60"/>
    <col min="11265" max="11265" width="6.42578125" style="60" customWidth="1"/>
    <col min="11266" max="11266" width="10.42578125" style="60" customWidth="1"/>
    <col min="11267" max="11267" width="9.5703125" style="60" customWidth="1"/>
    <col min="11268" max="11268" width="9.42578125" style="60" customWidth="1"/>
    <col min="11269" max="11269" width="8.7109375" style="60" customWidth="1"/>
    <col min="11270" max="11270" width="8" style="60" customWidth="1"/>
    <col min="11271" max="11271" width="7.42578125" style="60" customWidth="1"/>
    <col min="11272" max="11274" width="9.5703125" style="60" customWidth="1"/>
    <col min="11275" max="11275" width="5.5703125" style="60" customWidth="1"/>
    <col min="11276" max="11276" width="14.85546875" style="60" customWidth="1"/>
    <col min="11277" max="11520" width="9.140625" style="60"/>
    <col min="11521" max="11521" width="6.42578125" style="60" customWidth="1"/>
    <col min="11522" max="11522" width="10.42578125" style="60" customWidth="1"/>
    <col min="11523" max="11523" width="9.5703125" style="60" customWidth="1"/>
    <col min="11524" max="11524" width="9.42578125" style="60" customWidth="1"/>
    <col min="11525" max="11525" width="8.7109375" style="60" customWidth="1"/>
    <col min="11526" max="11526" width="8" style="60" customWidth="1"/>
    <col min="11527" max="11527" width="7.42578125" style="60" customWidth="1"/>
    <col min="11528" max="11530" width="9.5703125" style="60" customWidth="1"/>
    <col min="11531" max="11531" width="5.5703125" style="60" customWidth="1"/>
    <col min="11532" max="11532" width="14.85546875" style="60" customWidth="1"/>
    <col min="11533" max="11776" width="9.140625" style="60"/>
    <col min="11777" max="11777" width="6.42578125" style="60" customWidth="1"/>
    <col min="11778" max="11778" width="10.42578125" style="60" customWidth="1"/>
    <col min="11779" max="11779" width="9.5703125" style="60" customWidth="1"/>
    <col min="11780" max="11780" width="9.42578125" style="60" customWidth="1"/>
    <col min="11781" max="11781" width="8.7109375" style="60" customWidth="1"/>
    <col min="11782" max="11782" width="8" style="60" customWidth="1"/>
    <col min="11783" max="11783" width="7.42578125" style="60" customWidth="1"/>
    <col min="11784" max="11786" width="9.5703125" style="60" customWidth="1"/>
    <col min="11787" max="11787" width="5.5703125" style="60" customWidth="1"/>
    <col min="11788" max="11788" width="14.85546875" style="60" customWidth="1"/>
    <col min="11789" max="12032" width="9.140625" style="60"/>
    <col min="12033" max="12033" width="6.42578125" style="60" customWidth="1"/>
    <col min="12034" max="12034" width="10.42578125" style="60" customWidth="1"/>
    <col min="12035" max="12035" width="9.5703125" style="60" customWidth="1"/>
    <col min="12036" max="12036" width="9.42578125" style="60" customWidth="1"/>
    <col min="12037" max="12037" width="8.7109375" style="60" customWidth="1"/>
    <col min="12038" max="12038" width="8" style="60" customWidth="1"/>
    <col min="12039" max="12039" width="7.42578125" style="60" customWidth="1"/>
    <col min="12040" max="12042" width="9.5703125" style="60" customWidth="1"/>
    <col min="12043" max="12043" width="5.5703125" style="60" customWidth="1"/>
    <col min="12044" max="12044" width="14.85546875" style="60" customWidth="1"/>
    <col min="12045" max="12288" width="9.140625" style="60"/>
    <col min="12289" max="12289" width="6.42578125" style="60" customWidth="1"/>
    <col min="12290" max="12290" width="10.42578125" style="60" customWidth="1"/>
    <col min="12291" max="12291" width="9.5703125" style="60" customWidth="1"/>
    <col min="12292" max="12292" width="9.42578125" style="60" customWidth="1"/>
    <col min="12293" max="12293" width="8.7109375" style="60" customWidth="1"/>
    <col min="12294" max="12294" width="8" style="60" customWidth="1"/>
    <col min="12295" max="12295" width="7.42578125" style="60" customWidth="1"/>
    <col min="12296" max="12298" width="9.5703125" style="60" customWidth="1"/>
    <col min="12299" max="12299" width="5.5703125" style="60" customWidth="1"/>
    <col min="12300" max="12300" width="14.85546875" style="60" customWidth="1"/>
    <col min="12301" max="12544" width="9.140625" style="60"/>
    <col min="12545" max="12545" width="6.42578125" style="60" customWidth="1"/>
    <col min="12546" max="12546" width="10.42578125" style="60" customWidth="1"/>
    <col min="12547" max="12547" width="9.5703125" style="60" customWidth="1"/>
    <col min="12548" max="12548" width="9.42578125" style="60" customWidth="1"/>
    <col min="12549" max="12549" width="8.7109375" style="60" customWidth="1"/>
    <col min="12550" max="12550" width="8" style="60" customWidth="1"/>
    <col min="12551" max="12551" width="7.42578125" style="60" customWidth="1"/>
    <col min="12552" max="12554" width="9.5703125" style="60" customWidth="1"/>
    <col min="12555" max="12555" width="5.5703125" style="60" customWidth="1"/>
    <col min="12556" max="12556" width="14.85546875" style="60" customWidth="1"/>
    <col min="12557" max="12800" width="9.140625" style="60"/>
    <col min="12801" max="12801" width="6.42578125" style="60" customWidth="1"/>
    <col min="12802" max="12802" width="10.42578125" style="60" customWidth="1"/>
    <col min="12803" max="12803" width="9.5703125" style="60" customWidth="1"/>
    <col min="12804" max="12804" width="9.42578125" style="60" customWidth="1"/>
    <col min="12805" max="12805" width="8.7109375" style="60" customWidth="1"/>
    <col min="12806" max="12806" width="8" style="60" customWidth="1"/>
    <col min="12807" max="12807" width="7.42578125" style="60" customWidth="1"/>
    <col min="12808" max="12810" width="9.5703125" style="60" customWidth="1"/>
    <col min="12811" max="12811" width="5.5703125" style="60" customWidth="1"/>
    <col min="12812" max="12812" width="14.85546875" style="60" customWidth="1"/>
    <col min="12813" max="13056" width="9.140625" style="60"/>
    <col min="13057" max="13057" width="6.42578125" style="60" customWidth="1"/>
    <col min="13058" max="13058" width="10.42578125" style="60" customWidth="1"/>
    <col min="13059" max="13059" width="9.5703125" style="60" customWidth="1"/>
    <col min="13060" max="13060" width="9.42578125" style="60" customWidth="1"/>
    <col min="13061" max="13061" width="8.7109375" style="60" customWidth="1"/>
    <col min="13062" max="13062" width="8" style="60" customWidth="1"/>
    <col min="13063" max="13063" width="7.42578125" style="60" customWidth="1"/>
    <col min="13064" max="13066" width="9.5703125" style="60" customWidth="1"/>
    <col min="13067" max="13067" width="5.5703125" style="60" customWidth="1"/>
    <col min="13068" max="13068" width="14.85546875" style="60" customWidth="1"/>
    <col min="13069" max="13312" width="9.140625" style="60"/>
    <col min="13313" max="13313" width="6.42578125" style="60" customWidth="1"/>
    <col min="13314" max="13314" width="10.42578125" style="60" customWidth="1"/>
    <col min="13315" max="13315" width="9.5703125" style="60" customWidth="1"/>
    <col min="13316" max="13316" width="9.42578125" style="60" customWidth="1"/>
    <col min="13317" max="13317" width="8.7109375" style="60" customWidth="1"/>
    <col min="13318" max="13318" width="8" style="60" customWidth="1"/>
    <col min="13319" max="13319" width="7.42578125" style="60" customWidth="1"/>
    <col min="13320" max="13322" width="9.5703125" style="60" customWidth="1"/>
    <col min="13323" max="13323" width="5.5703125" style="60" customWidth="1"/>
    <col min="13324" max="13324" width="14.85546875" style="60" customWidth="1"/>
    <col min="13325" max="13568" width="9.140625" style="60"/>
    <col min="13569" max="13569" width="6.42578125" style="60" customWidth="1"/>
    <col min="13570" max="13570" width="10.42578125" style="60" customWidth="1"/>
    <col min="13571" max="13571" width="9.5703125" style="60" customWidth="1"/>
    <col min="13572" max="13572" width="9.42578125" style="60" customWidth="1"/>
    <col min="13573" max="13573" width="8.7109375" style="60" customWidth="1"/>
    <col min="13574" max="13574" width="8" style="60" customWidth="1"/>
    <col min="13575" max="13575" width="7.42578125" style="60" customWidth="1"/>
    <col min="13576" max="13578" width="9.5703125" style="60" customWidth="1"/>
    <col min="13579" max="13579" width="5.5703125" style="60" customWidth="1"/>
    <col min="13580" max="13580" width="14.85546875" style="60" customWidth="1"/>
    <col min="13581" max="13824" width="9.140625" style="60"/>
    <col min="13825" max="13825" width="6.42578125" style="60" customWidth="1"/>
    <col min="13826" max="13826" width="10.42578125" style="60" customWidth="1"/>
    <col min="13827" max="13827" width="9.5703125" style="60" customWidth="1"/>
    <col min="13828" max="13828" width="9.42578125" style="60" customWidth="1"/>
    <col min="13829" max="13829" width="8.7109375" style="60" customWidth="1"/>
    <col min="13830" max="13830" width="8" style="60" customWidth="1"/>
    <col min="13831" max="13831" width="7.42578125" style="60" customWidth="1"/>
    <col min="13832" max="13834" width="9.5703125" style="60" customWidth="1"/>
    <col min="13835" max="13835" width="5.5703125" style="60" customWidth="1"/>
    <col min="13836" max="13836" width="14.85546875" style="60" customWidth="1"/>
    <col min="13837" max="14080" width="9.140625" style="60"/>
    <col min="14081" max="14081" width="6.42578125" style="60" customWidth="1"/>
    <col min="14082" max="14082" width="10.42578125" style="60" customWidth="1"/>
    <col min="14083" max="14083" width="9.5703125" style="60" customWidth="1"/>
    <col min="14084" max="14084" width="9.42578125" style="60" customWidth="1"/>
    <col min="14085" max="14085" width="8.7109375" style="60" customWidth="1"/>
    <col min="14086" max="14086" width="8" style="60" customWidth="1"/>
    <col min="14087" max="14087" width="7.42578125" style="60" customWidth="1"/>
    <col min="14088" max="14090" width="9.5703125" style="60" customWidth="1"/>
    <col min="14091" max="14091" width="5.5703125" style="60" customWidth="1"/>
    <col min="14092" max="14092" width="14.85546875" style="60" customWidth="1"/>
    <col min="14093" max="14336" width="9.140625" style="60"/>
    <col min="14337" max="14337" width="6.42578125" style="60" customWidth="1"/>
    <col min="14338" max="14338" width="10.42578125" style="60" customWidth="1"/>
    <col min="14339" max="14339" width="9.5703125" style="60" customWidth="1"/>
    <col min="14340" max="14340" width="9.42578125" style="60" customWidth="1"/>
    <col min="14341" max="14341" width="8.7109375" style="60" customWidth="1"/>
    <col min="14342" max="14342" width="8" style="60" customWidth="1"/>
    <col min="14343" max="14343" width="7.42578125" style="60" customWidth="1"/>
    <col min="14344" max="14346" width="9.5703125" style="60" customWidth="1"/>
    <col min="14347" max="14347" width="5.5703125" style="60" customWidth="1"/>
    <col min="14348" max="14348" width="14.85546875" style="60" customWidth="1"/>
    <col min="14349" max="14592" width="9.140625" style="60"/>
    <col min="14593" max="14593" width="6.42578125" style="60" customWidth="1"/>
    <col min="14594" max="14594" width="10.42578125" style="60" customWidth="1"/>
    <col min="14595" max="14595" width="9.5703125" style="60" customWidth="1"/>
    <col min="14596" max="14596" width="9.42578125" style="60" customWidth="1"/>
    <col min="14597" max="14597" width="8.7109375" style="60" customWidth="1"/>
    <col min="14598" max="14598" width="8" style="60" customWidth="1"/>
    <col min="14599" max="14599" width="7.42578125" style="60" customWidth="1"/>
    <col min="14600" max="14602" width="9.5703125" style="60" customWidth="1"/>
    <col min="14603" max="14603" width="5.5703125" style="60" customWidth="1"/>
    <col min="14604" max="14604" width="14.85546875" style="60" customWidth="1"/>
    <col min="14605" max="14848" width="9.140625" style="60"/>
    <col min="14849" max="14849" width="6.42578125" style="60" customWidth="1"/>
    <col min="14850" max="14850" width="10.42578125" style="60" customWidth="1"/>
    <col min="14851" max="14851" width="9.5703125" style="60" customWidth="1"/>
    <col min="14852" max="14852" width="9.42578125" style="60" customWidth="1"/>
    <col min="14853" max="14853" width="8.7109375" style="60" customWidth="1"/>
    <col min="14854" max="14854" width="8" style="60" customWidth="1"/>
    <col min="14855" max="14855" width="7.42578125" style="60" customWidth="1"/>
    <col min="14856" max="14858" width="9.5703125" style="60" customWidth="1"/>
    <col min="14859" max="14859" width="5.5703125" style="60" customWidth="1"/>
    <col min="14860" max="14860" width="14.85546875" style="60" customWidth="1"/>
    <col min="14861" max="15104" width="9.140625" style="60"/>
    <col min="15105" max="15105" width="6.42578125" style="60" customWidth="1"/>
    <col min="15106" max="15106" width="10.42578125" style="60" customWidth="1"/>
    <col min="15107" max="15107" width="9.5703125" style="60" customWidth="1"/>
    <col min="15108" max="15108" width="9.42578125" style="60" customWidth="1"/>
    <col min="15109" max="15109" width="8.7109375" style="60" customWidth="1"/>
    <col min="15110" max="15110" width="8" style="60" customWidth="1"/>
    <col min="15111" max="15111" width="7.42578125" style="60" customWidth="1"/>
    <col min="15112" max="15114" width="9.5703125" style="60" customWidth="1"/>
    <col min="15115" max="15115" width="5.5703125" style="60" customWidth="1"/>
    <col min="15116" max="15116" width="14.85546875" style="60" customWidth="1"/>
    <col min="15117" max="15360" width="9.140625" style="60"/>
    <col min="15361" max="15361" width="6.42578125" style="60" customWidth="1"/>
    <col min="15362" max="15362" width="10.42578125" style="60" customWidth="1"/>
    <col min="15363" max="15363" width="9.5703125" style="60" customWidth="1"/>
    <col min="15364" max="15364" width="9.42578125" style="60" customWidth="1"/>
    <col min="15365" max="15365" width="8.7109375" style="60" customWidth="1"/>
    <col min="15366" max="15366" width="8" style="60" customWidth="1"/>
    <col min="15367" max="15367" width="7.42578125" style="60" customWidth="1"/>
    <col min="15368" max="15370" width="9.5703125" style="60" customWidth="1"/>
    <col min="15371" max="15371" width="5.5703125" style="60" customWidth="1"/>
    <col min="15372" max="15372" width="14.85546875" style="60" customWidth="1"/>
    <col min="15373" max="15616" width="9.140625" style="60"/>
    <col min="15617" max="15617" width="6.42578125" style="60" customWidth="1"/>
    <col min="15618" max="15618" width="10.42578125" style="60" customWidth="1"/>
    <col min="15619" max="15619" width="9.5703125" style="60" customWidth="1"/>
    <col min="15620" max="15620" width="9.42578125" style="60" customWidth="1"/>
    <col min="15621" max="15621" width="8.7109375" style="60" customWidth="1"/>
    <col min="15622" max="15622" width="8" style="60" customWidth="1"/>
    <col min="15623" max="15623" width="7.42578125" style="60" customWidth="1"/>
    <col min="15624" max="15626" width="9.5703125" style="60" customWidth="1"/>
    <col min="15627" max="15627" width="5.5703125" style="60" customWidth="1"/>
    <col min="15628" max="15628" width="14.85546875" style="60" customWidth="1"/>
    <col min="15629" max="15872" width="9.140625" style="60"/>
    <col min="15873" max="15873" width="6.42578125" style="60" customWidth="1"/>
    <col min="15874" max="15874" width="10.42578125" style="60" customWidth="1"/>
    <col min="15875" max="15875" width="9.5703125" style="60" customWidth="1"/>
    <col min="15876" max="15876" width="9.42578125" style="60" customWidth="1"/>
    <col min="15877" max="15877" width="8.7109375" style="60" customWidth="1"/>
    <col min="15878" max="15878" width="8" style="60" customWidth="1"/>
    <col min="15879" max="15879" width="7.42578125" style="60" customWidth="1"/>
    <col min="15880" max="15882" width="9.5703125" style="60" customWidth="1"/>
    <col min="15883" max="15883" width="5.5703125" style="60" customWidth="1"/>
    <col min="15884" max="15884" width="14.85546875" style="60" customWidth="1"/>
    <col min="15885" max="16128" width="9.140625" style="60"/>
    <col min="16129" max="16129" width="6.42578125" style="60" customWidth="1"/>
    <col min="16130" max="16130" width="10.42578125" style="60" customWidth="1"/>
    <col min="16131" max="16131" width="9.5703125" style="60" customWidth="1"/>
    <col min="16132" max="16132" width="9.42578125" style="60" customWidth="1"/>
    <col min="16133" max="16133" width="8.7109375" style="60" customWidth="1"/>
    <col min="16134" max="16134" width="8" style="60" customWidth="1"/>
    <col min="16135" max="16135" width="7.42578125" style="60" customWidth="1"/>
    <col min="16136" max="16138" width="9.5703125" style="60" customWidth="1"/>
    <col min="16139" max="16139" width="5.5703125" style="60" customWidth="1"/>
    <col min="16140" max="16140" width="14.85546875" style="60" customWidth="1"/>
    <col min="16141" max="16384" width="9.140625" style="60"/>
  </cols>
  <sheetData>
    <row r="1" spans="1:12" ht="15.75">
      <c r="A1" s="194">
        <v>1</v>
      </c>
      <c r="B1" s="354" t="s">
        <v>140</v>
      </c>
      <c r="C1" s="354"/>
      <c r="D1" s="354"/>
      <c r="E1" s="354"/>
      <c r="F1" s="354"/>
      <c r="G1" s="354"/>
      <c r="H1" s="356" t="s">
        <v>145</v>
      </c>
      <c r="I1" s="356"/>
      <c r="J1" s="356"/>
    </row>
    <row r="2" spans="1:12" ht="15.75">
      <c r="A2" s="194">
        <v>2</v>
      </c>
      <c r="B2" s="354" t="s">
        <v>46</v>
      </c>
      <c r="C2" s="354"/>
      <c r="D2" s="354"/>
      <c r="E2" s="354"/>
      <c r="F2" s="354"/>
      <c r="G2" s="354"/>
      <c r="H2" s="356">
        <v>61540</v>
      </c>
      <c r="I2" s="356"/>
      <c r="J2" s="356"/>
    </row>
    <row r="3" spans="1:12" ht="15.75">
      <c r="A3" s="194">
        <v>3</v>
      </c>
      <c r="B3" s="354" t="s">
        <v>141</v>
      </c>
      <c r="C3" s="354"/>
      <c r="D3" s="354"/>
      <c r="E3" s="354"/>
      <c r="F3" s="354"/>
      <c r="G3" s="354"/>
      <c r="H3" s="355">
        <v>21660</v>
      </c>
      <c r="I3" s="356"/>
      <c r="J3" s="356"/>
    </row>
    <row r="4" spans="1:12" ht="15.75">
      <c r="A4" s="194">
        <v>4</v>
      </c>
      <c r="B4" s="354" t="s">
        <v>142</v>
      </c>
      <c r="C4" s="354"/>
      <c r="D4" s="354"/>
      <c r="E4" s="354"/>
      <c r="F4" s="354"/>
      <c r="G4" s="354"/>
      <c r="H4" s="355">
        <v>31267</v>
      </c>
      <c r="I4" s="356"/>
      <c r="J4" s="356"/>
    </row>
    <row r="5" spans="1:12" ht="15.75">
      <c r="A5" s="194">
        <v>5</v>
      </c>
      <c r="B5" s="354" t="s">
        <v>143</v>
      </c>
      <c r="C5" s="354"/>
      <c r="D5" s="354"/>
      <c r="E5" s="354"/>
      <c r="F5" s="354"/>
      <c r="G5" s="354"/>
      <c r="H5" s="355">
        <v>43585</v>
      </c>
      <c r="I5" s="356"/>
      <c r="J5" s="356"/>
    </row>
    <row r="6" spans="1:12" ht="15.75">
      <c r="A6" s="194">
        <v>6</v>
      </c>
      <c r="B6" s="354" t="s">
        <v>144</v>
      </c>
      <c r="C6" s="354"/>
      <c r="D6" s="354"/>
      <c r="E6" s="354"/>
      <c r="F6" s="354"/>
      <c r="G6" s="354"/>
      <c r="H6" s="356">
        <v>0</v>
      </c>
      <c r="I6" s="356"/>
      <c r="J6" s="356"/>
    </row>
    <row r="7" spans="1:12" ht="15.75">
      <c r="A7" s="194">
        <v>7</v>
      </c>
      <c r="B7" s="354" t="s">
        <v>158</v>
      </c>
      <c r="C7" s="354"/>
      <c r="D7" s="354"/>
      <c r="E7" s="354"/>
      <c r="F7" s="354"/>
      <c r="G7" s="354"/>
      <c r="H7" s="356">
        <v>300</v>
      </c>
      <c r="I7" s="356"/>
      <c r="J7" s="356"/>
    </row>
    <row r="8" spans="1:12" ht="15.75">
      <c r="A8" s="194">
        <v>8</v>
      </c>
      <c r="B8" s="354" t="s">
        <v>30</v>
      </c>
      <c r="C8" s="354"/>
      <c r="D8" s="354"/>
      <c r="E8" s="354"/>
      <c r="F8" s="354"/>
      <c r="G8" s="354"/>
      <c r="H8" s="357">
        <v>1.36</v>
      </c>
      <c r="I8" s="356"/>
      <c r="J8" s="356"/>
    </row>
    <row r="11" spans="1:12">
      <c r="B11" s="320" t="s">
        <v>174</v>
      </c>
      <c r="C11" s="320"/>
      <c r="D11" s="320"/>
      <c r="E11" s="320"/>
      <c r="F11" s="320"/>
      <c r="G11" s="320"/>
      <c r="H11" s="320"/>
      <c r="I11" s="320"/>
      <c r="J11" s="320"/>
    </row>
    <row r="12" spans="1:12">
      <c r="B12" s="302" t="s">
        <v>139</v>
      </c>
      <c r="C12" s="302"/>
      <c r="D12" s="302"/>
      <c r="E12" s="302"/>
      <c r="F12" s="302"/>
      <c r="G12" s="302"/>
      <c r="H12" s="302"/>
      <c r="I12" s="302"/>
      <c r="J12" s="302"/>
    </row>
    <row r="13" spans="1:12" ht="15.75">
      <c r="A13" s="123"/>
      <c r="B13" s="283" t="s">
        <v>170</v>
      </c>
      <c r="C13" s="283"/>
      <c r="D13" s="283"/>
      <c r="E13" s="283"/>
      <c r="F13" s="283"/>
      <c r="G13" s="311" t="str">
        <f t="shared" ref="G13" si="0">$H$1</f>
        <v>PURUSHOTHAM P</v>
      </c>
      <c r="H13" s="311"/>
      <c r="I13" s="311"/>
      <c r="J13" s="311"/>
    </row>
    <row r="14" spans="1:12" ht="18.75" customHeight="1">
      <c r="A14" s="74">
        <v>1</v>
      </c>
      <c r="B14" s="149" t="s">
        <v>98</v>
      </c>
      <c r="C14" s="150"/>
      <c r="D14" s="150"/>
      <c r="E14" s="123"/>
      <c r="F14" s="123"/>
      <c r="G14" s="123"/>
      <c r="H14" s="288" t="s">
        <v>169</v>
      </c>
      <c r="I14" s="288"/>
      <c r="J14" s="288"/>
      <c r="L14" s="114" t="s">
        <v>99</v>
      </c>
    </row>
    <row r="15" spans="1:12">
      <c r="B15" s="290" t="s">
        <v>149</v>
      </c>
      <c r="C15" s="290"/>
      <c r="D15" s="290"/>
      <c r="E15" s="290"/>
      <c r="F15" s="290"/>
      <c r="G15" s="290"/>
      <c r="H15" s="291">
        <f>'MASTER FILE'!$B$9</f>
        <v>21660</v>
      </c>
      <c r="I15" s="292"/>
      <c r="J15" s="292"/>
      <c r="L15" s="114" t="s">
        <v>99</v>
      </c>
    </row>
    <row r="16" spans="1:12">
      <c r="B16" s="289" t="s">
        <v>100</v>
      </c>
      <c r="C16" s="289"/>
      <c r="D16" s="289"/>
      <c r="E16" s="289"/>
      <c r="F16" s="289"/>
      <c r="G16" s="289"/>
      <c r="H16" s="291">
        <v>30133</v>
      </c>
      <c r="I16" s="291"/>
      <c r="J16" s="291"/>
      <c r="K16" s="117" t="s">
        <v>99</v>
      </c>
      <c r="L16" s="114" t="s">
        <v>99</v>
      </c>
    </row>
    <row r="17" spans="1:12">
      <c r="A17" s="74"/>
      <c r="B17" s="295" t="s">
        <v>171</v>
      </c>
      <c r="C17" s="295"/>
      <c r="D17" s="295"/>
      <c r="E17" s="295"/>
      <c r="F17" s="295"/>
      <c r="G17" s="295"/>
      <c r="H17" s="291">
        <f>'MASTER FILE'!$AB$9</f>
        <v>43585</v>
      </c>
      <c r="I17" s="291"/>
      <c r="J17" s="291"/>
      <c r="K17" s="116" t="s">
        <v>99</v>
      </c>
      <c r="L17" s="114" t="s">
        <v>99</v>
      </c>
    </row>
    <row r="18" spans="1:12">
      <c r="B18" s="289" t="s">
        <v>150</v>
      </c>
      <c r="C18" s="289"/>
      <c r="D18" s="289"/>
      <c r="E18" s="289"/>
      <c r="F18" s="289"/>
      <c r="G18" s="289"/>
      <c r="H18" s="294" t="str">
        <f>'MASTER FILE'!$AH$9</f>
        <v>33 Years, 8 Months</v>
      </c>
      <c r="I18" s="294"/>
      <c r="J18" s="294"/>
      <c r="K18" s="117" t="s">
        <v>99</v>
      </c>
      <c r="L18" s="114" t="s">
        <v>99</v>
      </c>
    </row>
    <row r="19" spans="1:12">
      <c r="B19" s="295" t="s">
        <v>151</v>
      </c>
      <c r="C19" s="295"/>
      <c r="D19" s="295"/>
      <c r="E19" s="295"/>
      <c r="F19" s="295"/>
      <c r="G19" s="295"/>
      <c r="H19" s="296">
        <f>'MASTER FILE'!$AJ$9</f>
        <v>66</v>
      </c>
      <c r="I19" s="297"/>
      <c r="J19" s="297"/>
      <c r="K19" s="117" t="s">
        <v>99</v>
      </c>
    </row>
    <row r="20" spans="1:12">
      <c r="B20" s="289" t="s">
        <v>146</v>
      </c>
      <c r="C20" s="289"/>
      <c r="D20" s="289"/>
      <c r="E20" s="289"/>
      <c r="F20" s="289"/>
      <c r="G20" s="289"/>
      <c r="H20" s="293">
        <f>'MASTER FILE'!$BD$9</f>
        <v>60</v>
      </c>
      <c r="I20" s="293"/>
      <c r="J20" s="293"/>
    </row>
    <row r="21" spans="1:12">
      <c r="B21" s="325" t="s">
        <v>101</v>
      </c>
      <c r="C21" s="325"/>
    </row>
    <row r="22" spans="1:12" ht="26.25" customHeight="1">
      <c r="B22" s="287" t="s">
        <v>148</v>
      </c>
      <c r="C22" s="287"/>
      <c r="D22" s="287"/>
      <c r="E22" s="287"/>
      <c r="F22" s="287"/>
      <c r="G22" s="287"/>
      <c r="H22" s="257">
        <v>0</v>
      </c>
      <c r="I22" s="258"/>
      <c r="J22" s="259"/>
    </row>
    <row r="23" spans="1:12" ht="26.25" customHeight="1">
      <c r="B23" s="287" t="s">
        <v>147</v>
      </c>
      <c r="C23" s="287"/>
      <c r="D23" s="287"/>
      <c r="E23" s="287"/>
      <c r="F23" s="287"/>
      <c r="G23" s="287"/>
      <c r="H23" s="326">
        <f>'MASTER FILE'!$AK$9</f>
        <v>0</v>
      </c>
      <c r="I23" s="327"/>
      <c r="J23" s="328"/>
    </row>
    <row r="24" spans="1:12">
      <c r="B24" s="287" t="s">
        <v>102</v>
      </c>
      <c r="C24" s="287"/>
      <c r="D24" s="287"/>
      <c r="E24" s="287"/>
      <c r="F24" s="287"/>
      <c r="G24" s="287"/>
      <c r="H24" s="257">
        <v>0</v>
      </c>
      <c r="I24" s="258"/>
      <c r="J24" s="259"/>
    </row>
    <row r="25" spans="1:12" hidden="1">
      <c r="B25" s="307"/>
      <c r="C25" s="308"/>
      <c r="D25" s="308"/>
      <c r="E25" s="308"/>
      <c r="F25" s="308"/>
      <c r="G25" s="309"/>
      <c r="H25" s="326">
        <f>'MASTER FILE'!$AN$9+(H22+H24)*2</f>
        <v>60</v>
      </c>
      <c r="I25" s="327"/>
      <c r="J25" s="328"/>
    </row>
    <row r="26" spans="1:12">
      <c r="B26" s="332" t="s">
        <v>103</v>
      </c>
      <c r="C26" s="332"/>
      <c r="D26" s="332"/>
      <c r="E26" s="332"/>
      <c r="F26" s="332"/>
      <c r="G26" s="332"/>
      <c r="H26" s="329">
        <f>IF(H25&gt;66,66,H25)</f>
        <v>60</v>
      </c>
      <c r="I26" s="330"/>
      <c r="J26" s="331"/>
    </row>
    <row r="27" spans="1:12">
      <c r="B27" s="324" t="s">
        <v>104</v>
      </c>
      <c r="C27" s="324"/>
      <c r="D27" s="123"/>
      <c r="E27" s="123"/>
      <c r="F27" s="123"/>
      <c r="G27" s="123"/>
      <c r="H27" s="123"/>
      <c r="I27" s="123"/>
      <c r="J27" s="123"/>
    </row>
    <row r="28" spans="1:12">
      <c r="B28" s="252" t="s">
        <v>105</v>
      </c>
      <c r="C28" s="252"/>
      <c r="D28" s="252"/>
      <c r="E28" s="252"/>
      <c r="F28" s="252"/>
      <c r="G28" s="252"/>
      <c r="H28" s="257">
        <v>0</v>
      </c>
      <c r="I28" s="258"/>
      <c r="J28" s="259"/>
    </row>
    <row r="29" spans="1:12">
      <c r="B29" s="252" t="s">
        <v>106</v>
      </c>
      <c r="C29" s="252"/>
      <c r="D29" s="252"/>
      <c r="E29" s="252"/>
      <c r="F29" s="252"/>
      <c r="G29" s="252"/>
      <c r="H29" s="257">
        <v>0</v>
      </c>
      <c r="I29" s="258"/>
      <c r="J29" s="259"/>
    </row>
    <row r="30" spans="1:12" ht="15.75" thickBot="1">
      <c r="B30" s="252" t="s">
        <v>107</v>
      </c>
      <c r="C30" s="252"/>
      <c r="D30" s="252"/>
      <c r="E30" s="252"/>
      <c r="F30" s="252"/>
      <c r="G30" s="252"/>
      <c r="H30" s="257">
        <v>0</v>
      </c>
      <c r="I30" s="258"/>
      <c r="J30" s="259"/>
    </row>
    <row r="31" spans="1:12" ht="16.5" thickBot="1">
      <c r="B31" s="253" t="s">
        <v>108</v>
      </c>
      <c r="C31" s="254"/>
      <c r="D31" s="254"/>
      <c r="E31" s="254"/>
      <c r="F31" s="254"/>
      <c r="G31" s="255"/>
      <c r="H31" s="321">
        <f>H26-(H28+H29+H30)</f>
        <v>60</v>
      </c>
      <c r="I31" s="322"/>
      <c r="J31" s="323"/>
    </row>
    <row r="32" spans="1:12" ht="10.5" customHeight="1">
      <c r="B32" s="118"/>
      <c r="C32" s="118"/>
      <c r="D32" s="118"/>
      <c r="E32" s="118"/>
      <c r="F32" s="118"/>
      <c r="G32" s="118"/>
      <c r="H32" s="119"/>
      <c r="I32" s="119"/>
      <c r="J32" s="119"/>
    </row>
    <row r="33" spans="1:12" ht="51" customHeight="1">
      <c r="A33" s="125" t="s">
        <v>109</v>
      </c>
      <c r="B33" s="256" t="s">
        <v>152</v>
      </c>
      <c r="C33" s="256"/>
      <c r="D33" s="256"/>
      <c r="E33" s="256"/>
      <c r="F33" s="256"/>
      <c r="G33" s="256"/>
      <c r="H33" s="256"/>
      <c r="I33" s="256"/>
      <c r="J33" s="256"/>
      <c r="L33" s="60"/>
    </row>
    <row r="34" spans="1:12" ht="10.5" customHeight="1">
      <c r="L34" s="60"/>
    </row>
    <row r="35" spans="1:12">
      <c r="B35" s="242" t="s">
        <v>110</v>
      </c>
      <c r="C35" s="243"/>
      <c r="D35" s="243"/>
      <c r="E35" s="244"/>
      <c r="F35" s="245" t="s">
        <v>165</v>
      </c>
      <c r="G35" s="246"/>
      <c r="H35" s="246"/>
      <c r="I35" s="246"/>
      <c r="J35" s="247"/>
      <c r="L35" s="60">
        <f>72330*33*1.839/66</f>
        <v>66507.434999999998</v>
      </c>
    </row>
    <row r="36" spans="1:12">
      <c r="B36" s="248" t="s">
        <v>111</v>
      </c>
      <c r="C36" s="248"/>
      <c r="D36" s="248"/>
      <c r="E36" s="248"/>
      <c r="F36" s="249" t="s">
        <v>112</v>
      </c>
      <c r="G36" s="250"/>
      <c r="H36" s="250"/>
      <c r="I36" s="250"/>
      <c r="J36" s="251"/>
      <c r="L36" s="60"/>
    </row>
    <row r="37" spans="1:12">
      <c r="B37" s="248" t="s">
        <v>113</v>
      </c>
      <c r="C37" s="248"/>
      <c r="D37" s="248"/>
      <c r="E37" s="248"/>
      <c r="F37" s="249" t="s">
        <v>114</v>
      </c>
      <c r="G37" s="250"/>
      <c r="H37" s="250"/>
      <c r="I37" s="250"/>
      <c r="J37" s="251"/>
      <c r="L37" s="60"/>
    </row>
    <row r="38" spans="1:12">
      <c r="B38" s="248" t="s">
        <v>115</v>
      </c>
      <c r="C38" s="248"/>
      <c r="D38" s="248"/>
      <c r="E38" s="248"/>
      <c r="F38" s="249" t="s">
        <v>116</v>
      </c>
      <c r="G38" s="250"/>
      <c r="H38" s="250"/>
      <c r="I38" s="250"/>
      <c r="J38" s="251"/>
      <c r="L38" s="60"/>
    </row>
    <row r="39" spans="1:12" ht="12" customHeight="1">
      <c r="B39" s="123"/>
      <c r="C39" s="123"/>
      <c r="D39" s="123"/>
      <c r="E39" s="123"/>
      <c r="F39" s="123"/>
      <c r="G39" s="123"/>
      <c r="H39" s="123"/>
      <c r="I39" s="123"/>
      <c r="J39" s="123"/>
      <c r="L39" s="60"/>
    </row>
    <row r="40" spans="1:12">
      <c r="A40" s="115">
        <v>2</v>
      </c>
      <c r="B40" s="318" t="s">
        <v>153</v>
      </c>
      <c r="C40" s="318"/>
      <c r="D40" s="318"/>
      <c r="E40" s="318"/>
      <c r="F40" s="318"/>
      <c r="G40" s="318"/>
      <c r="H40" s="318"/>
      <c r="I40" s="318"/>
      <c r="J40" s="318"/>
      <c r="L40" s="60"/>
    </row>
    <row r="41" spans="1:12" ht="6.75" customHeight="1">
      <c r="B41" s="123"/>
      <c r="C41" s="123"/>
      <c r="D41" s="123"/>
      <c r="E41" s="123"/>
      <c r="F41" s="123"/>
      <c r="G41" s="123"/>
      <c r="H41" s="123"/>
      <c r="I41" s="123"/>
      <c r="J41" s="123"/>
      <c r="L41" s="60"/>
    </row>
    <row r="42" spans="1:12">
      <c r="B42" s="319" t="s">
        <v>82</v>
      </c>
      <c r="C42" s="310" t="s">
        <v>117</v>
      </c>
      <c r="D42" s="310"/>
      <c r="E42" s="283" t="s">
        <v>118</v>
      </c>
      <c r="F42" s="310" t="s">
        <v>119</v>
      </c>
      <c r="G42" s="310"/>
      <c r="H42" s="310"/>
      <c r="I42" s="283" t="s">
        <v>118</v>
      </c>
      <c r="J42" s="283">
        <v>1.839</v>
      </c>
      <c r="L42" s="60"/>
    </row>
    <row r="43" spans="1:12">
      <c r="B43" s="319"/>
      <c r="C43" s="241">
        <v>2</v>
      </c>
      <c r="D43" s="241"/>
      <c r="E43" s="283"/>
      <c r="F43" s="123"/>
      <c r="G43" s="115">
        <v>66</v>
      </c>
      <c r="H43" s="123"/>
      <c r="I43" s="283"/>
      <c r="J43" s="283"/>
      <c r="L43" s="60"/>
    </row>
    <row r="44" spans="1:12" ht="10.5" customHeight="1" thickBot="1">
      <c r="B44" s="123"/>
      <c r="C44" s="123"/>
      <c r="D44" s="123"/>
      <c r="E44" s="123"/>
      <c r="F44" s="123"/>
      <c r="G44" s="123"/>
      <c r="H44" s="123"/>
      <c r="I44" s="123"/>
      <c r="J44" s="123"/>
      <c r="L44" s="60"/>
    </row>
    <row r="45" spans="1:12" ht="15.75" thickBot="1">
      <c r="B45" s="312" t="s">
        <v>82</v>
      </c>
      <c r="C45" s="126">
        <f>'MASTER FILE'!$A$9</f>
        <v>61540</v>
      </c>
      <c r="D45" s="314" t="s">
        <v>118</v>
      </c>
      <c r="E45" s="127">
        <f>$H$31</f>
        <v>60</v>
      </c>
      <c r="F45" s="352" t="s">
        <v>172</v>
      </c>
      <c r="G45" s="316">
        <f>'MASTER FILE'!$AV$9</f>
        <v>56586.03</v>
      </c>
      <c r="H45" s="120" t="s">
        <v>81</v>
      </c>
      <c r="I45" s="128" t="s">
        <v>30</v>
      </c>
      <c r="J45" s="143" t="s">
        <v>23</v>
      </c>
      <c r="L45" s="60"/>
    </row>
    <row r="46" spans="1:12" ht="15.75" thickBot="1">
      <c r="B46" s="313"/>
      <c r="C46" s="129">
        <v>2</v>
      </c>
      <c r="D46" s="315"/>
      <c r="E46" s="129">
        <v>60</v>
      </c>
      <c r="F46" s="353"/>
      <c r="G46" s="317"/>
      <c r="H46" s="121">
        <f>G45</f>
        <v>56586.03</v>
      </c>
      <c r="I46" s="142">
        <f>'MASTER FILE'!$AW$9</f>
        <v>6366</v>
      </c>
      <c r="J46" s="152">
        <f>SUM(H46:I46)</f>
        <v>62952.03</v>
      </c>
      <c r="L46" s="60"/>
    </row>
    <row r="47" spans="1:12">
      <c r="B47" s="123"/>
      <c r="C47" s="123"/>
      <c r="D47" s="123"/>
      <c r="E47" s="123"/>
      <c r="F47" s="123"/>
      <c r="G47" s="123"/>
      <c r="H47" s="123"/>
      <c r="I47" s="123"/>
      <c r="J47" s="123"/>
      <c r="L47" s="60"/>
    </row>
    <row r="48" spans="1:12" ht="40.5" customHeight="1">
      <c r="A48" s="125" t="s">
        <v>109</v>
      </c>
      <c r="B48" s="269" t="s">
        <v>166</v>
      </c>
      <c r="C48" s="270"/>
      <c r="D48" s="270"/>
      <c r="E48" s="270"/>
      <c r="F48" s="270"/>
      <c r="G48" s="270"/>
      <c r="H48" s="270"/>
      <c r="I48" s="270"/>
      <c r="J48" s="271"/>
      <c r="L48" s="60"/>
    </row>
    <row r="49" spans="1:12" ht="7.5" customHeight="1">
      <c r="B49" s="123"/>
      <c r="C49" s="123"/>
      <c r="D49" s="123"/>
      <c r="E49" s="123"/>
      <c r="F49" s="123"/>
      <c r="G49" s="123"/>
      <c r="H49" s="123"/>
      <c r="I49" s="123"/>
      <c r="J49" s="123"/>
    </row>
    <row r="50" spans="1:12">
      <c r="B50" s="266" t="s">
        <v>176</v>
      </c>
      <c r="C50" s="267"/>
      <c r="D50" s="267"/>
      <c r="E50" s="268"/>
      <c r="F50" s="266" t="s">
        <v>177</v>
      </c>
      <c r="G50" s="267"/>
      <c r="H50" s="267"/>
      <c r="I50" s="267"/>
      <c r="J50" s="268"/>
    </row>
    <row r="51" spans="1:12">
      <c r="B51" s="137"/>
      <c r="C51" s="137"/>
      <c r="D51" s="137"/>
      <c r="E51" s="137"/>
      <c r="F51" s="137"/>
      <c r="G51" s="137"/>
      <c r="H51" s="137"/>
      <c r="I51" s="137"/>
      <c r="J51" s="137"/>
    </row>
    <row r="52" spans="1:12">
      <c r="A52" s="115">
        <v>3</v>
      </c>
      <c r="B52" s="124" t="s">
        <v>121</v>
      </c>
      <c r="C52" s="123"/>
      <c r="D52" s="123"/>
      <c r="E52" s="123"/>
      <c r="F52" s="123"/>
      <c r="G52" s="123"/>
      <c r="H52" s="123"/>
      <c r="I52" s="123"/>
      <c r="J52" s="123"/>
    </row>
    <row r="53" spans="1:12" ht="6" customHeight="1">
      <c r="B53" s="123"/>
      <c r="C53" s="123"/>
      <c r="D53" s="123"/>
      <c r="E53" s="123"/>
      <c r="F53" s="123"/>
      <c r="G53" s="123"/>
      <c r="H53" s="123"/>
      <c r="I53" s="123"/>
      <c r="J53" s="123"/>
    </row>
    <row r="54" spans="1:12">
      <c r="B54" s="283" t="s">
        <v>122</v>
      </c>
      <c r="C54" s="283"/>
      <c r="D54" s="283"/>
      <c r="E54" s="310" t="s">
        <v>123</v>
      </c>
      <c r="F54" s="310"/>
      <c r="G54" s="310"/>
      <c r="H54" s="310"/>
      <c r="I54" s="123"/>
      <c r="J54" s="123"/>
    </row>
    <row r="55" spans="1:12">
      <c r="B55" s="283"/>
      <c r="C55" s="283"/>
      <c r="D55" s="283"/>
      <c r="E55" s="241">
        <v>4</v>
      </c>
      <c r="F55" s="241"/>
      <c r="G55" s="241"/>
      <c r="H55" s="241"/>
      <c r="I55" s="123"/>
      <c r="J55" s="123"/>
    </row>
    <row r="56" spans="1:12" ht="8.25" customHeight="1" thickBot="1">
      <c r="B56" s="115"/>
      <c r="C56" s="115"/>
      <c r="D56" s="115"/>
      <c r="E56" s="115"/>
      <c r="F56" s="115"/>
      <c r="G56" s="115"/>
      <c r="H56" s="115"/>
      <c r="I56" s="123"/>
      <c r="J56" s="123"/>
    </row>
    <row r="57" spans="1:12" ht="15.75" thickBot="1">
      <c r="B57" s="283" t="s">
        <v>122</v>
      </c>
      <c r="C57" s="283"/>
      <c r="D57" s="283"/>
      <c r="E57" s="131">
        <f>C45</f>
        <v>61540</v>
      </c>
      <c r="F57" s="126" t="s">
        <v>118</v>
      </c>
      <c r="G57" s="127">
        <f>'MASTER FILE'!$AM$9</f>
        <v>66</v>
      </c>
      <c r="H57" s="284" t="s">
        <v>120</v>
      </c>
      <c r="I57" s="303">
        <f>'MASTER FILE'!$AP$9</f>
        <v>1015410</v>
      </c>
      <c r="J57" s="122"/>
      <c r="L57" s="135"/>
    </row>
    <row r="58" spans="1:12" ht="15.75" thickBot="1">
      <c r="B58" s="283"/>
      <c r="C58" s="283"/>
      <c r="D58" s="283"/>
      <c r="E58" s="305">
        <v>4</v>
      </c>
      <c r="F58" s="306"/>
      <c r="G58" s="306"/>
      <c r="H58" s="285"/>
      <c r="I58" s="304"/>
      <c r="J58" s="122"/>
      <c r="L58" s="198"/>
    </row>
    <row r="59" spans="1:12" ht="8.25" customHeight="1">
      <c r="B59" s="123"/>
      <c r="C59" s="123"/>
      <c r="D59" s="123"/>
      <c r="E59" s="123"/>
      <c r="F59" s="123"/>
      <c r="G59" s="123"/>
      <c r="H59" s="123"/>
      <c r="I59" s="123"/>
      <c r="J59" s="123"/>
    </row>
    <row r="60" spans="1:12">
      <c r="B60" s="307" t="s">
        <v>178</v>
      </c>
      <c r="C60" s="308"/>
      <c r="D60" s="308"/>
      <c r="E60" s="308"/>
      <c r="F60" s="308"/>
      <c r="G60" s="308"/>
      <c r="H60" s="308"/>
      <c r="I60" s="308"/>
      <c r="J60" s="309"/>
    </row>
    <row r="61" spans="1:12">
      <c r="B61" s="123"/>
      <c r="C61" s="123"/>
      <c r="D61" s="123"/>
      <c r="E61" s="123"/>
      <c r="F61" s="123"/>
      <c r="G61" s="123"/>
      <c r="H61" s="123"/>
      <c r="I61" s="123"/>
      <c r="J61" s="123"/>
    </row>
    <row r="62" spans="1:12">
      <c r="A62" s="115">
        <v>4</v>
      </c>
      <c r="B62" s="124" t="s">
        <v>124</v>
      </c>
      <c r="C62" s="123"/>
      <c r="D62" s="123"/>
      <c r="E62" s="123"/>
      <c r="F62" s="123"/>
      <c r="G62" s="123"/>
      <c r="H62" s="123"/>
      <c r="I62" s="123"/>
      <c r="J62" s="123"/>
    </row>
    <row r="63" spans="1:12" ht="7.5" customHeight="1">
      <c r="B63" s="124"/>
      <c r="C63" s="123"/>
      <c r="D63" s="123"/>
      <c r="E63" s="123"/>
      <c r="F63" s="123"/>
      <c r="G63" s="123"/>
      <c r="H63" s="123"/>
      <c r="I63" s="123"/>
      <c r="J63" s="123"/>
    </row>
    <row r="64" spans="1:12" ht="28.5" customHeight="1">
      <c r="B64" s="281" t="s">
        <v>154</v>
      </c>
      <c r="C64" s="281"/>
      <c r="D64" s="281"/>
      <c r="E64" s="281"/>
      <c r="F64" s="281"/>
      <c r="G64" s="281"/>
      <c r="H64" s="281"/>
      <c r="I64" s="281"/>
      <c r="J64" s="281"/>
    </row>
    <row r="65" spans="1:12" ht="6.75" customHeight="1">
      <c r="B65" s="123"/>
      <c r="C65" s="123"/>
      <c r="D65" s="123"/>
      <c r="E65" s="123"/>
      <c r="F65" s="123"/>
      <c r="G65" s="123"/>
      <c r="H65" s="123"/>
      <c r="I65" s="123"/>
      <c r="J65" s="123"/>
      <c r="L65" s="60"/>
    </row>
    <row r="66" spans="1:12">
      <c r="B66" s="282" t="s">
        <v>125</v>
      </c>
      <c r="C66" s="282"/>
      <c r="D66" s="282"/>
      <c r="E66" s="282"/>
      <c r="F66" s="282"/>
      <c r="G66" s="282"/>
      <c r="H66" s="282"/>
      <c r="I66" s="282"/>
      <c r="J66" s="282"/>
      <c r="L66" s="60"/>
    </row>
    <row r="67" spans="1:12" ht="5.25" customHeight="1">
      <c r="B67" s="132"/>
      <c r="C67" s="132"/>
      <c r="D67" s="132"/>
      <c r="E67" s="132"/>
      <c r="F67" s="132"/>
      <c r="G67" s="132"/>
      <c r="H67" s="132"/>
      <c r="I67" s="132"/>
      <c r="J67" s="132"/>
      <c r="L67" s="60"/>
    </row>
    <row r="68" spans="1:12">
      <c r="B68" s="272" t="s">
        <v>126</v>
      </c>
      <c r="C68" s="273"/>
      <c r="D68" s="273"/>
      <c r="E68" s="273"/>
      <c r="F68" s="274"/>
      <c r="G68" s="272" t="s">
        <v>127</v>
      </c>
      <c r="H68" s="273"/>
      <c r="I68" s="273"/>
      <c r="J68" s="274"/>
      <c r="L68" s="60"/>
    </row>
    <row r="69" spans="1:12">
      <c r="B69" s="272" t="s">
        <v>128</v>
      </c>
      <c r="C69" s="273"/>
      <c r="D69" s="273"/>
      <c r="E69" s="273"/>
      <c r="F69" s="274"/>
      <c r="G69" s="272" t="s">
        <v>129</v>
      </c>
      <c r="H69" s="273"/>
      <c r="I69" s="273"/>
      <c r="J69" s="274"/>
      <c r="L69" s="60"/>
    </row>
    <row r="70" spans="1:12">
      <c r="B70" s="272" t="s">
        <v>130</v>
      </c>
      <c r="C70" s="273"/>
      <c r="D70" s="273"/>
      <c r="E70" s="273"/>
      <c r="F70" s="274"/>
      <c r="G70" s="272" t="s">
        <v>131</v>
      </c>
      <c r="H70" s="273"/>
      <c r="I70" s="273"/>
      <c r="J70" s="274"/>
      <c r="L70" s="60"/>
    </row>
    <row r="71" spans="1:12" ht="51.75" customHeight="1">
      <c r="B71" s="275" t="s">
        <v>132</v>
      </c>
      <c r="C71" s="276"/>
      <c r="D71" s="276"/>
      <c r="E71" s="276"/>
      <c r="F71" s="277"/>
      <c r="G71" s="335" t="s">
        <v>167</v>
      </c>
      <c r="H71" s="336"/>
      <c r="I71" s="336"/>
      <c r="J71" s="337"/>
      <c r="L71" s="60"/>
    </row>
    <row r="72" spans="1:12">
      <c r="B72" s="278" t="s">
        <v>133</v>
      </c>
      <c r="C72" s="278"/>
      <c r="D72" s="278"/>
      <c r="E72" s="278"/>
      <c r="F72" s="278"/>
      <c r="G72" s="278"/>
      <c r="H72" s="278"/>
      <c r="I72" s="278"/>
      <c r="J72" s="278"/>
      <c r="L72" s="60"/>
    </row>
    <row r="73" spans="1:12">
      <c r="B73" s="123"/>
      <c r="C73" s="123"/>
      <c r="D73" s="123"/>
      <c r="E73" s="123"/>
      <c r="F73" s="123"/>
      <c r="G73" s="123"/>
      <c r="H73" s="123"/>
      <c r="I73" s="123"/>
      <c r="J73" s="123"/>
      <c r="L73" s="60"/>
    </row>
    <row r="74" spans="1:12">
      <c r="A74" s="115">
        <v>5</v>
      </c>
      <c r="B74" s="124" t="s">
        <v>134</v>
      </c>
      <c r="C74" s="123"/>
      <c r="D74" s="123"/>
      <c r="E74" s="123"/>
      <c r="F74" s="123"/>
      <c r="G74" s="123"/>
      <c r="H74" s="123"/>
      <c r="I74" s="123"/>
      <c r="J74" s="123"/>
      <c r="L74" s="60"/>
    </row>
    <row r="75" spans="1:12" ht="6" customHeight="1">
      <c r="B75" s="123"/>
      <c r="C75" s="123"/>
      <c r="D75" s="123"/>
      <c r="E75" s="123"/>
      <c r="F75" s="123"/>
      <c r="G75" s="123"/>
      <c r="H75" s="123"/>
      <c r="I75" s="123"/>
      <c r="J75" s="123"/>
      <c r="L75" s="60"/>
    </row>
    <row r="76" spans="1:12">
      <c r="B76" s="346" t="s">
        <v>135</v>
      </c>
      <c r="C76" s="347"/>
      <c r="D76" s="280" t="s">
        <v>136</v>
      </c>
      <c r="E76" s="280"/>
      <c r="F76" s="280"/>
      <c r="G76" s="280"/>
      <c r="H76" s="280"/>
      <c r="I76" s="280"/>
      <c r="J76" s="280"/>
      <c r="L76" s="60"/>
    </row>
    <row r="77" spans="1:12" ht="8.25" customHeight="1" thickBot="1">
      <c r="B77" s="348"/>
      <c r="C77" s="349"/>
      <c r="D77" s="123"/>
      <c r="E77" s="123"/>
      <c r="F77" s="123"/>
      <c r="G77" s="123"/>
      <c r="H77" s="123"/>
      <c r="I77" s="123"/>
      <c r="J77" s="123"/>
      <c r="L77" s="60"/>
    </row>
    <row r="78" spans="1:12" ht="15.75" thickBot="1">
      <c r="B78" s="350"/>
      <c r="C78" s="351"/>
      <c r="D78" s="193">
        <f>G45/3</f>
        <v>18862.009999999998</v>
      </c>
      <c r="E78" s="126" t="s">
        <v>118</v>
      </c>
      <c r="F78" s="134">
        <f>'MASTER FILE'!$BC$9</f>
        <v>9.81</v>
      </c>
      <c r="G78" s="126" t="s">
        <v>118</v>
      </c>
      <c r="H78" s="126">
        <v>12</v>
      </c>
      <c r="I78" s="126" t="s">
        <v>120</v>
      </c>
      <c r="J78" s="153">
        <f>'MASTER FILE'!$AZ$9</f>
        <v>2220435</v>
      </c>
      <c r="L78" s="60">
        <f>39900/3*12*9.81</f>
        <v>1565676</v>
      </c>
    </row>
    <row r="79" spans="1:12">
      <c r="B79" s="123"/>
      <c r="C79" s="123"/>
      <c r="D79" s="123"/>
      <c r="E79" s="123"/>
      <c r="F79" s="123"/>
      <c r="G79" s="123"/>
      <c r="H79" s="123"/>
      <c r="I79" s="123"/>
      <c r="J79" s="123"/>
      <c r="L79" s="60"/>
    </row>
    <row r="80" spans="1:12" ht="49.5" customHeight="1">
      <c r="A80" s="136" t="s">
        <v>109</v>
      </c>
      <c r="B80" s="256" t="s">
        <v>155</v>
      </c>
      <c r="C80" s="256"/>
      <c r="D80" s="256"/>
      <c r="E80" s="256"/>
      <c r="F80" s="256"/>
      <c r="G80" s="256"/>
      <c r="H80" s="256"/>
      <c r="I80" s="256"/>
      <c r="J80" s="256"/>
      <c r="L80" s="60"/>
    </row>
    <row r="81" spans="1:12">
      <c r="B81" s="123"/>
      <c r="C81" s="123"/>
      <c r="D81" s="123"/>
      <c r="E81" s="123"/>
      <c r="F81" s="123"/>
      <c r="G81" s="123"/>
      <c r="H81" s="123"/>
      <c r="I81" s="123"/>
      <c r="J81" s="123"/>
    </row>
    <row r="82" spans="1:12" ht="32.25" customHeight="1">
      <c r="A82" s="151" t="s">
        <v>137</v>
      </c>
      <c r="B82" s="269" t="s">
        <v>168</v>
      </c>
      <c r="C82" s="270"/>
      <c r="D82" s="270"/>
      <c r="E82" s="270"/>
      <c r="F82" s="270"/>
      <c r="G82" s="270"/>
      <c r="H82" s="270"/>
      <c r="I82" s="270"/>
      <c r="J82" s="271"/>
    </row>
    <row r="83" spans="1:12" ht="14.25" customHeight="1">
      <c r="B83" s="123"/>
      <c r="C83" s="123"/>
      <c r="D83" s="123"/>
      <c r="E83" s="123"/>
      <c r="F83" s="123"/>
      <c r="G83" s="123"/>
      <c r="H83" s="123"/>
      <c r="I83" s="123"/>
      <c r="J83" s="123"/>
    </row>
    <row r="84" spans="1:12">
      <c r="A84" s="74">
        <v>6</v>
      </c>
      <c r="B84" s="325" t="s">
        <v>138</v>
      </c>
      <c r="C84" s="325"/>
      <c r="D84" s="123"/>
      <c r="E84" s="123"/>
      <c r="F84" s="123"/>
      <c r="G84" s="123"/>
      <c r="H84" s="123"/>
      <c r="I84" s="123"/>
      <c r="J84" s="123"/>
    </row>
    <row r="85" spans="1:12" ht="6.75" customHeight="1">
      <c r="B85" s="124"/>
      <c r="C85" s="123"/>
      <c r="D85" s="123"/>
      <c r="E85" s="123"/>
      <c r="F85" s="123"/>
      <c r="G85" s="123"/>
      <c r="H85" s="123"/>
      <c r="I85" s="123"/>
      <c r="J85" s="123"/>
    </row>
    <row r="86" spans="1:12">
      <c r="B86" s="266" t="s">
        <v>176</v>
      </c>
      <c r="C86" s="267"/>
      <c r="D86" s="267"/>
      <c r="E86" s="268"/>
      <c r="F86" s="266" t="s">
        <v>180</v>
      </c>
      <c r="G86" s="267"/>
      <c r="H86" s="267"/>
      <c r="I86" s="267"/>
      <c r="J86" s="268"/>
    </row>
    <row r="87" spans="1:12" ht="9" customHeight="1">
      <c r="B87" s="137"/>
      <c r="C87" s="137"/>
      <c r="D87" s="137"/>
      <c r="E87" s="137"/>
      <c r="F87" s="137"/>
      <c r="G87" s="137"/>
      <c r="H87" s="137"/>
      <c r="I87" s="137"/>
      <c r="J87" s="137"/>
    </row>
    <row r="88" spans="1:12">
      <c r="B88" s="137"/>
      <c r="C88" s="283" t="s">
        <v>175</v>
      </c>
      <c r="D88" s="283"/>
      <c r="E88" s="283"/>
      <c r="F88" s="283"/>
      <c r="G88" s="283"/>
      <c r="H88" s="283"/>
      <c r="I88" s="283"/>
      <c r="J88" s="137"/>
    </row>
    <row r="89" spans="1:12" ht="5.25" customHeight="1" thickBot="1">
      <c r="B89" s="137"/>
      <c r="C89" s="137"/>
      <c r="D89" s="137"/>
      <c r="E89" s="137"/>
      <c r="F89" s="137"/>
      <c r="G89" s="137"/>
      <c r="H89" s="137"/>
      <c r="I89" s="137"/>
      <c r="J89" s="137"/>
    </row>
    <row r="90" spans="1:12" ht="15.75" thickBot="1">
      <c r="B90" s="266" t="s">
        <v>157</v>
      </c>
      <c r="C90" s="267"/>
      <c r="D90" s="188">
        <f>C45</f>
        <v>61540</v>
      </c>
      <c r="E90" s="188" t="s">
        <v>118</v>
      </c>
      <c r="F90" s="141">
        <v>0.3</v>
      </c>
      <c r="G90" s="191" t="s">
        <v>118</v>
      </c>
      <c r="H90" s="191">
        <v>1.839</v>
      </c>
      <c r="I90" s="189" t="s">
        <v>120</v>
      </c>
      <c r="J90" s="190">
        <f>'MASTER FILE'!$BB$9</f>
        <v>33951.618000000002</v>
      </c>
      <c r="L90" s="135"/>
    </row>
    <row r="91" spans="1:12">
      <c r="C91" s="137"/>
      <c r="D91" s="137"/>
      <c r="E91" s="137"/>
      <c r="F91" s="137"/>
      <c r="G91" s="137"/>
      <c r="H91" s="138"/>
      <c r="I91" s="137"/>
      <c r="J91" s="139"/>
      <c r="L91" s="135"/>
    </row>
    <row r="92" spans="1:12">
      <c r="A92" s="115">
        <v>7</v>
      </c>
      <c r="B92" s="345" t="s">
        <v>159</v>
      </c>
      <c r="C92" s="345"/>
      <c r="D92" s="123"/>
      <c r="E92" s="123"/>
      <c r="F92" s="123"/>
      <c r="G92" s="123"/>
      <c r="H92" s="123"/>
      <c r="I92" s="123"/>
      <c r="J92" s="123"/>
      <c r="L92" s="135"/>
    </row>
    <row r="93" spans="1:12" ht="6.75" customHeight="1">
      <c r="B93" s="124"/>
      <c r="C93" s="123"/>
      <c r="D93" s="123"/>
      <c r="E93" s="123"/>
      <c r="F93" s="123"/>
      <c r="G93" s="123"/>
      <c r="H93" s="123"/>
      <c r="I93" s="123"/>
      <c r="J93" s="123"/>
      <c r="L93" s="135"/>
    </row>
    <row r="94" spans="1:12">
      <c r="B94" s="137"/>
      <c r="C94" s="283" t="s">
        <v>162</v>
      </c>
      <c r="D94" s="283"/>
      <c r="E94" s="283"/>
      <c r="F94" s="283"/>
      <c r="G94" s="283"/>
      <c r="H94" s="283"/>
      <c r="I94" s="283"/>
      <c r="J94" s="137"/>
    </row>
    <row r="95" spans="1:12" ht="5.25" customHeight="1" thickBot="1">
      <c r="B95" s="137"/>
      <c r="C95" s="137"/>
      <c r="D95" s="137"/>
      <c r="E95" s="137"/>
      <c r="F95" s="137"/>
      <c r="G95" s="137"/>
      <c r="H95" s="137"/>
      <c r="I95" s="137"/>
      <c r="J95" s="137"/>
    </row>
    <row r="96" spans="1:12" ht="15.75" thickBot="1">
      <c r="B96" s="344" t="s">
        <v>161</v>
      </c>
      <c r="C96" s="344"/>
      <c r="D96" s="144">
        <f>C45</f>
        <v>61540</v>
      </c>
      <c r="E96" s="165" t="s">
        <v>160</v>
      </c>
      <c r="F96" s="146">
        <f>TRUNC(D96*H8+0.5)</f>
        <v>83694</v>
      </c>
      <c r="G96" s="145" t="s">
        <v>118</v>
      </c>
      <c r="H96" s="147">
        <f>'MASTER FILE'!$AQ$9</f>
        <v>300</v>
      </c>
      <c r="I96" s="340" t="s">
        <v>120</v>
      </c>
      <c r="J96" s="342">
        <f>'MASTER FILE'!$AS$9</f>
        <v>684630</v>
      </c>
    </row>
    <row r="97" spans="2:12" ht="15.75" thickBot="1">
      <c r="B97" s="344"/>
      <c r="C97" s="344"/>
      <c r="D97" s="338">
        <v>30</v>
      </c>
      <c r="E97" s="339"/>
      <c r="F97" s="339"/>
      <c r="G97" s="339"/>
      <c r="H97" s="339"/>
      <c r="I97" s="341"/>
      <c r="J97" s="343"/>
    </row>
    <row r="99" spans="2:12" s="123" customFormat="1" ht="15.75">
      <c r="C99" s="148">
        <v>1</v>
      </c>
      <c r="D99" s="333" t="s">
        <v>82</v>
      </c>
      <c r="E99" s="333"/>
      <c r="F99" s="333"/>
      <c r="G99" s="333"/>
      <c r="H99" s="166">
        <f>J46</f>
        <v>62952.03</v>
      </c>
      <c r="I99" s="167"/>
      <c r="L99" s="168"/>
    </row>
    <row r="100" spans="2:12" s="123" customFormat="1" ht="15.75">
      <c r="C100" s="148">
        <v>2</v>
      </c>
      <c r="D100" s="333" t="s">
        <v>163</v>
      </c>
      <c r="E100" s="333"/>
      <c r="F100" s="333"/>
      <c r="G100" s="333"/>
      <c r="H100" s="169"/>
      <c r="I100" s="166">
        <f>I57</f>
        <v>1015410</v>
      </c>
      <c r="L100" s="168"/>
    </row>
    <row r="101" spans="2:12" s="123" customFormat="1" ht="15.75">
      <c r="C101" s="148">
        <v>3</v>
      </c>
      <c r="D101" s="333" t="s">
        <v>134</v>
      </c>
      <c r="E101" s="333"/>
      <c r="F101" s="333"/>
      <c r="G101" s="333"/>
      <c r="H101" s="169"/>
      <c r="I101" s="166">
        <f>J78</f>
        <v>2220435</v>
      </c>
      <c r="L101" s="168"/>
    </row>
    <row r="102" spans="2:12" s="123" customFormat="1" ht="15.75">
      <c r="C102" s="148">
        <v>4</v>
      </c>
      <c r="D102" s="333" t="s">
        <v>159</v>
      </c>
      <c r="E102" s="333"/>
      <c r="F102" s="333"/>
      <c r="G102" s="333"/>
      <c r="H102" s="169"/>
      <c r="I102" s="166">
        <f>J96</f>
        <v>684630</v>
      </c>
      <c r="L102" s="168"/>
    </row>
    <row r="103" spans="2:12" s="123" customFormat="1" ht="15.75">
      <c r="C103" s="170"/>
      <c r="D103" s="334" t="s">
        <v>164</v>
      </c>
      <c r="E103" s="334"/>
      <c r="F103" s="334"/>
      <c r="G103" s="334"/>
      <c r="H103" s="171"/>
      <c r="I103" s="166">
        <f>SUM(I100:I102)</f>
        <v>3920475</v>
      </c>
      <c r="L103" s="168"/>
    </row>
  </sheetData>
  <sheetProtection password="C345" sheet="1" objects="1" scenarios="1" selectLockedCells="1"/>
  <mergeCells count="116">
    <mergeCell ref="B1:G1"/>
    <mergeCell ref="H1:J1"/>
    <mergeCell ref="B2:G2"/>
    <mergeCell ref="H2:J2"/>
    <mergeCell ref="B3:G3"/>
    <mergeCell ref="H3:J3"/>
    <mergeCell ref="B7:G7"/>
    <mergeCell ref="H7:J7"/>
    <mergeCell ref="B8:G8"/>
    <mergeCell ref="H8:J8"/>
    <mergeCell ref="B11:J11"/>
    <mergeCell ref="B12:J12"/>
    <mergeCell ref="B4:G4"/>
    <mergeCell ref="H4:J4"/>
    <mergeCell ref="B5:G5"/>
    <mergeCell ref="H5:J5"/>
    <mergeCell ref="B6:G6"/>
    <mergeCell ref="H6:J6"/>
    <mergeCell ref="B17:G17"/>
    <mergeCell ref="H17:J17"/>
    <mergeCell ref="B18:G18"/>
    <mergeCell ref="H18:J18"/>
    <mergeCell ref="B19:G19"/>
    <mergeCell ref="H19:J19"/>
    <mergeCell ref="B13:F13"/>
    <mergeCell ref="G13:J13"/>
    <mergeCell ref="H14:J14"/>
    <mergeCell ref="B15:G15"/>
    <mergeCell ref="H15:J15"/>
    <mergeCell ref="B16:G16"/>
    <mergeCell ref="H16:J16"/>
    <mergeCell ref="B24:G24"/>
    <mergeCell ref="H24:J24"/>
    <mergeCell ref="B26:G26"/>
    <mergeCell ref="H26:J26"/>
    <mergeCell ref="B27:C27"/>
    <mergeCell ref="B28:G28"/>
    <mergeCell ref="H28:J28"/>
    <mergeCell ref="H25:J25"/>
    <mergeCell ref="B20:G20"/>
    <mergeCell ref="H20:J20"/>
    <mergeCell ref="B21:C21"/>
    <mergeCell ref="B22:G22"/>
    <mergeCell ref="H22:J22"/>
    <mergeCell ref="B23:G23"/>
    <mergeCell ref="H23:J23"/>
    <mergeCell ref="B33:J33"/>
    <mergeCell ref="B35:E35"/>
    <mergeCell ref="F35:J35"/>
    <mergeCell ref="B36:E36"/>
    <mergeCell ref="F36:J36"/>
    <mergeCell ref="B37:E37"/>
    <mergeCell ref="F37:J37"/>
    <mergeCell ref="B29:G29"/>
    <mergeCell ref="H29:J29"/>
    <mergeCell ref="B30:G30"/>
    <mergeCell ref="H30:J30"/>
    <mergeCell ref="B31:G31"/>
    <mergeCell ref="H31:J31"/>
    <mergeCell ref="E58:G58"/>
    <mergeCell ref="B45:B46"/>
    <mergeCell ref="D45:D46"/>
    <mergeCell ref="F45:F46"/>
    <mergeCell ref="G45:G46"/>
    <mergeCell ref="B48:J48"/>
    <mergeCell ref="B50:E50"/>
    <mergeCell ref="F50:J50"/>
    <mergeCell ref="B38:E38"/>
    <mergeCell ref="F38:J38"/>
    <mergeCell ref="B40:J40"/>
    <mergeCell ref="B42:B43"/>
    <mergeCell ref="C42:D42"/>
    <mergeCell ref="E42:E43"/>
    <mergeCell ref="F42:H42"/>
    <mergeCell ref="C43:D43"/>
    <mergeCell ref="I42:I43"/>
    <mergeCell ref="J42:J43"/>
    <mergeCell ref="D97:H97"/>
    <mergeCell ref="B80:J80"/>
    <mergeCell ref="B82:J82"/>
    <mergeCell ref="B84:C84"/>
    <mergeCell ref="B86:E86"/>
    <mergeCell ref="F86:J86"/>
    <mergeCell ref="C88:I88"/>
    <mergeCell ref="B70:F70"/>
    <mergeCell ref="G70:J70"/>
    <mergeCell ref="B71:F71"/>
    <mergeCell ref="G71:J71"/>
    <mergeCell ref="B72:J72"/>
    <mergeCell ref="B76:C78"/>
    <mergeCell ref="D76:J76"/>
    <mergeCell ref="B90:C90"/>
    <mergeCell ref="D99:G99"/>
    <mergeCell ref="D100:G100"/>
    <mergeCell ref="D101:G101"/>
    <mergeCell ref="D102:G102"/>
    <mergeCell ref="D103:G103"/>
    <mergeCell ref="B25:G25"/>
    <mergeCell ref="B92:C92"/>
    <mergeCell ref="C94:I94"/>
    <mergeCell ref="B96:C97"/>
    <mergeCell ref="I96:I97"/>
    <mergeCell ref="B60:J60"/>
    <mergeCell ref="B64:J64"/>
    <mergeCell ref="B66:J66"/>
    <mergeCell ref="B68:F68"/>
    <mergeCell ref="G68:J68"/>
    <mergeCell ref="B69:F69"/>
    <mergeCell ref="G69:J69"/>
    <mergeCell ref="B54:D55"/>
    <mergeCell ref="E54:H54"/>
    <mergeCell ref="E55:H55"/>
    <mergeCell ref="B57:D58"/>
    <mergeCell ref="H57:H58"/>
    <mergeCell ref="I57:I58"/>
    <mergeCell ref="J96:J97"/>
  </mergeCells>
  <printOptions horizontalCentered="1"/>
  <pageMargins left="0.5" right="0.25" top="0.5" bottom="0.5" header="0.25" footer="0.25"/>
  <pageSetup paperSize="9" orientation="portrait" horizontalDpi="1200" verticalDpi="1200" r:id="rId1"/>
  <rowBreaks count="1" manualBreakCount="1">
    <brk id="61" max="9"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L5387"/>
  <sheetViews>
    <sheetView topLeftCell="E1" workbookViewId="0">
      <selection activeCell="F9" sqref="F9"/>
    </sheetView>
  </sheetViews>
  <sheetFormatPr defaultRowHeight="15"/>
  <cols>
    <col min="1" max="2" width="8.28515625" style="1"/>
    <col min="3" max="3" width="5.28515625" style="1" customWidth="1"/>
    <col min="4" max="4" width="13.28515625" style="1" customWidth="1"/>
    <col min="5" max="5" width="3" style="1" bestFit="1" customWidth="1"/>
    <col min="6" max="6" width="9.42578125" style="1" customWidth="1"/>
    <col min="7" max="7" width="4.42578125" style="1" customWidth="1"/>
    <col min="8" max="9" width="6.5703125" style="1" customWidth="1"/>
    <col min="10" max="13" width="3.28515625" style="1" customWidth="1"/>
    <col min="14" max="14" width="23.140625" style="1" customWidth="1"/>
    <col min="15" max="16" width="8.28515625" style="1"/>
    <col min="17" max="17" width="3" style="1" bestFit="1" customWidth="1"/>
    <col min="18" max="18" width="32.5703125" style="1" bestFit="1" customWidth="1"/>
    <col min="19" max="19" width="7.85546875" style="1" customWidth="1"/>
    <col min="20" max="20" width="4.7109375" style="1" customWidth="1"/>
    <col min="21" max="21" width="15.7109375" style="1" customWidth="1"/>
    <col min="22" max="22" width="15.140625" style="1" customWidth="1"/>
    <col min="23" max="24" width="8.28515625" style="1"/>
    <col min="25" max="25" width="20.5703125" style="1" customWidth="1"/>
    <col min="26" max="26" width="19.5703125" style="1" customWidth="1"/>
    <col min="27" max="27" width="15" style="1" bestFit="1" customWidth="1"/>
    <col min="28" max="28" width="8.5703125" style="1" customWidth="1"/>
    <col min="29" max="32" width="12.140625" style="1" customWidth="1"/>
    <col min="33" max="35" width="13.5703125" style="1" customWidth="1"/>
    <col min="36" max="36" width="8.28515625" style="1"/>
    <col min="37" max="37" width="8.28515625" style="1" customWidth="1"/>
    <col min="38" max="38" width="9.140625" style="1"/>
  </cols>
  <sheetData>
    <row r="1" spans="1:28">
      <c r="A1" s="365" t="s">
        <v>18</v>
      </c>
      <c r="B1" s="365"/>
      <c r="D1" s="364" t="s">
        <v>24</v>
      </c>
      <c r="E1" s="364"/>
      <c r="F1" s="70" t="s">
        <v>29</v>
      </c>
      <c r="N1" s="362" t="s">
        <v>0</v>
      </c>
      <c r="O1" s="362"/>
      <c r="P1" s="16"/>
      <c r="Q1" s="12"/>
      <c r="R1" s="59" t="s">
        <v>3</v>
      </c>
      <c r="S1" s="37"/>
      <c r="U1" s="57" t="s">
        <v>16</v>
      </c>
      <c r="V1" s="12">
        <v>0</v>
      </c>
      <c r="W1" s="13">
        <v>0</v>
      </c>
      <c r="X1" s="13">
        <v>0</v>
      </c>
    </row>
    <row r="2" spans="1:28">
      <c r="A2" s="68" t="s">
        <v>26</v>
      </c>
      <c r="B2" s="69">
        <v>0.3</v>
      </c>
      <c r="D2" s="66">
        <v>42430</v>
      </c>
      <c r="E2" s="67">
        <v>12</v>
      </c>
      <c r="F2" s="57" t="s">
        <v>26</v>
      </c>
      <c r="N2" s="363" t="s">
        <v>1</v>
      </c>
      <c r="O2" s="363"/>
      <c r="P2" s="24"/>
      <c r="R2" s="1" t="s">
        <v>16</v>
      </c>
      <c r="U2" s="34" t="s">
        <v>9</v>
      </c>
      <c r="V2" s="13" t="s">
        <v>34</v>
      </c>
      <c r="W2" s="13">
        <v>300</v>
      </c>
      <c r="X2" s="13">
        <v>0</v>
      </c>
    </row>
    <row r="3" spans="1:28" ht="15.75">
      <c r="A3" s="68" t="s">
        <v>27</v>
      </c>
      <c r="B3" s="69">
        <v>0.2</v>
      </c>
      <c r="D3" s="66">
        <v>42461</v>
      </c>
      <c r="E3" s="67">
        <v>11</v>
      </c>
      <c r="F3" s="57" t="s">
        <v>27</v>
      </c>
      <c r="N3" s="360" t="s">
        <v>2</v>
      </c>
      <c r="O3" s="361"/>
      <c r="P3" s="48"/>
      <c r="Q3" s="58">
        <v>1</v>
      </c>
      <c r="R3" s="77" t="s">
        <v>35</v>
      </c>
      <c r="S3" s="75" t="e">
        <f>COUNTIF('MASTER FILE'!#REF!,"9600-14550")</f>
        <v>#REF!</v>
      </c>
      <c r="U3" s="34" t="s">
        <v>36</v>
      </c>
      <c r="V3" s="13" t="s">
        <v>34</v>
      </c>
      <c r="W3" s="13">
        <v>300</v>
      </c>
      <c r="X3" s="13">
        <v>0</v>
      </c>
      <c r="AA3" s="2"/>
    </row>
    <row r="4" spans="1:28" ht="15.75">
      <c r="A4" s="68" t="s">
        <v>47</v>
      </c>
      <c r="B4" s="69">
        <v>0.1</v>
      </c>
      <c r="D4" s="66">
        <v>42491</v>
      </c>
      <c r="E4" s="67">
        <v>10</v>
      </c>
      <c r="F4" s="57" t="s">
        <v>47</v>
      </c>
      <c r="N4" s="51"/>
      <c r="O4" s="38"/>
      <c r="P4" s="48"/>
      <c r="Q4" s="58">
        <v>2</v>
      </c>
      <c r="R4" s="77" t="s">
        <v>34</v>
      </c>
      <c r="S4" s="75" t="e">
        <f>COUNTIF('MASTER FILE'!#REF!,"10400-16400")</f>
        <v>#REF!</v>
      </c>
      <c r="U4" s="34" t="s">
        <v>75</v>
      </c>
      <c r="V4" s="13" t="s">
        <v>33</v>
      </c>
      <c r="W4" s="13">
        <v>300</v>
      </c>
      <c r="X4" s="13">
        <v>135</v>
      </c>
      <c r="AA4" s="2"/>
      <c r="AB4" s="4"/>
    </row>
    <row r="5" spans="1:28" ht="15.75">
      <c r="A5" s="68" t="s">
        <v>25</v>
      </c>
      <c r="B5" s="69">
        <v>0.1</v>
      </c>
      <c r="D5" s="66">
        <v>42522</v>
      </c>
      <c r="E5" s="67">
        <v>9</v>
      </c>
      <c r="F5" s="57" t="s">
        <v>25</v>
      </c>
      <c r="M5" s="1">
        <v>1</v>
      </c>
      <c r="N5" s="51" t="s">
        <v>4</v>
      </c>
      <c r="O5" s="38" t="e">
        <f>COUNTIF('MASTER FILE'!#REF!,"Suptd.")</f>
        <v>#REF!</v>
      </c>
      <c r="P5" s="48"/>
      <c r="Q5" s="58">
        <v>3</v>
      </c>
      <c r="R5" s="77" t="s">
        <v>37</v>
      </c>
      <c r="S5" s="75" t="e">
        <f>COUNTIF('MASTER FILE'!#REF!,"11000-19000")</f>
        <v>#REF!</v>
      </c>
      <c r="U5" s="34" t="s">
        <v>5</v>
      </c>
      <c r="V5" s="13" t="s">
        <v>32</v>
      </c>
      <c r="W5" s="13">
        <v>0</v>
      </c>
      <c r="X5" s="13">
        <v>0</v>
      </c>
      <c r="AA5" s="2"/>
      <c r="AB5" s="4"/>
    </row>
    <row r="6" spans="1:28" ht="15.75">
      <c r="D6" s="66">
        <v>42552</v>
      </c>
      <c r="E6" s="67">
        <v>8</v>
      </c>
      <c r="M6" s="1">
        <v>2</v>
      </c>
      <c r="N6" s="51" t="s">
        <v>5</v>
      </c>
      <c r="O6" s="38" t="e">
        <f>COUNTIF('MASTER FILE'!#REF!,"FDA")</f>
        <v>#REF!</v>
      </c>
      <c r="P6" s="48"/>
      <c r="Q6" s="58">
        <v>4</v>
      </c>
      <c r="R6" s="77" t="s">
        <v>33</v>
      </c>
      <c r="S6" s="75" t="e">
        <f>COUNTIF('MASTER FILE'!#REF!,"11600-21000")</f>
        <v>#REF!</v>
      </c>
      <c r="U6" s="34" t="s">
        <v>79</v>
      </c>
      <c r="V6" s="13" t="s">
        <v>32</v>
      </c>
      <c r="W6" s="13">
        <v>0</v>
      </c>
      <c r="X6" s="13">
        <v>0</v>
      </c>
      <c r="AA6" s="2"/>
      <c r="AB6" s="4"/>
    </row>
    <row r="7" spans="1:28" ht="15.75">
      <c r="D7" s="66">
        <v>42583</v>
      </c>
      <c r="E7" s="67">
        <v>7</v>
      </c>
      <c r="M7" s="1">
        <v>3</v>
      </c>
      <c r="N7" s="51" t="s">
        <v>6</v>
      </c>
      <c r="O7" s="38" t="e">
        <f>COUNTIF('MASTER FILE'!#REF!,"SDA")</f>
        <v>#REF!</v>
      </c>
      <c r="P7" s="48"/>
      <c r="Q7" s="58">
        <v>5</v>
      </c>
      <c r="R7" s="77" t="s">
        <v>38</v>
      </c>
      <c r="S7" s="75" t="e">
        <f>COUNTIF('MASTER FILE'!#REF!,"12500-24000")</f>
        <v>#REF!</v>
      </c>
      <c r="U7" s="34" t="s">
        <v>10</v>
      </c>
      <c r="V7" s="13" t="s">
        <v>34</v>
      </c>
      <c r="W7" s="13">
        <v>0</v>
      </c>
      <c r="X7" s="13">
        <v>0</v>
      </c>
      <c r="AA7" s="2"/>
      <c r="AB7" s="4"/>
    </row>
    <row r="8" spans="1:28" ht="15.75">
      <c r="A8" s="358" t="s">
        <v>19</v>
      </c>
      <c r="B8" s="358"/>
      <c r="D8" s="66">
        <v>42614</v>
      </c>
      <c r="E8" s="67">
        <v>6</v>
      </c>
      <c r="F8" s="72" t="s">
        <v>30</v>
      </c>
      <c r="H8" s="57" t="s">
        <v>17</v>
      </c>
      <c r="I8" s="57" t="s">
        <v>21</v>
      </c>
      <c r="M8" s="1">
        <v>4</v>
      </c>
      <c r="N8" s="51" t="s">
        <v>7</v>
      </c>
      <c r="O8" s="38" t="e">
        <f>COUNTIF('MASTER FILE'!#REF!,"Sr.Typist")</f>
        <v>#REF!</v>
      </c>
      <c r="P8" s="48"/>
      <c r="Q8" s="58">
        <v>6</v>
      </c>
      <c r="R8" s="77" t="s">
        <v>39</v>
      </c>
      <c r="S8" s="75" t="e">
        <f>COUNTIF('MASTER FILE'!#REF!,"13600-26000")</f>
        <v>#REF!</v>
      </c>
      <c r="U8" s="34" t="s">
        <v>11</v>
      </c>
      <c r="V8" s="13" t="s">
        <v>34</v>
      </c>
      <c r="W8" s="13">
        <v>0</v>
      </c>
      <c r="X8" s="13">
        <v>0</v>
      </c>
      <c r="AA8" s="2"/>
      <c r="AB8" s="4"/>
    </row>
    <row r="9" spans="1:28" ht="15.75">
      <c r="A9" s="71" t="s">
        <v>26</v>
      </c>
      <c r="B9" s="12">
        <v>350</v>
      </c>
      <c r="D9" s="66">
        <v>42644</v>
      </c>
      <c r="E9" s="67">
        <v>5</v>
      </c>
      <c r="F9" s="79">
        <f>'PENSION-STATE'!$H$8</f>
        <v>0.1125</v>
      </c>
      <c r="H9" s="57" t="s">
        <v>16</v>
      </c>
      <c r="I9" s="57" t="s">
        <v>22</v>
      </c>
      <c r="M9" s="1">
        <v>5</v>
      </c>
      <c r="N9" s="51" t="s">
        <v>8</v>
      </c>
      <c r="O9" s="38" t="e">
        <f>COUNTIF('MASTER FILE'!#REF!,"Typist")</f>
        <v>#REF!</v>
      </c>
      <c r="P9" s="48"/>
      <c r="Q9" s="58">
        <v>7</v>
      </c>
      <c r="R9" s="77" t="s">
        <v>32</v>
      </c>
      <c r="S9" s="75" t="e">
        <f>COUNTIF('MASTER FILE'!#REF!,"14550-26700")</f>
        <v>#REF!</v>
      </c>
      <c r="U9" s="34" t="s">
        <v>12</v>
      </c>
      <c r="V9" s="13" t="s">
        <v>33</v>
      </c>
      <c r="W9" s="13">
        <v>0</v>
      </c>
      <c r="X9" s="13">
        <v>0</v>
      </c>
      <c r="AA9" s="2"/>
      <c r="AB9" s="4"/>
    </row>
    <row r="10" spans="1:28" ht="15.75">
      <c r="A10" s="71" t="s">
        <v>27</v>
      </c>
      <c r="B10" s="12">
        <v>250</v>
      </c>
      <c r="D10" s="66">
        <v>42675</v>
      </c>
      <c r="E10" s="67">
        <v>4</v>
      </c>
      <c r="I10" s="33" t="s">
        <v>16</v>
      </c>
      <c r="M10" s="1">
        <v>6</v>
      </c>
      <c r="N10" s="51" t="s">
        <v>74</v>
      </c>
      <c r="O10" s="38" t="e">
        <f>COUNTIF('MASTER FILE'!#REF!,"Stenographer")</f>
        <v>#REF!</v>
      </c>
      <c r="P10" s="48"/>
      <c r="Q10" s="58">
        <v>8</v>
      </c>
      <c r="R10" s="77" t="s">
        <v>40</v>
      </c>
      <c r="S10" s="75" t="e">
        <f>COUNTIF('MASTER FILE'!#REF!,"16000-29600")</f>
        <v>#REF!</v>
      </c>
      <c r="U10" s="34" t="s">
        <v>45</v>
      </c>
      <c r="V10" s="13" t="s">
        <v>35</v>
      </c>
      <c r="W10" s="13">
        <v>300</v>
      </c>
      <c r="X10" s="13">
        <v>0</v>
      </c>
      <c r="AA10" s="2"/>
      <c r="AB10" s="4"/>
    </row>
    <row r="11" spans="1:28" ht="15.75">
      <c r="A11" s="71" t="s">
        <v>25</v>
      </c>
      <c r="B11" s="12">
        <v>0</v>
      </c>
      <c r="D11" s="66">
        <v>42705</v>
      </c>
      <c r="E11" s="67">
        <v>3</v>
      </c>
      <c r="M11" s="1">
        <v>7</v>
      </c>
      <c r="N11" s="51" t="s">
        <v>76</v>
      </c>
      <c r="O11" s="38" t="e">
        <f>COUNTIF('MASTER FILE'!#REF!,"Sr.Driver")</f>
        <v>#REF!</v>
      </c>
      <c r="P11" s="48"/>
      <c r="Q11" s="58">
        <v>9</v>
      </c>
      <c r="R11" s="77" t="s">
        <v>41</v>
      </c>
      <c r="S11" s="75" t="e">
        <f>COUNTIF('MASTER FILE'!#REF!,"17650-32000")</f>
        <v>#REF!</v>
      </c>
      <c r="U11" s="34" t="s">
        <v>13</v>
      </c>
      <c r="V11" s="13" t="s">
        <v>35</v>
      </c>
      <c r="W11" s="13">
        <v>300</v>
      </c>
      <c r="X11" s="13">
        <v>0</v>
      </c>
      <c r="AA11" s="2"/>
      <c r="AB11" s="4"/>
    </row>
    <row r="12" spans="1:28" ht="15.75">
      <c r="A12" s="71" t="s">
        <v>28</v>
      </c>
      <c r="B12" s="12">
        <v>0</v>
      </c>
      <c r="D12" s="66">
        <v>42736</v>
      </c>
      <c r="E12" s="67">
        <v>2</v>
      </c>
      <c r="M12" s="1">
        <v>8</v>
      </c>
      <c r="N12" s="51" t="s">
        <v>75</v>
      </c>
      <c r="O12" s="38" t="e">
        <f>COUNTIF('MASTER FILE'!#REF!,"Driver")</f>
        <v>#REF!</v>
      </c>
      <c r="P12" s="48"/>
      <c r="Q12" s="58">
        <v>10</v>
      </c>
      <c r="R12" s="77" t="s">
        <v>42</v>
      </c>
      <c r="S12" s="75" t="e">
        <f>COUNTIF('MASTER FILE'!#REF!,"19000-34500")</f>
        <v>#REF!</v>
      </c>
      <c r="U12" s="34" t="s">
        <v>15</v>
      </c>
      <c r="V12" s="13" t="s">
        <v>35</v>
      </c>
      <c r="W12" s="13">
        <v>300</v>
      </c>
      <c r="X12" s="13">
        <v>0</v>
      </c>
      <c r="AA12" s="2"/>
      <c r="AB12" s="4"/>
    </row>
    <row r="13" spans="1:28" ht="15.75">
      <c r="D13" s="66">
        <v>42767</v>
      </c>
      <c r="E13" s="67">
        <v>1</v>
      </c>
      <c r="M13" s="1">
        <v>9</v>
      </c>
      <c r="N13" s="51" t="s">
        <v>36</v>
      </c>
      <c r="O13" s="38" t="e">
        <f>COUNTIF('MASTER FILE'!#REF!,"Daffedar")</f>
        <v>#REF!</v>
      </c>
      <c r="P13" s="48"/>
      <c r="Q13" s="58">
        <v>11</v>
      </c>
      <c r="R13" s="77" t="s">
        <v>31</v>
      </c>
      <c r="S13" s="75" t="e">
        <f>COUNTIF('MASTER FILE'!#REF!,"20000-36300")</f>
        <v>#REF!</v>
      </c>
      <c r="U13" s="34" t="s">
        <v>6</v>
      </c>
      <c r="V13" s="13" t="s">
        <v>33</v>
      </c>
      <c r="W13" s="13">
        <v>0</v>
      </c>
      <c r="X13" s="13">
        <v>0</v>
      </c>
      <c r="AA13" s="2"/>
      <c r="AB13" s="4"/>
    </row>
    <row r="14" spans="1:28" ht="15.75">
      <c r="D14" s="67" t="s">
        <v>16</v>
      </c>
      <c r="E14" s="67">
        <v>0</v>
      </c>
      <c r="M14" s="1">
        <v>10</v>
      </c>
      <c r="N14" s="51" t="s">
        <v>9</v>
      </c>
      <c r="O14" s="38" t="e">
        <f>COUNTIF('MASTER FILE'!#REF!,"Attender")</f>
        <v>#REF!</v>
      </c>
      <c r="P14" s="48"/>
      <c r="Q14" s="58">
        <v>12</v>
      </c>
      <c r="R14" s="77" t="s">
        <v>43</v>
      </c>
      <c r="S14" s="75" t="e">
        <f>COUNTIF('MASTER FILE'!#REF!,"21600-40050")</f>
        <v>#REF!</v>
      </c>
      <c r="U14" s="34" t="s">
        <v>76</v>
      </c>
      <c r="V14" s="13" t="s">
        <v>32</v>
      </c>
      <c r="W14" s="13">
        <v>300</v>
      </c>
      <c r="X14" s="13">
        <v>135</v>
      </c>
      <c r="AA14" s="2"/>
      <c r="AB14" s="4"/>
    </row>
    <row r="15" spans="1:28" ht="15.75">
      <c r="M15" s="1">
        <v>11</v>
      </c>
      <c r="N15" s="51" t="s">
        <v>13</v>
      </c>
      <c r="O15" s="38" t="e">
        <f>COUNTIF('MASTER FILE'!#REF!,"Peon")</f>
        <v>#REF!</v>
      </c>
      <c r="P15" s="48"/>
      <c r="Q15" s="58">
        <v>13</v>
      </c>
      <c r="R15" s="77" t="s">
        <v>44</v>
      </c>
      <c r="S15" s="75" t="e">
        <f>COUNTIF('MASTER FILE'!#REF!,"22800-43200")</f>
        <v>#REF!</v>
      </c>
      <c r="U15" s="34" t="s">
        <v>7</v>
      </c>
      <c r="V15" s="13" t="s">
        <v>32</v>
      </c>
      <c r="W15" s="13">
        <v>0</v>
      </c>
      <c r="X15" s="13">
        <v>135</v>
      </c>
      <c r="AA15" s="2"/>
      <c r="AB15" s="4"/>
    </row>
    <row r="16" spans="1:28" ht="15.75">
      <c r="A16" s="12">
        <v>0</v>
      </c>
      <c r="B16" s="12">
        <v>0</v>
      </c>
      <c r="M16" s="1">
        <v>12</v>
      </c>
      <c r="N16" s="51" t="s">
        <v>77</v>
      </c>
      <c r="O16" s="38" t="e">
        <f>COUNTIF('MASTER FILE'!#REF!,"FDA (A/cs)")</f>
        <v>#REF!</v>
      </c>
      <c r="P16" s="48"/>
      <c r="Q16" s="58">
        <v>14</v>
      </c>
      <c r="R16" s="77" t="s">
        <v>52</v>
      </c>
      <c r="S16" s="75"/>
      <c r="U16" s="77" t="s">
        <v>74</v>
      </c>
      <c r="V16" s="13" t="s">
        <v>32</v>
      </c>
      <c r="W16" s="13">
        <v>0</v>
      </c>
      <c r="X16" s="13">
        <v>165</v>
      </c>
      <c r="AA16" s="2"/>
      <c r="AB16" s="4"/>
    </row>
    <row r="17" spans="1:28" ht="15.75">
      <c r="A17" s="12">
        <v>9600</v>
      </c>
      <c r="B17" s="12">
        <v>200</v>
      </c>
      <c r="M17" s="1">
        <v>13</v>
      </c>
      <c r="N17" s="51" t="s">
        <v>15</v>
      </c>
      <c r="O17" s="38" t="e">
        <f>COUNTIF('MASTER FILE'!#REF!,"Scavenger")</f>
        <v>#REF!</v>
      </c>
      <c r="P17" s="48"/>
      <c r="Q17" s="58">
        <v>15</v>
      </c>
      <c r="R17" s="77" t="s">
        <v>53</v>
      </c>
      <c r="S17" s="75"/>
      <c r="U17" s="34" t="s">
        <v>20</v>
      </c>
      <c r="V17" s="13" t="s">
        <v>31</v>
      </c>
      <c r="W17" s="13">
        <v>0</v>
      </c>
      <c r="X17" s="13">
        <v>0</v>
      </c>
      <c r="AA17" s="2"/>
      <c r="AB17" s="4"/>
    </row>
    <row r="18" spans="1:28" ht="15.75">
      <c r="A18" s="12">
        <f t="shared" ref="A18:A49" si="0">A17+B17</f>
        <v>9800</v>
      </c>
      <c r="B18" s="12">
        <v>200</v>
      </c>
      <c r="M18" s="1">
        <v>14</v>
      </c>
      <c r="N18" s="51" t="s">
        <v>78</v>
      </c>
      <c r="O18" s="38" t="e">
        <f>COUNTIF('MASTER FILE'!#REF!,"Suptd. (A/cs)")</f>
        <v>#REF!</v>
      </c>
      <c r="P18" s="48"/>
      <c r="Q18" s="58">
        <v>16</v>
      </c>
      <c r="R18" s="77" t="s">
        <v>54</v>
      </c>
      <c r="S18" s="76"/>
      <c r="U18" s="34" t="s">
        <v>80</v>
      </c>
      <c r="V18" s="13" t="s">
        <v>31</v>
      </c>
      <c r="W18" s="13">
        <v>0</v>
      </c>
      <c r="X18" s="13">
        <v>0</v>
      </c>
      <c r="AA18" s="2"/>
      <c r="AB18" s="4"/>
    </row>
    <row r="19" spans="1:28" ht="15.75">
      <c r="A19" s="12">
        <f t="shared" si="0"/>
        <v>10000</v>
      </c>
      <c r="B19" s="12">
        <v>200</v>
      </c>
      <c r="M19" s="1">
        <v>15</v>
      </c>
      <c r="N19" s="51" t="s">
        <v>14</v>
      </c>
      <c r="O19" s="38" t="e">
        <f>COUNTIF('MASTER FILE'!#REF!,"N.Watchman")</f>
        <v>#REF!</v>
      </c>
      <c r="P19" s="48"/>
      <c r="Q19" s="58">
        <v>17</v>
      </c>
      <c r="R19" s="77" t="s">
        <v>55</v>
      </c>
      <c r="S19" s="75"/>
      <c r="U19" s="34" t="s">
        <v>8</v>
      </c>
      <c r="V19" s="13" t="s">
        <v>33</v>
      </c>
      <c r="W19" s="13">
        <v>0</v>
      </c>
      <c r="X19" s="13">
        <v>135</v>
      </c>
    </row>
    <row r="20" spans="1:28" ht="15.75">
      <c r="A20" s="12">
        <f t="shared" si="0"/>
        <v>10200</v>
      </c>
      <c r="B20" s="12">
        <v>200</v>
      </c>
      <c r="N20" s="52"/>
      <c r="O20" s="38" t="e">
        <f>SUM(O5:O19)</f>
        <v>#REF!</v>
      </c>
      <c r="P20" s="48"/>
      <c r="Q20" s="58">
        <v>18</v>
      </c>
      <c r="R20" s="77" t="s">
        <v>56</v>
      </c>
      <c r="S20" s="75"/>
    </row>
    <row r="21" spans="1:28" ht="15.75">
      <c r="A21" s="12">
        <f t="shared" si="0"/>
        <v>10400</v>
      </c>
      <c r="B21" s="12">
        <v>200</v>
      </c>
      <c r="N21" s="35"/>
      <c r="O21" s="32"/>
      <c r="P21" s="48"/>
      <c r="Q21" s="58">
        <v>19</v>
      </c>
      <c r="R21" s="77" t="s">
        <v>57</v>
      </c>
      <c r="S21" s="75"/>
    </row>
    <row r="22" spans="1:28" ht="15.75">
      <c r="A22" s="12">
        <f t="shared" si="0"/>
        <v>10600</v>
      </c>
      <c r="B22" s="12">
        <v>200</v>
      </c>
      <c r="D22" s="56"/>
      <c r="E22" s="73"/>
      <c r="N22" s="35"/>
      <c r="O22" s="32"/>
      <c r="P22" s="48"/>
      <c r="Q22" s="58">
        <v>20</v>
      </c>
      <c r="R22" s="77" t="s">
        <v>58</v>
      </c>
      <c r="S22" s="75"/>
    </row>
    <row r="23" spans="1:28" ht="22.5">
      <c r="A23" s="12">
        <f t="shared" si="0"/>
        <v>10800</v>
      </c>
      <c r="B23" s="12">
        <v>200</v>
      </c>
      <c r="D23" s="65"/>
      <c r="E23" s="8"/>
      <c r="N23" s="35"/>
      <c r="O23" s="32"/>
      <c r="P23" s="48"/>
      <c r="Q23" s="58">
        <v>21</v>
      </c>
      <c r="R23" s="77" t="s">
        <v>59</v>
      </c>
      <c r="S23" s="75"/>
      <c r="U23" s="80" t="s">
        <v>84</v>
      </c>
      <c r="V23" s="80" t="s">
        <v>85</v>
      </c>
    </row>
    <row r="24" spans="1:28" ht="15.75">
      <c r="A24" s="12">
        <f t="shared" si="0"/>
        <v>11000</v>
      </c>
      <c r="B24" s="12">
        <v>200</v>
      </c>
      <c r="D24" s="65"/>
      <c r="E24" s="8"/>
      <c r="N24" s="35"/>
      <c r="O24" s="32"/>
      <c r="P24" s="48"/>
      <c r="Q24" s="58">
        <v>22</v>
      </c>
      <c r="R24" s="77" t="s">
        <v>60</v>
      </c>
      <c r="S24" s="75"/>
      <c r="U24" s="83">
        <v>60</v>
      </c>
      <c r="V24" s="81">
        <v>19.28</v>
      </c>
    </row>
    <row r="25" spans="1:28" ht="20.25">
      <c r="A25" s="12">
        <f t="shared" si="0"/>
        <v>11200</v>
      </c>
      <c r="B25" s="12">
        <v>200</v>
      </c>
      <c r="D25" s="65"/>
      <c r="E25" s="8"/>
      <c r="F25" s="11"/>
      <c r="G25" s="18"/>
      <c r="H25" s="26"/>
      <c r="I25" s="26"/>
      <c r="J25" s="18"/>
      <c r="K25" s="27"/>
      <c r="L25" s="28"/>
      <c r="M25" s="18"/>
      <c r="N25" s="35"/>
      <c r="O25" s="32"/>
      <c r="P25" s="48"/>
      <c r="Q25" s="58">
        <v>23</v>
      </c>
      <c r="R25" s="77" t="s">
        <v>61</v>
      </c>
      <c r="S25" s="75"/>
      <c r="T25" s="11"/>
      <c r="U25" s="81">
        <v>17</v>
      </c>
      <c r="V25" s="82">
        <v>19.2</v>
      </c>
      <c r="W25" s="11"/>
      <c r="X25" s="11"/>
      <c r="Y25" s="11"/>
      <c r="Z25" s="11"/>
      <c r="AA25" s="11"/>
      <c r="AB25" s="11"/>
    </row>
    <row r="26" spans="1:28" ht="15.75">
      <c r="A26" s="12">
        <f t="shared" si="0"/>
        <v>11400</v>
      </c>
      <c r="B26" s="12">
        <v>200</v>
      </c>
      <c r="D26" s="65"/>
      <c r="E26" s="8"/>
      <c r="F26" s="11"/>
      <c r="G26" s="18"/>
      <c r="H26" s="26"/>
      <c r="I26" s="26"/>
      <c r="J26" s="18"/>
      <c r="K26" s="18"/>
      <c r="L26" s="18"/>
      <c r="M26" s="18"/>
      <c r="N26" s="35"/>
      <c r="O26" s="32"/>
      <c r="P26" s="48"/>
      <c r="Q26" s="58">
        <v>24</v>
      </c>
      <c r="R26" s="77" t="s">
        <v>62</v>
      </c>
      <c r="S26" s="75"/>
      <c r="T26" s="11"/>
      <c r="U26" s="81">
        <v>18</v>
      </c>
      <c r="V26" s="82">
        <v>19.11</v>
      </c>
      <c r="W26" s="11"/>
      <c r="X26" s="11"/>
      <c r="Y26" s="11"/>
      <c r="Z26" s="11"/>
      <c r="AA26" s="11"/>
      <c r="AB26" s="11"/>
    </row>
    <row r="27" spans="1:28" ht="15.75">
      <c r="A27" s="12">
        <f t="shared" si="0"/>
        <v>11600</v>
      </c>
      <c r="B27" s="12">
        <v>200</v>
      </c>
      <c r="D27" s="65"/>
      <c r="E27" s="8"/>
      <c r="H27" s="26"/>
      <c r="I27" s="26"/>
      <c r="J27" s="9"/>
      <c r="K27" s="9"/>
      <c r="L27" s="9"/>
      <c r="M27" s="9"/>
      <c r="N27" s="35"/>
      <c r="O27" s="32"/>
      <c r="P27" s="48"/>
      <c r="Q27" s="58">
        <v>25</v>
      </c>
      <c r="R27" s="77" t="s">
        <v>63</v>
      </c>
      <c r="S27" s="75"/>
      <c r="U27" s="81">
        <v>19</v>
      </c>
      <c r="V27" s="82">
        <v>19.010000000000002</v>
      </c>
    </row>
    <row r="28" spans="1:28" ht="15.75">
      <c r="A28" s="12">
        <f t="shared" si="0"/>
        <v>11800</v>
      </c>
      <c r="B28" s="12">
        <v>200</v>
      </c>
      <c r="D28" s="65"/>
      <c r="E28" s="8"/>
      <c r="H28" s="359"/>
      <c r="I28" s="359"/>
      <c r="J28" s="9"/>
      <c r="K28" s="9"/>
      <c r="L28" s="29"/>
      <c r="M28" s="7"/>
      <c r="N28" s="35"/>
      <c r="O28" s="50"/>
      <c r="P28" s="48"/>
      <c r="Q28" s="58">
        <v>26</v>
      </c>
      <c r="R28" s="78" t="s">
        <v>49</v>
      </c>
      <c r="S28" s="75"/>
      <c r="U28" s="81">
        <v>20</v>
      </c>
      <c r="V28" s="82">
        <v>18.91</v>
      </c>
    </row>
    <row r="29" spans="1:28" ht="15.75">
      <c r="A29" s="12">
        <f t="shared" si="0"/>
        <v>12000</v>
      </c>
      <c r="B29" s="12">
        <v>250</v>
      </c>
      <c r="D29" s="65"/>
      <c r="E29" s="8"/>
      <c r="H29" s="26"/>
      <c r="I29" s="26"/>
      <c r="J29" s="9"/>
      <c r="K29" s="9"/>
      <c r="L29" s="29"/>
      <c r="M29" s="7"/>
      <c r="N29" s="9"/>
      <c r="O29" s="9"/>
      <c r="P29" s="9"/>
      <c r="Q29" s="58">
        <v>27</v>
      </c>
      <c r="R29" s="78" t="s">
        <v>50</v>
      </c>
      <c r="S29" s="75"/>
      <c r="U29" s="81">
        <v>21</v>
      </c>
      <c r="V29" s="82">
        <v>18.809999999999999</v>
      </c>
    </row>
    <row r="30" spans="1:28" ht="15.75">
      <c r="A30" s="12">
        <f t="shared" si="0"/>
        <v>12250</v>
      </c>
      <c r="B30" s="12">
        <v>250</v>
      </c>
      <c r="D30" s="65"/>
      <c r="E30" s="8"/>
      <c r="H30" s="26"/>
      <c r="J30" s="9"/>
      <c r="K30" s="9"/>
      <c r="L30" s="29"/>
      <c r="M30" s="7"/>
      <c r="N30" s="9"/>
      <c r="O30" s="9"/>
      <c r="P30" s="9"/>
      <c r="Q30" s="58">
        <v>28</v>
      </c>
      <c r="R30" s="78" t="s">
        <v>51</v>
      </c>
      <c r="S30" s="75"/>
      <c r="U30" s="81">
        <v>22</v>
      </c>
      <c r="V30" s="82">
        <v>18.7</v>
      </c>
    </row>
    <row r="31" spans="1:28" ht="15.75">
      <c r="A31" s="12">
        <f t="shared" si="0"/>
        <v>12500</v>
      </c>
      <c r="B31" s="12">
        <v>250</v>
      </c>
      <c r="D31" s="65"/>
      <c r="E31" s="8"/>
      <c r="H31" s="26"/>
      <c r="J31" s="9"/>
      <c r="K31" s="9"/>
      <c r="L31" s="29"/>
      <c r="M31" s="7"/>
      <c r="N31" s="9"/>
      <c r="O31" s="9"/>
      <c r="P31" s="9"/>
      <c r="Q31" s="12"/>
      <c r="R31" s="12"/>
      <c r="S31" s="75" t="e">
        <f>SUM(S3:S30)</f>
        <v>#REF!</v>
      </c>
      <c r="U31" s="81">
        <v>23</v>
      </c>
      <c r="V31" s="82">
        <v>18.5</v>
      </c>
    </row>
    <row r="32" spans="1:28">
      <c r="A32" s="12">
        <f t="shared" si="0"/>
        <v>12750</v>
      </c>
      <c r="B32" s="12">
        <v>250</v>
      </c>
      <c r="D32" s="65"/>
      <c r="E32" s="8"/>
      <c r="H32" s="26"/>
      <c r="I32" s="26"/>
      <c r="J32" s="9"/>
      <c r="K32" s="9"/>
      <c r="L32" s="29"/>
      <c r="M32" s="7"/>
      <c r="N32" s="9"/>
      <c r="O32" s="9"/>
      <c r="P32" s="9"/>
      <c r="Q32" s="9"/>
      <c r="R32" s="9"/>
      <c r="U32" s="81">
        <v>24</v>
      </c>
      <c r="V32" s="82">
        <v>18.47</v>
      </c>
    </row>
    <row r="33" spans="1:38">
      <c r="A33" s="12">
        <f t="shared" si="0"/>
        <v>13000</v>
      </c>
      <c r="B33" s="12">
        <v>300</v>
      </c>
      <c r="D33" s="65"/>
      <c r="E33" s="8"/>
      <c r="H33" s="26"/>
      <c r="I33" s="26"/>
      <c r="J33" s="9"/>
      <c r="K33" s="9"/>
      <c r="L33" s="29"/>
      <c r="M33" s="7"/>
      <c r="N33" s="9"/>
      <c r="O33" s="9"/>
      <c r="P33" s="9"/>
      <c r="Q33" s="9"/>
      <c r="R33" s="9"/>
      <c r="U33" s="81">
        <v>25</v>
      </c>
      <c r="V33" s="82">
        <v>18.34</v>
      </c>
    </row>
    <row r="34" spans="1:38">
      <c r="A34" s="12">
        <f t="shared" si="0"/>
        <v>13300</v>
      </c>
      <c r="B34" s="12">
        <v>300</v>
      </c>
      <c r="C34" s="14"/>
      <c r="D34" s="65"/>
      <c r="E34" s="8"/>
      <c r="H34" s="20"/>
      <c r="I34" s="20"/>
      <c r="J34" s="9"/>
      <c r="K34" s="9"/>
      <c r="L34" s="29"/>
      <c r="M34" s="7"/>
      <c r="N34" s="9"/>
      <c r="O34" s="9"/>
      <c r="P34" s="9"/>
      <c r="Q34" s="9"/>
      <c r="R34" s="9"/>
      <c r="U34" s="81">
        <v>26</v>
      </c>
      <c r="V34" s="82">
        <v>18.21</v>
      </c>
    </row>
    <row r="35" spans="1:38">
      <c r="A35" s="12">
        <f t="shared" si="0"/>
        <v>13600</v>
      </c>
      <c r="B35" s="12">
        <v>300</v>
      </c>
      <c r="C35" s="11"/>
      <c r="D35" s="65"/>
      <c r="E35" s="8"/>
      <c r="H35" s="26"/>
      <c r="J35" s="9"/>
      <c r="K35" s="9"/>
      <c r="L35" s="29"/>
      <c r="N35" s="2"/>
      <c r="Q35" s="43"/>
      <c r="R35" s="39"/>
      <c r="S35" s="44"/>
      <c r="T35" s="3"/>
      <c r="U35" s="81">
        <v>27</v>
      </c>
      <c r="V35" s="82">
        <v>18.07</v>
      </c>
      <c r="X35" s="3"/>
      <c r="Y35" s="3"/>
      <c r="Z35" s="4"/>
      <c r="AA35" s="4"/>
      <c r="AB35" s="4"/>
    </row>
    <row r="36" spans="1:38">
      <c r="A36" s="12">
        <f t="shared" si="0"/>
        <v>13900</v>
      </c>
      <c r="B36" s="12">
        <v>300</v>
      </c>
      <c r="D36" s="65"/>
      <c r="E36" s="8"/>
      <c r="H36" s="26"/>
      <c r="J36" s="9"/>
      <c r="K36" s="9"/>
      <c r="L36" s="29"/>
      <c r="Q36" s="45"/>
      <c r="R36" s="45"/>
      <c r="S36" s="45"/>
      <c r="T36" s="16"/>
      <c r="U36" s="81">
        <v>28</v>
      </c>
      <c r="V36" s="82">
        <v>17.93</v>
      </c>
      <c r="X36" s="3"/>
      <c r="Y36" s="3"/>
      <c r="Z36" s="4"/>
      <c r="AA36" s="4"/>
      <c r="AB36" s="4"/>
    </row>
    <row r="37" spans="1:38">
      <c r="A37" s="12">
        <f t="shared" si="0"/>
        <v>14200</v>
      </c>
      <c r="B37" s="12">
        <v>350</v>
      </c>
      <c r="D37" s="65"/>
      <c r="E37" s="8"/>
      <c r="H37" s="26"/>
      <c r="I37" s="26"/>
      <c r="J37" s="9"/>
      <c r="K37" s="9"/>
      <c r="L37" s="29"/>
      <c r="Q37" s="45"/>
      <c r="R37" s="46"/>
      <c r="S37" s="47"/>
      <c r="T37" s="6"/>
      <c r="U37" s="81">
        <v>29</v>
      </c>
      <c r="V37" s="82">
        <v>17.78</v>
      </c>
      <c r="X37" s="3"/>
      <c r="Y37" s="3"/>
      <c r="Z37" s="4"/>
      <c r="AA37" s="4"/>
      <c r="AB37" s="4"/>
      <c r="AC37" s="11"/>
      <c r="AD37" s="11"/>
      <c r="AE37" s="11"/>
      <c r="AF37" s="11"/>
      <c r="AG37" s="11"/>
      <c r="AH37" s="11"/>
      <c r="AI37" s="11"/>
      <c r="AJ37" s="11"/>
      <c r="AK37" s="11"/>
      <c r="AL37" s="11"/>
    </row>
    <row r="38" spans="1:38">
      <c r="A38" s="12">
        <f t="shared" si="0"/>
        <v>14550</v>
      </c>
      <c r="B38" s="12">
        <v>350</v>
      </c>
      <c r="D38" s="65"/>
      <c r="E38" s="8"/>
      <c r="H38" s="26"/>
      <c r="I38" s="26"/>
      <c r="J38" s="9"/>
      <c r="K38" s="9"/>
      <c r="L38" s="29"/>
      <c r="Q38" s="48"/>
      <c r="R38" s="39"/>
      <c r="S38" s="36"/>
      <c r="U38" s="81">
        <v>30</v>
      </c>
      <c r="V38" s="82">
        <v>17.62</v>
      </c>
      <c r="X38" s="3"/>
      <c r="Y38" s="3"/>
      <c r="Z38" s="4"/>
      <c r="AA38" s="4"/>
      <c r="AB38" s="4"/>
      <c r="AC38" s="11"/>
      <c r="AD38" s="11"/>
      <c r="AE38" s="11"/>
      <c r="AF38" s="11"/>
      <c r="AG38" s="11"/>
      <c r="AH38" s="11"/>
      <c r="AI38" s="11"/>
      <c r="AJ38" s="11"/>
      <c r="AK38" s="11"/>
      <c r="AL38" s="11"/>
    </row>
    <row r="39" spans="1:38">
      <c r="A39" s="12">
        <f t="shared" si="0"/>
        <v>14900</v>
      </c>
      <c r="B39" s="12">
        <v>350</v>
      </c>
      <c r="D39" s="65"/>
      <c r="E39" s="8"/>
      <c r="H39" s="9"/>
      <c r="I39" s="9"/>
      <c r="J39" s="9"/>
      <c r="K39" s="9"/>
      <c r="L39" s="29"/>
      <c r="Q39" s="25"/>
      <c r="R39" s="31"/>
      <c r="S39" s="36"/>
      <c r="U39" s="81">
        <v>31</v>
      </c>
      <c r="V39" s="82">
        <v>17.46</v>
      </c>
      <c r="X39" s="3"/>
      <c r="AB39" s="4"/>
      <c r="AC39" s="11"/>
      <c r="AD39" s="11"/>
      <c r="AE39" s="11"/>
      <c r="AF39" s="11"/>
      <c r="AG39" s="11"/>
      <c r="AH39" s="11"/>
      <c r="AI39" s="11"/>
      <c r="AJ39" s="11"/>
      <c r="AK39" s="11"/>
      <c r="AL39" s="11"/>
    </row>
    <row r="40" spans="1:38">
      <c r="A40" s="12">
        <f t="shared" si="0"/>
        <v>15250</v>
      </c>
      <c r="B40" s="12">
        <v>350</v>
      </c>
      <c r="D40" s="65"/>
      <c r="E40" s="8"/>
      <c r="H40" s="9"/>
      <c r="I40" s="9"/>
      <c r="J40" s="9"/>
      <c r="K40" s="9"/>
      <c r="L40" s="9"/>
      <c r="Q40" s="25"/>
      <c r="R40" s="31"/>
      <c r="S40" s="36"/>
      <c r="U40" s="81">
        <v>32</v>
      </c>
      <c r="V40" s="82">
        <v>17.29</v>
      </c>
      <c r="X40" s="3"/>
      <c r="AB40" s="4"/>
    </row>
    <row r="41" spans="1:38">
      <c r="A41" s="12">
        <f t="shared" si="0"/>
        <v>15600</v>
      </c>
      <c r="B41" s="12">
        <v>400</v>
      </c>
      <c r="D41" s="56"/>
      <c r="E41" s="56"/>
      <c r="H41" s="9"/>
      <c r="I41" s="9"/>
      <c r="J41" s="9"/>
      <c r="K41" s="9"/>
      <c r="L41" s="9"/>
      <c r="Q41" s="25"/>
      <c r="R41" s="31"/>
      <c r="S41" s="36"/>
      <c r="U41" s="81">
        <v>33</v>
      </c>
      <c r="V41" s="82">
        <v>17.11</v>
      </c>
      <c r="X41" s="3"/>
      <c r="AB41" s="4"/>
    </row>
    <row r="42" spans="1:38">
      <c r="A42" s="12">
        <f t="shared" si="0"/>
        <v>16000</v>
      </c>
      <c r="B42" s="12">
        <v>400</v>
      </c>
      <c r="D42" s="56"/>
      <c r="E42" s="8"/>
      <c r="H42" s="9"/>
      <c r="I42" s="9"/>
      <c r="J42" s="9"/>
      <c r="K42" s="9"/>
      <c r="L42" s="9"/>
      <c r="Q42" s="25"/>
      <c r="R42" s="31"/>
      <c r="S42" s="36"/>
      <c r="U42" s="81">
        <v>34</v>
      </c>
      <c r="V42" s="82">
        <v>16.920000000000002</v>
      </c>
      <c r="X42" s="3"/>
      <c r="AB42" s="4"/>
    </row>
    <row r="43" spans="1:38">
      <c r="A43" s="12">
        <f t="shared" si="0"/>
        <v>16400</v>
      </c>
      <c r="B43" s="12">
        <v>400</v>
      </c>
      <c r="D43" s="56"/>
      <c r="E43" s="8"/>
      <c r="H43" s="9"/>
      <c r="I43" s="9"/>
      <c r="J43" s="9"/>
      <c r="K43" s="9"/>
      <c r="L43" s="9"/>
      <c r="Q43" s="25"/>
      <c r="R43" s="31"/>
      <c r="S43" s="36"/>
      <c r="U43" s="81">
        <v>35</v>
      </c>
      <c r="V43" s="82">
        <v>16.72</v>
      </c>
      <c r="X43" s="3"/>
      <c r="AB43" s="4"/>
    </row>
    <row r="44" spans="1:38">
      <c r="A44" s="12">
        <f t="shared" si="0"/>
        <v>16800</v>
      </c>
      <c r="B44" s="12">
        <v>400</v>
      </c>
      <c r="D44" s="56"/>
      <c r="E44" s="8"/>
      <c r="H44" s="26"/>
      <c r="I44" s="26"/>
      <c r="J44" s="26"/>
      <c r="K44" s="26"/>
      <c r="L44" s="26"/>
      <c r="Q44" s="25"/>
      <c r="R44" s="31"/>
      <c r="S44" s="36"/>
      <c r="U44" s="81">
        <v>36</v>
      </c>
      <c r="V44" s="82">
        <v>16.52</v>
      </c>
      <c r="X44" s="3"/>
      <c r="AB44" s="4"/>
    </row>
    <row r="45" spans="1:38">
      <c r="A45" s="12">
        <f t="shared" si="0"/>
        <v>17200</v>
      </c>
      <c r="B45" s="12">
        <v>450</v>
      </c>
      <c r="D45" s="56"/>
      <c r="E45" s="8"/>
      <c r="H45" s="20"/>
      <c r="I45" s="20"/>
      <c r="J45" s="18"/>
      <c r="K45" s="18"/>
      <c r="L45" s="18"/>
      <c r="Q45" s="25"/>
      <c r="R45" s="31"/>
      <c r="S45" s="36"/>
      <c r="U45" s="81">
        <v>37</v>
      </c>
      <c r="V45" s="82">
        <v>16.309999999999999</v>
      </c>
      <c r="X45" s="3"/>
      <c r="AB45" s="4"/>
    </row>
    <row r="46" spans="1:38">
      <c r="A46" s="12">
        <f t="shared" si="0"/>
        <v>17650</v>
      </c>
      <c r="B46" s="12">
        <v>450</v>
      </c>
      <c r="D46" s="56"/>
      <c r="E46" s="8"/>
      <c r="H46" s="20"/>
      <c r="I46" s="20"/>
      <c r="J46" s="9"/>
      <c r="K46" s="9"/>
      <c r="L46" s="9"/>
      <c r="Q46" s="25"/>
      <c r="R46" s="31"/>
      <c r="S46" s="36"/>
      <c r="U46" s="81">
        <v>38</v>
      </c>
      <c r="V46" s="82">
        <v>16.09</v>
      </c>
      <c r="X46" s="3"/>
      <c r="AB46" s="4"/>
    </row>
    <row r="47" spans="1:38">
      <c r="A47" s="12">
        <f t="shared" si="0"/>
        <v>18100</v>
      </c>
      <c r="B47" s="12">
        <v>450</v>
      </c>
      <c r="D47" s="56"/>
      <c r="E47" s="8"/>
      <c r="H47" s="20"/>
      <c r="I47" s="20"/>
      <c r="J47" s="9"/>
      <c r="K47" s="9"/>
      <c r="L47" s="9"/>
      <c r="Q47" s="25"/>
      <c r="R47" s="31"/>
      <c r="S47" s="36"/>
      <c r="U47" s="81">
        <v>39</v>
      </c>
      <c r="V47" s="82">
        <v>15.87</v>
      </c>
      <c r="X47" s="3"/>
      <c r="AB47" s="4"/>
    </row>
    <row r="48" spans="1:38">
      <c r="A48" s="12">
        <f t="shared" si="0"/>
        <v>18550</v>
      </c>
      <c r="B48" s="12">
        <v>450</v>
      </c>
      <c r="C48" s="11"/>
      <c r="D48" s="56"/>
      <c r="E48" s="56"/>
      <c r="H48" s="20"/>
      <c r="I48" s="20"/>
      <c r="J48" s="9"/>
      <c r="K48" s="9"/>
      <c r="L48" s="9"/>
      <c r="Q48" s="25"/>
      <c r="R48" s="31"/>
      <c r="S48" s="36"/>
      <c r="U48" s="81">
        <v>40</v>
      </c>
      <c r="V48" s="82">
        <v>15.64</v>
      </c>
      <c r="X48" s="3"/>
      <c r="AB48" s="4"/>
    </row>
    <row r="49" spans="1:38">
      <c r="A49" s="12">
        <f t="shared" si="0"/>
        <v>19000</v>
      </c>
      <c r="B49" s="12">
        <v>500</v>
      </c>
      <c r="D49" s="56"/>
      <c r="E49" s="56"/>
      <c r="H49" s="20"/>
      <c r="I49" s="20"/>
      <c r="J49" s="9"/>
      <c r="K49" s="9"/>
      <c r="L49" s="9"/>
      <c r="Q49" s="25"/>
      <c r="R49" s="31"/>
      <c r="S49" s="36"/>
      <c r="U49" s="81">
        <v>41</v>
      </c>
      <c r="V49" s="82">
        <v>15.4</v>
      </c>
      <c r="X49" s="3"/>
      <c r="AB49" s="4"/>
    </row>
    <row r="50" spans="1:38">
      <c r="A50" s="12">
        <f t="shared" ref="A50:A81" si="1">A49+B49</f>
        <v>19500</v>
      </c>
      <c r="B50" s="12">
        <v>500</v>
      </c>
      <c r="H50" s="20"/>
      <c r="I50" s="20"/>
      <c r="J50" s="9"/>
      <c r="K50" s="9"/>
      <c r="L50" s="9"/>
      <c r="Q50" s="25"/>
      <c r="R50" s="31"/>
      <c r="S50" s="36"/>
      <c r="U50" s="81">
        <v>42</v>
      </c>
      <c r="V50" s="82">
        <v>15.5</v>
      </c>
      <c r="X50" s="3"/>
      <c r="AB50" s="4"/>
    </row>
    <row r="51" spans="1:38">
      <c r="A51" s="12">
        <f t="shared" si="1"/>
        <v>20000</v>
      </c>
      <c r="B51" s="12">
        <v>500</v>
      </c>
      <c r="H51" s="20"/>
      <c r="I51" s="20"/>
      <c r="J51" s="9"/>
      <c r="K51" s="9"/>
      <c r="L51" s="9"/>
      <c r="Q51" s="25"/>
      <c r="R51" s="31"/>
      <c r="S51" s="36"/>
      <c r="U51" s="81">
        <v>43</v>
      </c>
      <c r="V51" s="82">
        <v>14.9</v>
      </c>
      <c r="X51" s="3"/>
      <c r="AB51" s="4"/>
    </row>
    <row r="52" spans="1:38">
      <c r="A52" s="12">
        <f t="shared" si="1"/>
        <v>20500</v>
      </c>
      <c r="B52" s="12">
        <v>500</v>
      </c>
      <c r="H52" s="20"/>
      <c r="I52" s="20"/>
      <c r="J52" s="9"/>
      <c r="K52" s="9"/>
      <c r="L52" s="9"/>
      <c r="Q52" s="25"/>
      <c r="R52" s="31"/>
      <c r="S52" s="36"/>
      <c r="U52" s="81">
        <v>44</v>
      </c>
      <c r="V52" s="82">
        <v>14.64</v>
      </c>
      <c r="X52" s="3"/>
      <c r="AB52" s="4"/>
    </row>
    <row r="53" spans="1:38">
      <c r="A53" s="12">
        <f t="shared" si="1"/>
        <v>21000</v>
      </c>
      <c r="B53" s="12">
        <v>600</v>
      </c>
      <c r="H53" s="20"/>
      <c r="I53" s="20"/>
      <c r="J53" s="9"/>
      <c r="K53" s="9"/>
      <c r="L53" s="9"/>
      <c r="Q53" s="25"/>
      <c r="R53" s="39"/>
      <c r="S53" s="36"/>
      <c r="U53" s="81">
        <v>45</v>
      </c>
      <c r="V53" s="82">
        <v>14.37</v>
      </c>
      <c r="X53" s="3"/>
      <c r="AB53" s="4"/>
    </row>
    <row r="54" spans="1:38">
      <c r="A54" s="12">
        <f t="shared" si="1"/>
        <v>21600</v>
      </c>
      <c r="B54" s="12">
        <v>600</v>
      </c>
      <c r="H54" s="20"/>
      <c r="I54" s="20"/>
      <c r="J54" s="9"/>
      <c r="K54" s="9"/>
      <c r="L54" s="9"/>
      <c r="Q54" s="25"/>
      <c r="R54" s="39"/>
      <c r="S54" s="36"/>
      <c r="U54" s="81">
        <v>46</v>
      </c>
      <c r="V54" s="82">
        <v>14.1</v>
      </c>
      <c r="X54" s="3"/>
      <c r="Y54" s="3"/>
      <c r="Z54" s="4"/>
      <c r="AA54" s="4"/>
      <c r="AB54" s="4"/>
    </row>
    <row r="55" spans="1:38">
      <c r="A55" s="12">
        <f t="shared" si="1"/>
        <v>22200</v>
      </c>
      <c r="B55" s="12">
        <v>600</v>
      </c>
      <c r="H55" s="20"/>
      <c r="I55" s="20"/>
      <c r="J55" s="9"/>
      <c r="K55" s="9"/>
      <c r="L55" s="9"/>
      <c r="Q55" s="25"/>
      <c r="R55" s="39"/>
      <c r="S55" s="36"/>
      <c r="U55" s="81">
        <v>47</v>
      </c>
      <c r="V55" s="82">
        <v>13.82</v>
      </c>
      <c r="X55" s="3"/>
      <c r="Y55" s="3"/>
      <c r="Z55" s="4"/>
      <c r="AA55" s="4"/>
      <c r="AB55" s="4"/>
    </row>
    <row r="56" spans="1:38">
      <c r="A56" s="12">
        <f t="shared" si="1"/>
        <v>22800</v>
      </c>
      <c r="B56" s="12">
        <v>600</v>
      </c>
      <c r="H56" s="20"/>
      <c r="I56" s="20"/>
      <c r="J56" s="9"/>
      <c r="K56" s="9"/>
      <c r="L56" s="9"/>
      <c r="Q56" s="25"/>
      <c r="R56" s="39"/>
      <c r="S56" s="36"/>
      <c r="U56" s="81">
        <v>48</v>
      </c>
      <c r="V56" s="82">
        <v>13.54</v>
      </c>
      <c r="X56" s="3"/>
      <c r="Y56" s="3"/>
      <c r="Z56" s="4"/>
      <c r="AA56" s="4"/>
      <c r="AB56" s="4"/>
    </row>
    <row r="57" spans="1:38">
      <c r="A57" s="12">
        <f t="shared" si="1"/>
        <v>23400</v>
      </c>
      <c r="B57" s="12">
        <v>600</v>
      </c>
      <c r="H57" s="20"/>
      <c r="I57" s="20"/>
      <c r="J57" s="9"/>
      <c r="K57" s="9"/>
      <c r="L57" s="9"/>
      <c r="Q57" s="25"/>
      <c r="R57" s="39"/>
      <c r="S57" s="36"/>
      <c r="U57" s="81">
        <v>49</v>
      </c>
      <c r="V57" s="82">
        <v>13.25</v>
      </c>
      <c r="X57" s="3"/>
      <c r="Y57" s="3"/>
      <c r="Z57" s="4"/>
      <c r="AA57" s="4"/>
      <c r="AB57" s="4"/>
      <c r="AC57" s="14"/>
      <c r="AD57" s="14"/>
      <c r="AE57" s="14"/>
      <c r="AF57" s="14"/>
      <c r="AG57" s="14"/>
      <c r="AH57" s="14"/>
      <c r="AI57" s="14"/>
      <c r="AJ57" s="14"/>
      <c r="AK57" s="14"/>
      <c r="AL57" s="14"/>
    </row>
    <row r="58" spans="1:38">
      <c r="A58" s="12">
        <f t="shared" si="1"/>
        <v>24000</v>
      </c>
      <c r="B58" s="12">
        <v>600</v>
      </c>
      <c r="H58" s="19"/>
      <c r="I58" s="19"/>
      <c r="J58" s="18"/>
      <c r="K58" s="18"/>
      <c r="L58" s="18"/>
      <c r="Q58" s="25"/>
      <c r="R58" s="39"/>
      <c r="S58" s="36"/>
      <c r="U58" s="81">
        <v>50</v>
      </c>
      <c r="V58" s="82">
        <v>12.95</v>
      </c>
      <c r="X58" s="3"/>
      <c r="Y58" s="3"/>
      <c r="Z58" s="4"/>
      <c r="AA58" s="4"/>
      <c r="AB58" s="4"/>
      <c r="AC58" s="11"/>
      <c r="AD58" s="11"/>
      <c r="AE58" s="11"/>
      <c r="AF58" s="11"/>
      <c r="AG58" s="11"/>
      <c r="AH58" s="11"/>
      <c r="AI58" s="11"/>
      <c r="AJ58" s="11"/>
      <c r="AK58" s="11"/>
      <c r="AL58" s="11"/>
    </row>
    <row r="59" spans="1:38">
      <c r="A59" s="12">
        <f t="shared" si="1"/>
        <v>24600</v>
      </c>
      <c r="B59" s="12">
        <v>700</v>
      </c>
      <c r="H59" s="19"/>
      <c r="I59" s="19"/>
      <c r="J59" s="9"/>
      <c r="K59" s="9"/>
      <c r="L59" s="9"/>
      <c r="Q59" s="25"/>
      <c r="R59" s="39"/>
      <c r="S59" s="36"/>
      <c r="U59" s="81">
        <v>51</v>
      </c>
      <c r="V59" s="82">
        <v>12.66</v>
      </c>
      <c r="X59" s="3"/>
      <c r="Y59" s="3"/>
      <c r="Z59" s="4"/>
      <c r="AA59" s="4"/>
      <c r="AB59" s="4"/>
    </row>
    <row r="60" spans="1:38">
      <c r="A60" s="12">
        <f t="shared" si="1"/>
        <v>25300</v>
      </c>
      <c r="B60" s="12">
        <v>700</v>
      </c>
      <c r="H60" s="19"/>
      <c r="I60" s="19"/>
      <c r="J60" s="9"/>
      <c r="K60" s="9"/>
      <c r="L60" s="9"/>
      <c r="Q60" s="25"/>
      <c r="R60" s="39"/>
      <c r="S60" s="36"/>
      <c r="U60" s="81">
        <v>52</v>
      </c>
      <c r="V60" s="82">
        <v>12.35</v>
      </c>
      <c r="X60" s="3"/>
      <c r="Y60" s="3"/>
      <c r="Z60" s="4"/>
      <c r="AA60" s="4"/>
      <c r="AB60" s="4"/>
    </row>
    <row r="61" spans="1:38">
      <c r="A61" s="12">
        <f t="shared" si="1"/>
        <v>26000</v>
      </c>
      <c r="B61" s="12">
        <v>700</v>
      </c>
      <c r="H61" s="19"/>
      <c r="I61" s="19"/>
      <c r="J61" s="9"/>
      <c r="K61" s="9"/>
      <c r="L61" s="9"/>
      <c r="Q61" s="25"/>
      <c r="R61" s="39"/>
      <c r="S61" s="36"/>
      <c r="U61" s="81">
        <v>53</v>
      </c>
      <c r="V61" s="82">
        <v>12.05</v>
      </c>
      <c r="X61" s="3"/>
      <c r="Y61" s="3"/>
      <c r="Z61" s="4"/>
      <c r="AA61" s="4"/>
      <c r="AB61" s="4"/>
    </row>
    <row r="62" spans="1:38">
      <c r="A62" s="12">
        <f t="shared" si="1"/>
        <v>26700</v>
      </c>
      <c r="B62" s="12">
        <v>700</v>
      </c>
      <c r="H62" s="19"/>
      <c r="I62" s="19"/>
      <c r="J62" s="9"/>
      <c r="K62" s="9"/>
      <c r="L62" s="9"/>
      <c r="Q62" s="25"/>
      <c r="R62" s="39"/>
      <c r="S62" s="36"/>
      <c r="U62" s="81">
        <v>54</v>
      </c>
      <c r="V62" s="82">
        <v>11.73</v>
      </c>
      <c r="X62" s="3"/>
      <c r="Y62" s="3"/>
      <c r="Z62" s="4"/>
      <c r="AA62" s="4"/>
      <c r="AB62" s="4"/>
    </row>
    <row r="63" spans="1:38">
      <c r="A63" s="12">
        <f t="shared" si="1"/>
        <v>27400</v>
      </c>
      <c r="B63" s="12">
        <v>700</v>
      </c>
      <c r="H63" s="19"/>
      <c r="I63" s="19"/>
      <c r="J63" s="9"/>
      <c r="K63" s="9"/>
      <c r="L63" s="9"/>
      <c r="Q63" s="25"/>
      <c r="R63" s="40"/>
      <c r="S63" s="49"/>
      <c r="U63" s="81">
        <v>55</v>
      </c>
      <c r="V63" s="82">
        <v>11.42</v>
      </c>
      <c r="X63" s="3"/>
      <c r="Y63" s="3"/>
      <c r="Z63" s="4"/>
      <c r="AA63" s="4"/>
      <c r="AB63" s="4"/>
    </row>
    <row r="64" spans="1:38">
      <c r="A64" s="12">
        <f t="shared" si="1"/>
        <v>28100</v>
      </c>
      <c r="B64" s="12">
        <v>700</v>
      </c>
      <c r="H64" s="19"/>
      <c r="I64" s="19"/>
      <c r="J64" s="9"/>
      <c r="K64" s="9"/>
      <c r="L64" s="9"/>
      <c r="N64" s="8"/>
      <c r="O64" s="9"/>
      <c r="P64" s="9"/>
      <c r="Q64" s="41"/>
      <c r="R64" s="39"/>
      <c r="S64" s="44"/>
      <c r="T64" s="3"/>
      <c r="U64" s="81">
        <v>56</v>
      </c>
      <c r="V64" s="82">
        <v>11.1</v>
      </c>
      <c r="X64" s="3"/>
      <c r="Y64" s="3"/>
      <c r="Z64" s="4"/>
      <c r="AA64" s="4"/>
      <c r="AB64" s="4"/>
    </row>
    <row r="65" spans="1:38" ht="15.75">
      <c r="A65" s="12">
        <f t="shared" si="1"/>
        <v>28800</v>
      </c>
      <c r="B65" s="12">
        <v>800</v>
      </c>
      <c r="H65" s="19"/>
      <c r="I65" s="19"/>
      <c r="J65" s="9"/>
      <c r="K65" s="9"/>
      <c r="L65" s="9"/>
      <c r="N65" s="30"/>
      <c r="O65" s="31"/>
      <c r="P65" s="31"/>
      <c r="Q65" s="32"/>
      <c r="R65" s="39"/>
      <c r="S65" s="44"/>
      <c r="T65" s="3"/>
      <c r="U65" s="81">
        <v>57</v>
      </c>
      <c r="V65" s="82">
        <v>10.78</v>
      </c>
      <c r="X65" s="3"/>
      <c r="Y65" s="3"/>
      <c r="Z65" s="4"/>
      <c r="AA65" s="4"/>
      <c r="AB65" s="4"/>
    </row>
    <row r="66" spans="1:38">
      <c r="A66" s="12">
        <f t="shared" si="1"/>
        <v>29600</v>
      </c>
      <c r="B66" s="12">
        <v>800</v>
      </c>
      <c r="H66" s="19"/>
      <c r="I66" s="19"/>
      <c r="J66" s="9"/>
      <c r="K66" s="9"/>
      <c r="L66" s="9"/>
      <c r="N66" s="8"/>
      <c r="O66" s="9"/>
      <c r="P66" s="9"/>
      <c r="Q66" s="42"/>
      <c r="R66" s="39"/>
      <c r="S66" s="44"/>
      <c r="T66" s="3"/>
      <c r="U66" s="81">
        <v>58</v>
      </c>
      <c r="V66" s="82">
        <v>10.46</v>
      </c>
      <c r="X66" s="3"/>
      <c r="Y66" s="23"/>
      <c r="Z66" s="4"/>
      <c r="AA66" s="4"/>
      <c r="AB66" s="4"/>
    </row>
    <row r="67" spans="1:38">
      <c r="A67" s="12">
        <f t="shared" si="1"/>
        <v>30400</v>
      </c>
      <c r="B67" s="12">
        <v>800</v>
      </c>
      <c r="H67" s="19"/>
      <c r="I67" s="19"/>
      <c r="J67" s="9"/>
      <c r="K67" s="9"/>
      <c r="L67" s="9"/>
      <c r="N67" s="2"/>
      <c r="Q67" s="43"/>
      <c r="R67" s="39"/>
      <c r="S67" s="44"/>
      <c r="T67" s="3"/>
      <c r="U67" s="81">
        <v>59</v>
      </c>
      <c r="V67" s="82">
        <v>10.130000000000001</v>
      </c>
      <c r="X67" s="3"/>
      <c r="Y67" s="3"/>
      <c r="Z67" s="4"/>
      <c r="AA67" s="4"/>
      <c r="AB67" s="4"/>
    </row>
    <row r="68" spans="1:38">
      <c r="A68" s="12">
        <f t="shared" si="1"/>
        <v>31200</v>
      </c>
      <c r="B68" s="12">
        <v>800</v>
      </c>
      <c r="H68" s="19"/>
      <c r="I68" s="19"/>
      <c r="J68" s="9"/>
      <c r="K68" s="9"/>
      <c r="L68" s="9"/>
      <c r="M68" s="9"/>
      <c r="N68" s="9"/>
      <c r="O68" s="9"/>
      <c r="P68" s="9"/>
      <c r="Q68" s="9"/>
      <c r="R68" s="9"/>
      <c r="U68" s="81">
        <v>60</v>
      </c>
      <c r="V68" s="82">
        <v>9.81</v>
      </c>
    </row>
    <row r="69" spans="1:38">
      <c r="A69" s="12">
        <f t="shared" si="1"/>
        <v>32000</v>
      </c>
      <c r="B69" s="12">
        <v>800</v>
      </c>
      <c r="H69" s="19"/>
      <c r="I69" s="19"/>
      <c r="J69" s="9"/>
      <c r="K69" s="9"/>
      <c r="L69" s="9"/>
      <c r="M69" s="9"/>
      <c r="N69" s="9"/>
      <c r="O69" s="9"/>
      <c r="P69" s="9"/>
      <c r="Q69" s="9"/>
      <c r="R69" s="9"/>
      <c r="U69" s="81">
        <v>61</v>
      </c>
      <c r="V69" s="82">
        <v>9.48</v>
      </c>
    </row>
    <row r="70" spans="1:38">
      <c r="A70" s="12">
        <f t="shared" si="1"/>
        <v>32800</v>
      </c>
      <c r="B70" s="12">
        <v>800</v>
      </c>
      <c r="H70" s="19"/>
      <c r="I70" s="19"/>
      <c r="J70" s="9"/>
      <c r="K70" s="9"/>
      <c r="L70" s="9"/>
      <c r="M70" s="9"/>
      <c r="N70" s="9"/>
      <c r="O70" s="9"/>
      <c r="P70" s="9"/>
      <c r="Q70" s="9"/>
      <c r="R70" s="9"/>
      <c r="U70" s="81">
        <v>62</v>
      </c>
      <c r="V70" s="82">
        <v>9.15</v>
      </c>
    </row>
    <row r="71" spans="1:38">
      <c r="A71" s="12">
        <f t="shared" si="1"/>
        <v>33600</v>
      </c>
      <c r="B71" s="12">
        <v>900</v>
      </c>
      <c r="H71" s="19"/>
      <c r="I71" s="19"/>
      <c r="J71" s="9"/>
      <c r="K71" s="9"/>
      <c r="L71" s="9"/>
      <c r="M71" s="9"/>
      <c r="N71" s="9"/>
      <c r="O71" s="9"/>
      <c r="P71" s="9"/>
      <c r="Q71" s="9"/>
      <c r="R71" s="9"/>
      <c r="U71" s="81">
        <v>63</v>
      </c>
      <c r="V71" s="82">
        <v>8.82</v>
      </c>
      <c r="AC71" s="11"/>
      <c r="AD71" s="11"/>
      <c r="AE71" s="11"/>
      <c r="AF71" s="11"/>
      <c r="AG71" s="11"/>
      <c r="AH71" s="11"/>
      <c r="AI71" s="11"/>
      <c r="AJ71" s="11"/>
      <c r="AK71" s="11"/>
      <c r="AL71" s="11"/>
    </row>
    <row r="72" spans="1:38">
      <c r="A72" s="12">
        <f t="shared" si="1"/>
        <v>34500</v>
      </c>
      <c r="B72" s="12">
        <v>900</v>
      </c>
      <c r="H72" s="19"/>
      <c r="I72" s="19"/>
      <c r="J72" s="9"/>
      <c r="K72" s="9"/>
      <c r="L72" s="9"/>
      <c r="M72" s="9"/>
      <c r="N72" s="9"/>
      <c r="O72" s="9"/>
      <c r="P72" s="9"/>
      <c r="Q72" s="9"/>
      <c r="R72" s="9"/>
      <c r="U72" s="81">
        <v>64</v>
      </c>
      <c r="V72" s="82">
        <v>8.5</v>
      </c>
    </row>
    <row r="73" spans="1:38">
      <c r="A73" s="12">
        <f t="shared" si="1"/>
        <v>35400</v>
      </c>
      <c r="B73" s="12">
        <v>900</v>
      </c>
      <c r="H73" s="19"/>
      <c r="I73" s="19"/>
      <c r="J73" s="9"/>
      <c r="K73" s="9"/>
      <c r="L73" s="9"/>
      <c r="M73" s="9"/>
      <c r="N73" s="9"/>
      <c r="O73" s="9"/>
      <c r="P73" s="9"/>
      <c r="Q73" s="9"/>
      <c r="R73" s="9"/>
      <c r="U73" s="81">
        <v>65</v>
      </c>
      <c r="V73" s="82">
        <v>8.17</v>
      </c>
    </row>
    <row r="74" spans="1:38">
      <c r="A74" s="12">
        <f t="shared" si="1"/>
        <v>36300</v>
      </c>
      <c r="B74" s="12">
        <v>900</v>
      </c>
      <c r="H74" s="19"/>
      <c r="I74" s="19"/>
      <c r="J74" s="9"/>
      <c r="K74" s="9"/>
      <c r="L74" s="9"/>
      <c r="M74" s="9"/>
      <c r="N74" s="9"/>
      <c r="O74" s="9"/>
      <c r="P74" s="9"/>
      <c r="Q74" s="9"/>
      <c r="R74" s="9"/>
      <c r="U74" s="81">
        <v>66</v>
      </c>
      <c r="V74" s="82">
        <v>7.85</v>
      </c>
    </row>
    <row r="75" spans="1:38">
      <c r="A75" s="12">
        <f t="shared" si="1"/>
        <v>37200</v>
      </c>
      <c r="B75" s="12">
        <v>900</v>
      </c>
      <c r="H75" s="19"/>
      <c r="I75" s="19"/>
      <c r="J75" s="9"/>
      <c r="K75" s="9"/>
      <c r="L75" s="9"/>
      <c r="M75" s="9"/>
      <c r="N75" s="9"/>
      <c r="O75" s="9"/>
      <c r="P75" s="9"/>
      <c r="Q75" s="9"/>
      <c r="R75" s="9"/>
      <c r="U75" s="81">
        <v>67</v>
      </c>
      <c r="V75" s="82">
        <v>7.53</v>
      </c>
    </row>
    <row r="76" spans="1:38">
      <c r="A76" s="12">
        <f t="shared" si="1"/>
        <v>38100</v>
      </c>
      <c r="B76" s="12">
        <v>900</v>
      </c>
      <c r="H76" s="19"/>
      <c r="I76" s="19"/>
      <c r="J76" s="9"/>
      <c r="K76" s="9"/>
      <c r="L76" s="9"/>
      <c r="M76" s="9"/>
      <c r="N76" s="9"/>
      <c r="O76" s="9"/>
      <c r="P76" s="9"/>
      <c r="Q76" s="9"/>
      <c r="R76" s="9"/>
      <c r="U76" s="81">
        <v>68</v>
      </c>
      <c r="V76" s="82">
        <v>7.22</v>
      </c>
    </row>
    <row r="77" spans="1:38">
      <c r="A77" s="12">
        <f t="shared" si="1"/>
        <v>39000</v>
      </c>
      <c r="B77" s="12">
        <v>1050</v>
      </c>
      <c r="H77" s="19"/>
      <c r="I77" s="19"/>
      <c r="J77" s="9"/>
      <c r="K77" s="9"/>
      <c r="L77" s="9"/>
      <c r="M77" s="9"/>
      <c r="N77" s="9"/>
      <c r="O77" s="9"/>
      <c r="P77" s="9"/>
      <c r="Q77" s="9"/>
      <c r="R77" s="9"/>
      <c r="U77" s="81">
        <v>69</v>
      </c>
      <c r="V77" s="82">
        <v>6.91</v>
      </c>
    </row>
    <row r="78" spans="1:38">
      <c r="A78" s="12">
        <f t="shared" si="1"/>
        <v>40050</v>
      </c>
      <c r="B78" s="12">
        <v>1050</v>
      </c>
      <c r="H78" s="19"/>
      <c r="I78" s="19"/>
      <c r="J78" s="9"/>
      <c r="K78" s="9"/>
      <c r="L78" s="9"/>
      <c r="M78" s="9"/>
      <c r="N78" s="9"/>
      <c r="O78" s="9"/>
      <c r="P78" s="9"/>
      <c r="Q78" s="9"/>
      <c r="R78" s="9"/>
      <c r="U78" s="81">
        <v>70</v>
      </c>
      <c r="V78" s="82">
        <v>6.6</v>
      </c>
    </row>
    <row r="79" spans="1:38">
      <c r="A79" s="12">
        <f t="shared" si="1"/>
        <v>41100</v>
      </c>
      <c r="B79" s="12">
        <v>1050</v>
      </c>
      <c r="H79" s="19"/>
      <c r="I79" s="19"/>
      <c r="J79" s="9"/>
      <c r="K79" s="9"/>
      <c r="L79" s="9"/>
      <c r="M79" s="9"/>
      <c r="N79" s="9"/>
      <c r="O79" s="9"/>
      <c r="P79" s="9"/>
      <c r="Q79" s="9"/>
      <c r="R79" s="9"/>
      <c r="U79" s="81">
        <v>71</v>
      </c>
      <c r="V79" s="82">
        <v>6.3</v>
      </c>
    </row>
    <row r="80" spans="1:38">
      <c r="A80" s="12">
        <f t="shared" si="1"/>
        <v>42150</v>
      </c>
      <c r="B80" s="12">
        <v>1050</v>
      </c>
      <c r="H80" s="19"/>
      <c r="I80" s="19"/>
      <c r="J80" s="9"/>
      <c r="K80" s="9"/>
      <c r="L80" s="9"/>
      <c r="M80" s="9"/>
      <c r="N80" s="9"/>
      <c r="O80" s="9"/>
      <c r="P80" s="9"/>
      <c r="Q80" s="9"/>
      <c r="R80" s="9"/>
      <c r="U80" s="81">
        <v>72</v>
      </c>
      <c r="V80" s="82">
        <v>6.01</v>
      </c>
    </row>
    <row r="81" spans="1:22">
      <c r="A81" s="12">
        <f t="shared" si="1"/>
        <v>43200</v>
      </c>
      <c r="B81" s="12">
        <v>1050</v>
      </c>
      <c r="H81" s="20"/>
      <c r="I81" s="20"/>
      <c r="J81" s="9"/>
      <c r="K81" s="9"/>
      <c r="L81" s="9"/>
      <c r="M81" s="9"/>
      <c r="N81" s="9"/>
      <c r="O81" s="9"/>
      <c r="P81" s="9"/>
      <c r="Q81" s="9"/>
      <c r="R81" s="9"/>
      <c r="U81" s="81">
        <v>73</v>
      </c>
      <c r="V81" s="82">
        <v>5.72</v>
      </c>
    </row>
    <row r="82" spans="1:22">
      <c r="A82" s="12">
        <f t="shared" ref="A82:A107" si="2">A81+B81</f>
        <v>44250</v>
      </c>
      <c r="B82" s="12">
        <v>1050</v>
      </c>
      <c r="H82" s="19"/>
      <c r="I82" s="19"/>
      <c r="J82" s="9"/>
      <c r="K82" s="9"/>
      <c r="L82" s="9"/>
      <c r="M82" s="9"/>
      <c r="N82" s="9"/>
      <c r="O82" s="9"/>
      <c r="P82" s="9"/>
      <c r="Q82" s="9"/>
      <c r="R82" s="9"/>
      <c r="U82" s="81">
        <v>74</v>
      </c>
      <c r="V82" s="82">
        <v>5.44</v>
      </c>
    </row>
    <row r="83" spans="1:22">
      <c r="A83" s="12">
        <f t="shared" si="2"/>
        <v>45300</v>
      </c>
      <c r="B83" s="12">
        <v>1200</v>
      </c>
      <c r="H83" s="20"/>
      <c r="I83" s="20"/>
      <c r="J83" s="9"/>
      <c r="K83" s="9"/>
      <c r="L83" s="9"/>
      <c r="M83" s="9"/>
      <c r="N83" s="9"/>
      <c r="O83" s="9"/>
      <c r="P83" s="9"/>
      <c r="Q83" s="9"/>
      <c r="R83" s="9"/>
      <c r="U83" s="81">
        <v>75</v>
      </c>
      <c r="V83" s="82">
        <v>5.17</v>
      </c>
    </row>
    <row r="84" spans="1:22">
      <c r="A84" s="12">
        <f t="shared" si="2"/>
        <v>46500</v>
      </c>
      <c r="B84" s="12">
        <v>1200</v>
      </c>
      <c r="H84" s="20"/>
      <c r="I84" s="20"/>
      <c r="J84" s="9"/>
      <c r="K84" s="9"/>
      <c r="L84" s="9"/>
      <c r="M84" s="9"/>
      <c r="N84" s="9"/>
      <c r="O84" s="9"/>
      <c r="P84" s="9"/>
      <c r="Q84" s="9"/>
      <c r="R84" s="9"/>
      <c r="U84" s="81">
        <v>76</v>
      </c>
      <c r="V84" s="82">
        <v>4.9000000000000004</v>
      </c>
    </row>
    <row r="85" spans="1:22">
      <c r="A85" s="12">
        <f t="shared" si="2"/>
        <v>47700</v>
      </c>
      <c r="B85" s="12">
        <v>1200</v>
      </c>
      <c r="H85" s="20"/>
      <c r="I85" s="20"/>
      <c r="J85" s="9"/>
      <c r="K85" s="9"/>
      <c r="L85" s="9"/>
      <c r="M85" s="9"/>
      <c r="N85" s="9"/>
      <c r="O85" s="9"/>
      <c r="P85" s="9"/>
      <c r="Q85" s="9"/>
      <c r="R85" s="9"/>
      <c r="U85" s="81">
        <v>77</v>
      </c>
      <c r="V85" s="82">
        <v>4.6500000000000004</v>
      </c>
    </row>
    <row r="86" spans="1:22">
      <c r="A86" s="12">
        <f t="shared" si="2"/>
        <v>48900</v>
      </c>
      <c r="B86" s="12">
        <v>1200</v>
      </c>
      <c r="H86" s="20"/>
      <c r="I86" s="20"/>
      <c r="J86" s="9"/>
      <c r="K86" s="9"/>
      <c r="L86" s="9"/>
      <c r="M86" s="9"/>
      <c r="N86" s="9"/>
      <c r="O86" s="9"/>
      <c r="P86" s="9"/>
      <c r="Q86" s="9"/>
      <c r="R86" s="9"/>
      <c r="U86" s="81">
        <v>78</v>
      </c>
      <c r="V86" s="82">
        <v>4.4000000000000004</v>
      </c>
    </row>
    <row r="87" spans="1:22">
      <c r="A87" s="12">
        <f t="shared" si="2"/>
        <v>50100</v>
      </c>
      <c r="B87" s="12">
        <v>1200</v>
      </c>
      <c r="H87" s="20"/>
      <c r="I87" s="20"/>
      <c r="J87" s="9"/>
      <c r="K87" s="9"/>
      <c r="L87" s="9"/>
      <c r="M87" s="9"/>
      <c r="N87" s="9"/>
      <c r="O87" s="9"/>
      <c r="P87" s="9"/>
      <c r="Q87" s="9"/>
      <c r="R87" s="9"/>
      <c r="U87" s="81">
        <v>79</v>
      </c>
      <c r="V87" s="82">
        <v>4.17</v>
      </c>
    </row>
    <row r="88" spans="1:22">
      <c r="A88" s="12">
        <f t="shared" si="2"/>
        <v>51300</v>
      </c>
      <c r="B88" s="12">
        <v>1200</v>
      </c>
      <c r="C88" s="14"/>
      <c r="H88" s="20"/>
      <c r="I88" s="20"/>
      <c r="J88" s="9"/>
      <c r="K88" s="9"/>
      <c r="L88" s="9"/>
      <c r="M88" s="9"/>
      <c r="N88" s="9"/>
      <c r="O88" s="9"/>
      <c r="P88" s="9"/>
      <c r="Q88" s="9"/>
      <c r="R88" s="9"/>
      <c r="U88" s="81">
        <v>80</v>
      </c>
      <c r="V88" s="82">
        <v>3.94</v>
      </c>
    </row>
    <row r="89" spans="1:22">
      <c r="A89" s="12">
        <f t="shared" si="2"/>
        <v>52500</v>
      </c>
      <c r="B89" s="12">
        <v>1350</v>
      </c>
      <c r="C89" s="9"/>
      <c r="H89" s="19"/>
      <c r="I89" s="19"/>
      <c r="J89" s="9"/>
      <c r="K89" s="9"/>
      <c r="L89" s="9"/>
      <c r="M89" s="9"/>
      <c r="N89" s="9"/>
      <c r="O89" s="9"/>
      <c r="P89" s="9"/>
      <c r="Q89" s="9"/>
      <c r="R89" s="9"/>
      <c r="U89" s="81">
        <v>81</v>
      </c>
      <c r="V89" s="82">
        <v>3.72</v>
      </c>
    </row>
    <row r="90" spans="1:22">
      <c r="A90" s="12">
        <f t="shared" si="2"/>
        <v>53850</v>
      </c>
      <c r="B90" s="12">
        <v>1350</v>
      </c>
      <c r="C90" s="10"/>
      <c r="H90" s="21"/>
      <c r="I90" s="21"/>
      <c r="J90" s="9"/>
      <c r="K90" s="9"/>
      <c r="L90" s="9"/>
      <c r="M90" s="9"/>
      <c r="N90" s="9"/>
      <c r="O90" s="9"/>
      <c r="P90" s="9"/>
      <c r="Q90" s="9"/>
      <c r="R90" s="9"/>
      <c r="U90" s="81">
        <v>82</v>
      </c>
      <c r="V90" s="82">
        <v>3.52</v>
      </c>
    </row>
    <row r="91" spans="1:22">
      <c r="A91" s="12">
        <f t="shared" si="2"/>
        <v>55200</v>
      </c>
      <c r="B91" s="12">
        <v>1350</v>
      </c>
      <c r="C91" s="10"/>
      <c r="H91" s="21"/>
      <c r="I91" s="21"/>
      <c r="J91" s="9"/>
      <c r="K91" s="9"/>
      <c r="L91" s="9"/>
      <c r="M91" s="9"/>
      <c r="N91" s="9"/>
      <c r="O91" s="9"/>
      <c r="P91" s="9"/>
      <c r="Q91" s="9"/>
      <c r="R91" s="9"/>
      <c r="U91" s="81">
        <v>83</v>
      </c>
      <c r="V91" s="82">
        <v>3.32</v>
      </c>
    </row>
    <row r="92" spans="1:22">
      <c r="A92" s="12">
        <f t="shared" si="2"/>
        <v>56550</v>
      </c>
      <c r="B92" s="12">
        <v>1350</v>
      </c>
      <c r="C92" s="10"/>
      <c r="H92" s="21"/>
      <c r="I92" s="21"/>
      <c r="J92" s="9"/>
      <c r="K92" s="9"/>
      <c r="L92" s="9"/>
      <c r="M92" s="9"/>
      <c r="N92" s="9"/>
      <c r="O92" s="9"/>
      <c r="P92" s="9"/>
      <c r="Q92" s="9"/>
      <c r="R92" s="9"/>
      <c r="U92" s="81">
        <v>84</v>
      </c>
      <c r="V92" s="82">
        <v>3.13</v>
      </c>
    </row>
    <row r="93" spans="1:22">
      <c r="A93" s="12">
        <f t="shared" si="2"/>
        <v>57900</v>
      </c>
      <c r="B93" s="12">
        <v>1350</v>
      </c>
      <c r="C93" s="10"/>
      <c r="H93" s="21"/>
      <c r="I93" s="21"/>
      <c r="J93" s="9"/>
      <c r="K93" s="9"/>
      <c r="L93" s="9"/>
      <c r="M93" s="9"/>
      <c r="N93" s="9"/>
      <c r="O93" s="9"/>
      <c r="P93" s="9"/>
      <c r="Q93" s="9"/>
      <c r="R93" s="9"/>
    </row>
    <row r="94" spans="1:22">
      <c r="A94" s="12">
        <f t="shared" si="2"/>
        <v>59250</v>
      </c>
      <c r="B94" s="12">
        <v>1350</v>
      </c>
      <c r="C94" s="10"/>
      <c r="H94" s="21"/>
      <c r="I94" s="21"/>
      <c r="J94" s="9"/>
      <c r="K94" s="9"/>
      <c r="L94" s="9"/>
      <c r="M94" s="9"/>
      <c r="N94" s="9"/>
      <c r="O94" s="9"/>
      <c r="P94" s="9"/>
      <c r="Q94" s="9"/>
      <c r="R94" s="9"/>
    </row>
    <row r="95" spans="1:22">
      <c r="A95" s="12">
        <f t="shared" si="2"/>
        <v>60600</v>
      </c>
      <c r="B95" s="12">
        <v>1500</v>
      </c>
      <c r="C95" s="10"/>
      <c r="H95" s="21"/>
      <c r="I95" s="21"/>
      <c r="J95" s="9"/>
      <c r="K95" s="9"/>
      <c r="L95" s="9"/>
      <c r="M95" s="9"/>
      <c r="N95" s="9"/>
      <c r="O95" s="9"/>
      <c r="P95" s="9"/>
      <c r="Q95" s="9"/>
      <c r="R95" s="9"/>
    </row>
    <row r="96" spans="1:22">
      <c r="A96" s="12">
        <f t="shared" si="2"/>
        <v>62100</v>
      </c>
      <c r="B96" s="12">
        <v>1500</v>
      </c>
      <c r="C96" s="10"/>
      <c r="H96" s="21"/>
      <c r="I96" s="21"/>
      <c r="J96" s="9"/>
      <c r="K96" s="9"/>
      <c r="L96" s="9"/>
      <c r="M96" s="9"/>
      <c r="N96" s="9"/>
      <c r="O96" s="9"/>
      <c r="P96" s="9"/>
      <c r="Q96" s="9"/>
      <c r="R96" s="9"/>
    </row>
    <row r="97" spans="1:38">
      <c r="A97" s="12">
        <f t="shared" si="2"/>
        <v>63600</v>
      </c>
      <c r="B97" s="12">
        <v>1500</v>
      </c>
      <c r="C97" s="10"/>
      <c r="H97" s="21"/>
      <c r="I97" s="21"/>
      <c r="J97" s="9"/>
      <c r="K97" s="9"/>
      <c r="L97" s="9"/>
      <c r="M97" s="9"/>
      <c r="N97" s="9"/>
      <c r="O97" s="9"/>
      <c r="P97" s="9"/>
      <c r="Q97" s="9"/>
      <c r="R97" s="9"/>
    </row>
    <row r="98" spans="1:38">
      <c r="A98" s="12">
        <f t="shared" si="2"/>
        <v>65100</v>
      </c>
      <c r="B98" s="12">
        <v>1500</v>
      </c>
      <c r="C98" s="10"/>
      <c r="H98" s="19"/>
      <c r="I98" s="19"/>
      <c r="J98" s="26"/>
      <c r="K98" s="26"/>
      <c r="L98" s="26"/>
      <c r="M98" s="26"/>
      <c r="N98" s="26"/>
      <c r="O98" s="26"/>
      <c r="P98" s="26"/>
      <c r="Q98" s="26"/>
      <c r="R98" s="26"/>
      <c r="S98" s="14"/>
      <c r="T98" s="14"/>
      <c r="U98" s="14"/>
      <c r="V98" s="14"/>
      <c r="W98" s="14"/>
      <c r="X98" s="14"/>
      <c r="Y98" s="14"/>
      <c r="Z98" s="14"/>
      <c r="AA98" s="14"/>
      <c r="AB98" s="14"/>
    </row>
    <row r="99" spans="1:38">
      <c r="A99" s="12">
        <f t="shared" si="2"/>
        <v>66600</v>
      </c>
      <c r="B99" s="12">
        <v>1500</v>
      </c>
      <c r="C99" s="10"/>
      <c r="H99" s="19"/>
      <c r="I99" s="19"/>
      <c r="J99" s="9"/>
      <c r="K99" s="9"/>
      <c r="L99" s="9"/>
      <c r="M99" s="9"/>
      <c r="N99" s="9"/>
      <c r="O99" s="9"/>
      <c r="P99" s="9"/>
      <c r="Q99" s="9"/>
      <c r="R99" s="9"/>
      <c r="S99" s="9"/>
      <c r="T99" s="9"/>
      <c r="U99" s="9"/>
      <c r="V99" s="9"/>
      <c r="W99" s="9"/>
      <c r="X99" s="9"/>
      <c r="Y99" s="9"/>
      <c r="Z99" s="9"/>
      <c r="AA99" s="9"/>
      <c r="AB99" s="9"/>
    </row>
    <row r="100" spans="1:38">
      <c r="A100" s="12">
        <f t="shared" si="2"/>
        <v>68100</v>
      </c>
      <c r="B100" s="12">
        <v>1500</v>
      </c>
      <c r="C100" s="11"/>
      <c r="H100" s="19"/>
      <c r="I100" s="19"/>
      <c r="J100" s="19"/>
      <c r="K100" s="19"/>
      <c r="L100" s="19"/>
      <c r="M100" s="19"/>
      <c r="N100" s="19"/>
      <c r="O100" s="19"/>
      <c r="P100" s="19"/>
      <c r="Q100" s="19"/>
      <c r="R100" s="19"/>
      <c r="S100" s="10"/>
      <c r="T100" s="10"/>
      <c r="U100" s="10"/>
      <c r="V100" s="10"/>
      <c r="W100" s="10"/>
      <c r="X100" s="10"/>
      <c r="Y100" s="10"/>
      <c r="Z100" s="10"/>
      <c r="AA100" s="10"/>
      <c r="AB100" s="10"/>
    </row>
    <row r="101" spans="1:38">
      <c r="A101" s="12">
        <f t="shared" si="2"/>
        <v>69600</v>
      </c>
      <c r="B101" s="12">
        <v>1700</v>
      </c>
      <c r="H101" s="19"/>
      <c r="I101" s="19"/>
      <c r="J101" s="19"/>
      <c r="K101" s="19"/>
      <c r="L101" s="19"/>
      <c r="M101" s="19"/>
      <c r="N101" s="19"/>
      <c r="O101" s="19"/>
      <c r="P101" s="19"/>
      <c r="Q101" s="19"/>
      <c r="R101" s="19"/>
      <c r="S101" s="10"/>
      <c r="T101" s="10"/>
      <c r="U101" s="10"/>
      <c r="V101" s="10"/>
      <c r="W101" s="10"/>
      <c r="X101" s="10"/>
      <c r="Y101" s="10"/>
      <c r="Z101" s="10"/>
      <c r="AA101" s="10"/>
      <c r="AB101" s="10"/>
    </row>
    <row r="102" spans="1:38">
      <c r="A102" s="12">
        <f t="shared" si="2"/>
        <v>71300</v>
      </c>
      <c r="B102" s="12">
        <v>1700</v>
      </c>
      <c r="H102" s="24"/>
      <c r="I102" s="24"/>
      <c r="J102" s="19"/>
      <c r="K102" s="19"/>
      <c r="L102" s="19"/>
      <c r="M102" s="19"/>
      <c r="N102" s="19"/>
      <c r="O102" s="19"/>
      <c r="P102" s="19"/>
      <c r="Q102" s="19"/>
      <c r="R102" s="19"/>
      <c r="S102" s="10"/>
      <c r="T102" s="10"/>
      <c r="U102" s="10"/>
      <c r="V102" s="10"/>
      <c r="W102" s="10"/>
      <c r="X102" s="10"/>
      <c r="Y102" s="10"/>
      <c r="Z102" s="10"/>
      <c r="AA102" s="10"/>
      <c r="AB102" s="10"/>
    </row>
    <row r="103" spans="1:38">
      <c r="A103" s="12">
        <f t="shared" si="2"/>
        <v>73000</v>
      </c>
      <c r="B103" s="12">
        <v>1700</v>
      </c>
      <c r="H103" s="19"/>
      <c r="I103" s="19"/>
      <c r="J103" s="19"/>
      <c r="K103" s="19"/>
      <c r="L103" s="19"/>
      <c r="M103" s="19"/>
      <c r="N103" s="19"/>
      <c r="O103" s="19"/>
      <c r="P103" s="19"/>
      <c r="Q103" s="19"/>
      <c r="R103" s="19"/>
      <c r="S103" s="10"/>
      <c r="T103" s="10"/>
      <c r="U103" s="10"/>
      <c r="V103" s="10"/>
      <c r="W103" s="10"/>
      <c r="X103" s="10"/>
      <c r="Y103" s="10"/>
      <c r="Z103" s="10"/>
      <c r="AA103" s="10"/>
      <c r="AB103" s="10"/>
    </row>
    <row r="104" spans="1:38">
      <c r="A104" s="12">
        <f t="shared" si="2"/>
        <v>74700</v>
      </c>
      <c r="B104" s="12">
        <v>1700</v>
      </c>
      <c r="H104" s="19"/>
      <c r="I104" s="19"/>
      <c r="J104" s="19"/>
      <c r="K104" s="19"/>
      <c r="L104" s="19"/>
      <c r="M104" s="19"/>
      <c r="N104" s="19"/>
      <c r="O104" s="19"/>
      <c r="P104" s="19"/>
      <c r="Q104" s="19"/>
      <c r="R104" s="19"/>
      <c r="S104" s="10"/>
      <c r="T104" s="10"/>
      <c r="U104" s="10"/>
      <c r="V104" s="10"/>
      <c r="W104" s="10"/>
      <c r="X104" s="10"/>
      <c r="Y104" s="10"/>
      <c r="Z104" s="10"/>
      <c r="AA104" s="10"/>
      <c r="AB104" s="10"/>
    </row>
    <row r="105" spans="1:38">
      <c r="A105" s="12">
        <f t="shared" si="2"/>
        <v>76400</v>
      </c>
      <c r="B105" s="12">
        <v>1700</v>
      </c>
      <c r="H105" s="19"/>
      <c r="I105" s="19"/>
      <c r="J105" s="19"/>
      <c r="K105" s="19"/>
      <c r="L105" s="19"/>
      <c r="M105" s="19"/>
      <c r="N105" s="19"/>
      <c r="O105" s="19"/>
      <c r="P105" s="19"/>
      <c r="Q105" s="19"/>
      <c r="R105" s="19"/>
      <c r="S105" s="10"/>
      <c r="T105" s="10"/>
      <c r="U105" s="10"/>
      <c r="V105" s="10"/>
      <c r="W105" s="10"/>
      <c r="X105" s="10"/>
      <c r="Y105" s="10"/>
      <c r="Z105" s="10"/>
      <c r="AA105" s="10"/>
      <c r="AB105" s="10"/>
    </row>
    <row r="106" spans="1:38">
      <c r="A106" s="12">
        <f t="shared" si="2"/>
        <v>78100</v>
      </c>
      <c r="B106" s="12">
        <v>1700</v>
      </c>
      <c r="H106" s="19"/>
      <c r="I106" s="19"/>
      <c r="J106" s="19"/>
      <c r="K106" s="19"/>
      <c r="L106" s="19"/>
      <c r="M106" s="19"/>
      <c r="N106" s="19"/>
      <c r="O106" s="19"/>
      <c r="P106" s="19"/>
      <c r="Q106" s="19"/>
      <c r="R106" s="19"/>
      <c r="S106" s="10"/>
      <c r="T106" s="10"/>
      <c r="U106" s="10"/>
      <c r="V106" s="10"/>
      <c r="W106" s="10"/>
      <c r="X106" s="10"/>
      <c r="Y106" s="10"/>
      <c r="Z106" s="10"/>
      <c r="AA106" s="10"/>
      <c r="AB106" s="10"/>
    </row>
    <row r="107" spans="1:38">
      <c r="A107" s="12">
        <f t="shared" si="2"/>
        <v>79800</v>
      </c>
      <c r="B107" s="12">
        <v>0</v>
      </c>
      <c r="H107" s="10"/>
      <c r="I107" s="10"/>
      <c r="J107" s="10"/>
      <c r="K107" s="10"/>
      <c r="L107" s="10"/>
      <c r="M107" s="10"/>
      <c r="N107" s="10"/>
      <c r="O107" s="10"/>
      <c r="P107" s="10"/>
      <c r="Q107" s="10"/>
      <c r="R107" s="10"/>
      <c r="S107" s="10"/>
      <c r="T107" s="10"/>
      <c r="U107" s="10"/>
      <c r="V107" s="10"/>
      <c r="W107" s="10"/>
      <c r="X107" s="10"/>
      <c r="Y107" s="10"/>
      <c r="Z107" s="10"/>
      <c r="AA107" s="10"/>
      <c r="AB107" s="10"/>
    </row>
    <row r="108" spans="1:38">
      <c r="H108" s="10"/>
      <c r="I108" s="10"/>
      <c r="J108" s="10"/>
      <c r="K108" s="10"/>
      <c r="L108" s="10"/>
      <c r="M108" s="10"/>
      <c r="N108" s="10"/>
      <c r="O108" s="10"/>
      <c r="P108" s="10"/>
      <c r="Q108" s="10"/>
      <c r="R108" s="10"/>
      <c r="S108" s="10"/>
      <c r="T108" s="10"/>
      <c r="U108" s="10"/>
      <c r="V108" s="10"/>
      <c r="W108" s="10"/>
      <c r="X108" s="10"/>
      <c r="Y108" s="10"/>
      <c r="Z108" s="10"/>
      <c r="AA108" s="10"/>
      <c r="AB108" s="10"/>
    </row>
    <row r="109" spans="1:38">
      <c r="H109" s="10"/>
      <c r="I109" s="10"/>
      <c r="J109" s="10"/>
      <c r="K109" s="10"/>
      <c r="L109" s="10"/>
      <c r="M109" s="10"/>
      <c r="N109" s="10"/>
      <c r="O109" s="10"/>
      <c r="P109" s="10"/>
      <c r="Q109" s="10"/>
      <c r="R109" s="10"/>
      <c r="S109" s="10"/>
      <c r="T109" s="10"/>
      <c r="U109" s="10"/>
      <c r="V109" s="10"/>
      <c r="W109" s="10"/>
      <c r="X109" s="10"/>
      <c r="Y109" s="10"/>
      <c r="Z109" s="10"/>
      <c r="AA109" s="10"/>
      <c r="AB109" s="10"/>
    </row>
    <row r="110" spans="1:38">
      <c r="H110" s="10"/>
      <c r="I110" s="10"/>
      <c r="J110" s="11"/>
      <c r="K110" s="11"/>
      <c r="L110" s="11"/>
      <c r="M110" s="11"/>
      <c r="N110" s="11"/>
      <c r="O110" s="11"/>
      <c r="P110" s="11"/>
      <c r="Q110" s="11"/>
      <c r="R110" s="11"/>
      <c r="S110" s="11"/>
      <c r="T110" s="11"/>
      <c r="U110" s="11"/>
      <c r="V110" s="11"/>
      <c r="W110" s="11"/>
      <c r="X110" s="11"/>
      <c r="Y110" s="11"/>
      <c r="Z110" s="11"/>
      <c r="AA110" s="11"/>
      <c r="AB110" s="11"/>
    </row>
    <row r="111" spans="1:38">
      <c r="A111" s="14"/>
      <c r="B111" s="14"/>
      <c r="H111" s="5"/>
      <c r="I111" s="5"/>
      <c r="AC111" s="14"/>
      <c r="AD111" s="14"/>
      <c r="AE111" s="14"/>
      <c r="AF111" s="14"/>
      <c r="AG111" s="14"/>
      <c r="AH111" s="14"/>
      <c r="AI111" s="14"/>
      <c r="AJ111" s="14"/>
      <c r="AK111" s="14"/>
      <c r="AL111" s="14"/>
    </row>
    <row r="112" spans="1:38">
      <c r="A112" s="9"/>
      <c r="B112" s="9"/>
      <c r="H112" s="5"/>
      <c r="I112" s="5"/>
      <c r="AC112" s="9"/>
      <c r="AD112" s="9"/>
      <c r="AE112" s="9"/>
      <c r="AF112" s="9"/>
      <c r="AG112" s="9"/>
      <c r="AH112" s="9"/>
      <c r="AI112" s="9"/>
      <c r="AJ112" s="9"/>
      <c r="AK112" s="9"/>
      <c r="AL112" s="9"/>
    </row>
    <row r="113" spans="1:38">
      <c r="A113" s="10"/>
      <c r="B113" s="10"/>
      <c r="H113" s="5"/>
      <c r="I113" s="5"/>
      <c r="AC113" s="10"/>
      <c r="AD113" s="10"/>
      <c r="AE113" s="10"/>
      <c r="AF113" s="10"/>
      <c r="AG113" s="10"/>
      <c r="AH113" s="10"/>
      <c r="AI113" s="10"/>
      <c r="AJ113" s="10"/>
      <c r="AK113" s="10"/>
      <c r="AL113" s="10"/>
    </row>
    <row r="114" spans="1:38">
      <c r="A114" s="10"/>
      <c r="B114" s="10"/>
      <c r="H114" s="5"/>
      <c r="I114" s="5"/>
      <c r="AC114" s="10"/>
      <c r="AD114" s="10"/>
      <c r="AE114" s="10"/>
      <c r="AF114" s="10"/>
      <c r="AG114" s="10"/>
      <c r="AH114" s="10"/>
      <c r="AI114" s="10"/>
      <c r="AJ114" s="10"/>
      <c r="AK114" s="10"/>
      <c r="AL114" s="10"/>
    </row>
    <row r="115" spans="1:38">
      <c r="A115" s="10"/>
      <c r="B115" s="10"/>
      <c r="H115" s="5"/>
      <c r="I115" s="5"/>
      <c r="AC115" s="10"/>
      <c r="AD115" s="10"/>
      <c r="AE115" s="10"/>
      <c r="AF115" s="10"/>
      <c r="AG115" s="10"/>
      <c r="AH115" s="10"/>
      <c r="AI115" s="10"/>
      <c r="AJ115" s="10"/>
      <c r="AK115" s="10"/>
      <c r="AL115" s="10"/>
    </row>
    <row r="116" spans="1:38">
      <c r="A116" s="10"/>
      <c r="B116" s="10"/>
      <c r="H116" s="5"/>
      <c r="I116" s="5"/>
      <c r="AC116" s="10"/>
      <c r="AD116" s="10"/>
      <c r="AE116" s="10"/>
      <c r="AF116" s="10"/>
      <c r="AG116" s="10"/>
      <c r="AH116" s="10"/>
      <c r="AI116" s="10"/>
      <c r="AJ116" s="10"/>
      <c r="AK116" s="10"/>
      <c r="AL116" s="10"/>
    </row>
    <row r="117" spans="1:38">
      <c r="A117" s="10"/>
      <c r="B117" s="10"/>
      <c r="H117" s="5"/>
      <c r="I117" s="5"/>
      <c r="AC117" s="10"/>
      <c r="AD117" s="10"/>
      <c r="AE117" s="10"/>
      <c r="AF117" s="10"/>
      <c r="AG117" s="10"/>
      <c r="AH117" s="10"/>
      <c r="AI117" s="10"/>
      <c r="AJ117" s="10"/>
      <c r="AK117" s="10"/>
      <c r="AL117" s="10"/>
    </row>
    <row r="118" spans="1:38">
      <c r="A118" s="10"/>
      <c r="B118" s="10"/>
      <c r="H118" s="5"/>
      <c r="I118" s="5"/>
      <c r="AC118" s="10"/>
      <c r="AD118" s="10"/>
      <c r="AE118" s="10"/>
      <c r="AF118" s="10"/>
      <c r="AG118" s="10"/>
      <c r="AH118" s="10"/>
      <c r="AI118" s="10"/>
      <c r="AJ118" s="10"/>
      <c r="AK118" s="10"/>
      <c r="AL118" s="10"/>
    </row>
    <row r="119" spans="1:38">
      <c r="A119" s="10"/>
      <c r="B119" s="10"/>
      <c r="G119" s="9"/>
      <c r="H119" s="5"/>
      <c r="I119" s="5"/>
      <c r="AC119" s="10"/>
      <c r="AD119" s="10"/>
      <c r="AE119" s="10"/>
      <c r="AF119" s="10"/>
      <c r="AG119" s="10"/>
      <c r="AH119" s="10"/>
      <c r="AI119" s="10"/>
      <c r="AJ119" s="10"/>
      <c r="AK119" s="10"/>
      <c r="AL119" s="10"/>
    </row>
    <row r="120" spans="1:38">
      <c r="A120" s="10"/>
      <c r="B120" s="10"/>
      <c r="G120" s="9"/>
      <c r="H120" s="5"/>
      <c r="I120" s="5"/>
      <c r="AC120" s="10"/>
      <c r="AD120" s="10"/>
      <c r="AE120" s="10"/>
      <c r="AF120" s="10"/>
      <c r="AG120" s="10"/>
      <c r="AH120" s="10"/>
      <c r="AI120" s="10"/>
      <c r="AJ120" s="10"/>
      <c r="AK120" s="10"/>
      <c r="AL120" s="10"/>
    </row>
    <row r="121" spans="1:38">
      <c r="A121" s="10"/>
      <c r="B121" s="10"/>
      <c r="G121" s="9"/>
      <c r="H121" s="5"/>
      <c r="I121" s="5"/>
      <c r="AC121" s="10"/>
      <c r="AD121" s="10"/>
      <c r="AE121" s="10"/>
      <c r="AF121" s="10"/>
      <c r="AG121" s="10"/>
      <c r="AH121" s="10"/>
      <c r="AI121" s="10"/>
      <c r="AJ121" s="10"/>
      <c r="AK121" s="10"/>
      <c r="AL121" s="10"/>
    </row>
    <row r="122" spans="1:38">
      <c r="A122" s="10"/>
      <c r="B122" s="10"/>
      <c r="G122" s="9"/>
      <c r="H122" s="5"/>
      <c r="I122" s="5"/>
      <c r="AC122" s="10"/>
      <c r="AD122" s="10"/>
      <c r="AE122" s="10"/>
      <c r="AF122" s="10"/>
      <c r="AG122" s="10"/>
      <c r="AH122" s="10"/>
      <c r="AI122" s="10"/>
      <c r="AJ122" s="10"/>
      <c r="AK122" s="10"/>
      <c r="AL122" s="10"/>
    </row>
    <row r="123" spans="1:38">
      <c r="A123" s="11"/>
      <c r="B123" s="11"/>
      <c r="G123" s="9"/>
      <c r="H123" s="5"/>
      <c r="I123" s="5"/>
      <c r="AC123" s="11"/>
      <c r="AD123" s="11"/>
      <c r="AE123" s="11"/>
      <c r="AF123" s="11"/>
      <c r="AG123" s="11"/>
      <c r="AH123" s="11"/>
      <c r="AI123" s="11"/>
      <c r="AJ123" s="11"/>
      <c r="AK123" s="11"/>
      <c r="AL123" s="11"/>
    </row>
    <row r="124" spans="1:38">
      <c r="G124" s="9"/>
      <c r="H124" s="5"/>
      <c r="I124" s="5"/>
    </row>
    <row r="125" spans="1:38">
      <c r="H125" s="5"/>
      <c r="I125" s="5"/>
    </row>
    <row r="126" spans="1:38">
      <c r="H126" s="5"/>
      <c r="I126" s="5"/>
    </row>
    <row r="127" spans="1:38">
      <c r="H127" s="5"/>
      <c r="I127" s="5"/>
    </row>
    <row r="128" spans="1:38">
      <c r="H128" s="5"/>
      <c r="I128" s="5"/>
    </row>
    <row r="129" spans="3:28">
      <c r="H129" s="5"/>
      <c r="I129" s="5"/>
    </row>
    <row r="130" spans="3:28">
      <c r="H130" s="5"/>
      <c r="I130" s="5"/>
    </row>
    <row r="131" spans="3:28">
      <c r="H131" s="5"/>
      <c r="I131" s="5"/>
    </row>
    <row r="132" spans="3:28">
      <c r="H132" s="5"/>
      <c r="I132" s="5"/>
    </row>
    <row r="133" spans="3:28">
      <c r="H133" s="5"/>
      <c r="I133" s="5"/>
    </row>
    <row r="134" spans="3:28">
      <c r="H134" s="5"/>
      <c r="I134" s="5"/>
    </row>
    <row r="135" spans="3:28">
      <c r="H135" s="5"/>
      <c r="I135" s="5"/>
    </row>
    <row r="136" spans="3:28">
      <c r="H136" s="5"/>
      <c r="I136" s="5"/>
    </row>
    <row r="137" spans="3:28">
      <c r="H137" s="5"/>
      <c r="I137" s="5"/>
    </row>
    <row r="138" spans="3:28">
      <c r="H138" s="5"/>
      <c r="I138" s="5"/>
    </row>
    <row r="139" spans="3:28">
      <c r="H139" s="5"/>
      <c r="I139" s="5"/>
    </row>
    <row r="140" spans="3:28">
      <c r="C140" s="14"/>
      <c r="D140" s="14"/>
      <c r="E140" s="14"/>
      <c r="F140" s="14"/>
      <c r="G140" s="14"/>
      <c r="H140" s="10"/>
      <c r="I140" s="10"/>
      <c r="J140" s="14"/>
      <c r="K140" s="14"/>
      <c r="L140" s="14"/>
      <c r="M140" s="14"/>
      <c r="N140" s="14"/>
      <c r="O140" s="14"/>
      <c r="P140" s="14"/>
      <c r="Q140" s="14"/>
      <c r="R140" s="14"/>
      <c r="S140" s="14"/>
      <c r="T140" s="14"/>
      <c r="U140" s="14"/>
      <c r="V140" s="14"/>
      <c r="W140" s="14"/>
      <c r="X140" s="14"/>
      <c r="Y140" s="14"/>
      <c r="Z140" s="14"/>
      <c r="AA140" s="14"/>
      <c r="AB140" s="14"/>
    </row>
    <row r="141" spans="3:28">
      <c r="C141" s="9"/>
      <c r="D141" s="9"/>
      <c r="E141" s="9"/>
      <c r="F141" s="9"/>
      <c r="G141" s="9"/>
      <c r="H141" s="10"/>
      <c r="I141" s="10"/>
      <c r="J141" s="9"/>
      <c r="K141" s="9"/>
      <c r="L141" s="9"/>
      <c r="M141" s="9"/>
      <c r="N141" s="9"/>
      <c r="O141" s="9"/>
      <c r="P141" s="9"/>
      <c r="Q141" s="9"/>
      <c r="R141" s="9"/>
      <c r="S141" s="9"/>
      <c r="T141" s="9"/>
      <c r="U141" s="9"/>
      <c r="V141" s="9"/>
      <c r="W141" s="9"/>
      <c r="X141" s="9"/>
      <c r="Y141" s="9"/>
      <c r="Z141" s="9"/>
      <c r="AA141" s="9"/>
      <c r="AB141" s="9"/>
    </row>
    <row r="142" spans="3:28">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row>
    <row r="143" spans="3:28">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row>
    <row r="144" spans="3:28">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row>
    <row r="145" spans="1:38">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row>
    <row r="146" spans="1:38">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row>
    <row r="147" spans="1:38">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row>
    <row r="148" spans="1:38">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row>
    <row r="149" spans="1:38">
      <c r="C149" s="10"/>
      <c r="D149" s="10"/>
      <c r="E149" s="10"/>
      <c r="F149" s="10"/>
      <c r="G149" s="10"/>
      <c r="H149" s="15"/>
      <c r="I149" s="15"/>
      <c r="J149" s="10"/>
      <c r="K149" s="10"/>
      <c r="L149" s="10"/>
      <c r="M149" s="10"/>
      <c r="N149" s="10"/>
      <c r="O149" s="10"/>
      <c r="P149" s="10"/>
      <c r="Q149" s="10"/>
      <c r="R149" s="10"/>
      <c r="S149" s="10"/>
      <c r="T149" s="10"/>
      <c r="U149" s="10"/>
      <c r="V149" s="10"/>
      <c r="W149" s="10"/>
      <c r="X149" s="10"/>
      <c r="Y149" s="10"/>
      <c r="Z149" s="10"/>
      <c r="AA149" s="10"/>
      <c r="AB149" s="10"/>
    </row>
    <row r="150" spans="1:38">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row>
    <row r="151" spans="1:38">
      <c r="C151" s="10"/>
      <c r="D151" s="10"/>
      <c r="E151" s="10"/>
      <c r="F151" s="10"/>
      <c r="G151" s="10"/>
      <c r="H151" s="15"/>
      <c r="I151" s="15"/>
      <c r="J151" s="10"/>
      <c r="K151" s="10"/>
      <c r="L151" s="10"/>
      <c r="M151" s="10"/>
      <c r="N151" s="10"/>
      <c r="O151" s="10"/>
      <c r="P151" s="10"/>
      <c r="Q151" s="10"/>
      <c r="R151" s="10"/>
      <c r="S151" s="10"/>
      <c r="T151" s="10"/>
      <c r="U151" s="10"/>
      <c r="V151" s="10"/>
      <c r="W151" s="10"/>
      <c r="X151" s="10"/>
      <c r="Y151" s="10"/>
      <c r="Z151" s="10"/>
      <c r="AA151" s="10"/>
      <c r="AB151" s="10"/>
    </row>
    <row r="152" spans="1:38">
      <c r="H152" s="15"/>
      <c r="I152" s="15"/>
    </row>
    <row r="153" spans="1:38">
      <c r="A153" s="14"/>
      <c r="B153" s="14"/>
      <c r="C153" s="11"/>
      <c r="D153" s="11"/>
      <c r="E153" s="11"/>
      <c r="F153" s="11"/>
      <c r="G153" s="11"/>
      <c r="H153" s="17"/>
      <c r="I153" s="17"/>
      <c r="J153" s="18"/>
      <c r="K153" s="11"/>
      <c r="L153" s="11"/>
      <c r="M153" s="11"/>
      <c r="N153" s="11"/>
      <c r="O153" s="11"/>
      <c r="P153" s="11"/>
      <c r="Q153" s="11"/>
      <c r="R153" s="11"/>
      <c r="S153" s="11"/>
      <c r="T153" s="11"/>
      <c r="U153" s="11"/>
      <c r="V153" s="11"/>
      <c r="W153" s="11"/>
      <c r="X153" s="11"/>
      <c r="Y153" s="11"/>
      <c r="Z153" s="11"/>
      <c r="AA153" s="11"/>
      <c r="AB153" s="11"/>
      <c r="AC153" s="14"/>
      <c r="AD153" s="14"/>
      <c r="AE153" s="14"/>
      <c r="AF153" s="14"/>
      <c r="AG153" s="14"/>
      <c r="AH153" s="14"/>
      <c r="AI153" s="14"/>
      <c r="AJ153" s="14"/>
      <c r="AK153" s="14"/>
      <c r="AL153" s="14"/>
    </row>
    <row r="154" spans="1:38">
      <c r="A154" s="9"/>
      <c r="B154" s="9"/>
      <c r="H154" s="17"/>
      <c r="I154" s="17"/>
      <c r="J154" s="9"/>
      <c r="AC154" s="9"/>
      <c r="AD154" s="9"/>
      <c r="AE154" s="9"/>
      <c r="AF154" s="9"/>
      <c r="AG154" s="9"/>
      <c r="AH154" s="9"/>
      <c r="AI154" s="9"/>
      <c r="AJ154" s="9"/>
      <c r="AK154" s="9"/>
      <c r="AL154" s="9"/>
    </row>
    <row r="155" spans="1:38">
      <c r="A155" s="10"/>
      <c r="B155" s="10"/>
      <c r="H155" s="10"/>
      <c r="I155" s="10"/>
      <c r="AC155" s="10"/>
      <c r="AD155" s="10"/>
      <c r="AE155" s="10"/>
      <c r="AF155" s="10"/>
      <c r="AG155" s="10"/>
      <c r="AH155" s="10"/>
      <c r="AI155" s="10"/>
      <c r="AJ155" s="10"/>
      <c r="AK155" s="10"/>
      <c r="AL155" s="10"/>
    </row>
    <row r="156" spans="1:38">
      <c r="A156" s="10"/>
      <c r="B156" s="10"/>
      <c r="H156" s="10"/>
      <c r="I156" s="10"/>
      <c r="AC156" s="10"/>
      <c r="AD156" s="10"/>
      <c r="AE156" s="10"/>
      <c r="AF156" s="10"/>
      <c r="AG156" s="10"/>
      <c r="AH156" s="10"/>
      <c r="AI156" s="10"/>
      <c r="AJ156" s="10"/>
      <c r="AK156" s="10"/>
      <c r="AL156" s="10"/>
    </row>
    <row r="157" spans="1:38">
      <c r="A157" s="10"/>
      <c r="B157" s="10"/>
      <c r="H157" s="359"/>
      <c r="I157" s="359"/>
      <c r="J157" s="9"/>
      <c r="AC157" s="10"/>
      <c r="AD157" s="10"/>
      <c r="AE157" s="10"/>
      <c r="AF157" s="10"/>
      <c r="AG157" s="10"/>
      <c r="AH157" s="10"/>
      <c r="AI157" s="10"/>
      <c r="AJ157" s="10"/>
      <c r="AK157" s="10"/>
      <c r="AL157" s="10"/>
    </row>
    <row r="158" spans="1:38">
      <c r="A158" s="10"/>
      <c r="B158" s="10"/>
      <c r="H158" s="17"/>
      <c r="I158" s="17"/>
      <c r="J158" s="9"/>
      <c r="AC158" s="10"/>
      <c r="AD158" s="10"/>
      <c r="AE158" s="10"/>
      <c r="AF158" s="10"/>
      <c r="AG158" s="10"/>
      <c r="AH158" s="10"/>
      <c r="AI158" s="10"/>
      <c r="AJ158" s="10"/>
      <c r="AK158" s="10"/>
      <c r="AL158" s="10"/>
    </row>
    <row r="159" spans="1:38">
      <c r="A159" s="10"/>
      <c r="B159" s="10"/>
      <c r="H159" s="19"/>
      <c r="I159" s="19"/>
      <c r="J159" s="9"/>
      <c r="AC159" s="10"/>
      <c r="AD159" s="10"/>
      <c r="AE159" s="10"/>
      <c r="AF159" s="10"/>
      <c r="AG159" s="10"/>
      <c r="AH159" s="10"/>
      <c r="AI159" s="10"/>
      <c r="AJ159" s="10"/>
      <c r="AK159" s="10"/>
      <c r="AL159" s="10"/>
    </row>
    <row r="160" spans="1:38">
      <c r="A160" s="10"/>
      <c r="B160" s="10"/>
      <c r="H160" s="17"/>
      <c r="I160" s="17"/>
      <c r="J160" s="9"/>
      <c r="AC160" s="10"/>
      <c r="AD160" s="10"/>
      <c r="AE160" s="10"/>
      <c r="AF160" s="10"/>
      <c r="AG160" s="10"/>
      <c r="AH160" s="10"/>
      <c r="AI160" s="10"/>
      <c r="AJ160" s="10"/>
      <c r="AK160" s="10"/>
      <c r="AL160" s="10"/>
    </row>
    <row r="161" spans="1:38">
      <c r="A161" s="10"/>
      <c r="B161" s="10"/>
      <c r="H161" s="17"/>
      <c r="I161" s="17"/>
      <c r="J161" s="9"/>
      <c r="AC161" s="10"/>
      <c r="AD161" s="10"/>
      <c r="AE161" s="10"/>
      <c r="AF161" s="10"/>
      <c r="AG161" s="10"/>
      <c r="AH161" s="10"/>
      <c r="AI161" s="10"/>
      <c r="AJ161" s="10"/>
      <c r="AK161" s="10"/>
      <c r="AL161" s="10"/>
    </row>
    <row r="162" spans="1:38">
      <c r="A162" s="10"/>
      <c r="B162" s="10"/>
      <c r="H162" s="17"/>
      <c r="I162" s="17"/>
      <c r="J162" s="9"/>
      <c r="AC162" s="10"/>
      <c r="AD162" s="10"/>
      <c r="AE162" s="10"/>
      <c r="AF162" s="10"/>
      <c r="AG162" s="10"/>
      <c r="AH162" s="10"/>
      <c r="AI162" s="10"/>
      <c r="AJ162" s="10"/>
      <c r="AK162" s="10"/>
      <c r="AL162" s="10"/>
    </row>
    <row r="163" spans="1:38">
      <c r="A163" s="10"/>
      <c r="B163" s="10"/>
      <c r="C163" s="9"/>
      <c r="D163" s="9"/>
      <c r="E163" s="9"/>
      <c r="F163" s="9"/>
      <c r="G163" s="9"/>
      <c r="H163" s="17"/>
      <c r="I163" s="17"/>
      <c r="J163" s="9"/>
      <c r="K163" s="9"/>
      <c r="L163" s="9"/>
      <c r="M163" s="9"/>
      <c r="N163" s="9"/>
      <c r="O163" s="9"/>
      <c r="P163" s="9"/>
      <c r="Q163" s="9"/>
      <c r="R163" s="9"/>
      <c r="S163" s="9"/>
      <c r="T163" s="9"/>
      <c r="U163" s="9"/>
      <c r="V163" s="9"/>
      <c r="W163" s="9"/>
      <c r="X163" s="9"/>
      <c r="Y163" s="9"/>
      <c r="Z163" s="9"/>
      <c r="AA163" s="9"/>
      <c r="AB163" s="9"/>
      <c r="AC163" s="10"/>
      <c r="AD163" s="10"/>
      <c r="AE163" s="10"/>
      <c r="AF163" s="10"/>
      <c r="AG163" s="10"/>
      <c r="AH163" s="10"/>
      <c r="AI163" s="10"/>
      <c r="AJ163" s="10"/>
      <c r="AK163" s="10"/>
      <c r="AL163" s="10"/>
    </row>
    <row r="164" spans="1:38">
      <c r="A164" s="10"/>
      <c r="B164" s="10"/>
      <c r="H164" s="17"/>
      <c r="I164" s="17"/>
      <c r="J164" s="9"/>
      <c r="AC164" s="10"/>
      <c r="AD164" s="10"/>
      <c r="AE164" s="10"/>
      <c r="AF164" s="10"/>
      <c r="AG164" s="10"/>
      <c r="AH164" s="10"/>
      <c r="AI164" s="10"/>
      <c r="AJ164" s="10"/>
      <c r="AK164" s="10"/>
      <c r="AL164" s="10"/>
    </row>
    <row r="165" spans="1:38">
      <c r="H165" s="17"/>
      <c r="I165" s="17"/>
      <c r="J165" s="9"/>
    </row>
    <row r="166" spans="1:38">
      <c r="A166" s="11"/>
      <c r="B166" s="11"/>
      <c r="H166" s="17"/>
      <c r="I166" s="17"/>
      <c r="J166" s="9"/>
      <c r="AC166" s="11"/>
      <c r="AD166" s="11"/>
      <c r="AE166" s="11"/>
      <c r="AF166" s="11"/>
      <c r="AG166" s="11"/>
      <c r="AH166" s="11"/>
      <c r="AI166" s="11"/>
      <c r="AJ166" s="11"/>
      <c r="AK166" s="11"/>
      <c r="AL166" s="11"/>
    </row>
    <row r="167" spans="1:38">
      <c r="C167" s="10"/>
      <c r="D167" s="10"/>
      <c r="E167" s="10"/>
      <c r="F167" s="10"/>
      <c r="G167" s="10"/>
      <c r="H167" s="19"/>
      <c r="I167" s="19"/>
      <c r="J167" s="19"/>
      <c r="K167" s="10"/>
      <c r="L167" s="10"/>
      <c r="M167" s="10"/>
      <c r="N167" s="10"/>
      <c r="O167" s="10"/>
      <c r="P167" s="10"/>
      <c r="Q167" s="10"/>
      <c r="R167" s="10"/>
      <c r="S167" s="10"/>
      <c r="T167" s="10"/>
      <c r="U167" s="10"/>
      <c r="V167" s="10"/>
      <c r="W167" s="10"/>
      <c r="X167" s="10"/>
      <c r="Y167" s="10"/>
      <c r="Z167" s="10"/>
      <c r="AA167" s="10"/>
      <c r="AB167" s="10"/>
    </row>
    <row r="168" spans="1:38">
      <c r="C168" s="10"/>
      <c r="D168" s="10"/>
      <c r="E168" s="10"/>
      <c r="F168" s="10"/>
      <c r="G168" s="10"/>
      <c r="H168" s="359"/>
      <c r="I168" s="359"/>
      <c r="J168" s="19"/>
      <c r="K168" s="10"/>
      <c r="L168" s="10"/>
      <c r="M168" s="10"/>
      <c r="N168" s="10"/>
      <c r="O168" s="10"/>
      <c r="P168" s="10"/>
      <c r="Q168" s="10"/>
      <c r="R168" s="10"/>
      <c r="S168" s="10"/>
      <c r="T168" s="10"/>
      <c r="U168" s="10"/>
      <c r="V168" s="10"/>
      <c r="W168" s="10"/>
      <c r="X168" s="10"/>
      <c r="Y168" s="10"/>
      <c r="Z168" s="10"/>
      <c r="AA168" s="10"/>
      <c r="AB168" s="10"/>
    </row>
    <row r="169" spans="1:38">
      <c r="C169" s="10"/>
      <c r="D169" s="10"/>
      <c r="E169" s="10"/>
      <c r="F169" s="10"/>
      <c r="G169" s="10"/>
      <c r="H169" s="17"/>
      <c r="I169" s="17"/>
      <c r="J169" s="19"/>
      <c r="K169" s="10"/>
      <c r="L169" s="10"/>
      <c r="M169" s="10"/>
      <c r="N169" s="10"/>
      <c r="O169" s="10"/>
      <c r="P169" s="10"/>
      <c r="Q169" s="10"/>
      <c r="R169" s="10"/>
      <c r="S169" s="10"/>
      <c r="T169" s="10"/>
      <c r="U169" s="10"/>
      <c r="V169" s="10"/>
      <c r="W169" s="10"/>
      <c r="X169" s="10"/>
      <c r="Y169" s="10"/>
      <c r="Z169" s="10"/>
      <c r="AA169" s="10"/>
      <c r="AB169" s="10"/>
    </row>
    <row r="170" spans="1:38">
      <c r="C170" s="10"/>
      <c r="D170" s="10"/>
      <c r="E170" s="10"/>
      <c r="F170" s="10"/>
      <c r="G170" s="10"/>
      <c r="H170" s="17"/>
      <c r="I170" s="17"/>
      <c r="J170" s="19"/>
      <c r="K170" s="10"/>
      <c r="L170" s="10"/>
      <c r="M170" s="10"/>
      <c r="N170" s="10"/>
      <c r="O170" s="10"/>
      <c r="P170" s="10"/>
      <c r="Q170" s="10"/>
      <c r="R170" s="10"/>
      <c r="S170" s="10"/>
      <c r="T170" s="10"/>
      <c r="U170" s="10"/>
      <c r="V170" s="10"/>
      <c r="W170" s="10"/>
      <c r="X170" s="10"/>
      <c r="Y170" s="10"/>
      <c r="Z170" s="10"/>
      <c r="AA170" s="10"/>
      <c r="AB170" s="10"/>
    </row>
    <row r="171" spans="1:38">
      <c r="C171" s="10"/>
      <c r="D171" s="10"/>
      <c r="E171" s="10"/>
      <c r="F171" s="10"/>
      <c r="G171" s="10"/>
      <c r="H171" s="17"/>
      <c r="I171" s="17"/>
      <c r="J171" s="19"/>
      <c r="K171" s="10"/>
      <c r="L171" s="10"/>
      <c r="M171" s="10"/>
      <c r="N171" s="10"/>
      <c r="O171" s="10"/>
      <c r="P171" s="10"/>
      <c r="Q171" s="10"/>
      <c r="R171" s="10"/>
      <c r="S171" s="10"/>
      <c r="T171" s="10"/>
      <c r="U171" s="10"/>
      <c r="V171" s="10"/>
      <c r="W171" s="10"/>
      <c r="X171" s="10"/>
      <c r="Y171" s="10"/>
      <c r="Z171" s="10"/>
      <c r="AA171" s="10"/>
      <c r="AB171" s="10"/>
    </row>
    <row r="172" spans="1:38">
      <c r="C172" s="10"/>
      <c r="D172" s="10"/>
      <c r="E172" s="10"/>
      <c r="F172" s="10"/>
      <c r="G172" s="10"/>
      <c r="H172" s="19"/>
      <c r="I172" s="19"/>
      <c r="J172" s="19"/>
      <c r="K172" s="10"/>
      <c r="L172" s="10"/>
      <c r="M172" s="10"/>
      <c r="N172" s="10"/>
      <c r="O172" s="10"/>
      <c r="P172" s="10"/>
      <c r="Q172" s="10"/>
      <c r="R172" s="10"/>
      <c r="S172" s="10"/>
      <c r="T172" s="10"/>
      <c r="U172" s="10"/>
      <c r="V172" s="10"/>
      <c r="W172" s="10"/>
      <c r="X172" s="10"/>
      <c r="Y172" s="10"/>
      <c r="Z172" s="10"/>
      <c r="AA172" s="10"/>
      <c r="AB172" s="10"/>
    </row>
    <row r="173" spans="1:38">
      <c r="H173" s="10"/>
      <c r="I173" s="10"/>
    </row>
    <row r="174" spans="1:38">
      <c r="C174" s="10"/>
      <c r="D174" s="10"/>
      <c r="E174" s="10"/>
      <c r="F174" s="10"/>
      <c r="G174" s="10"/>
      <c r="H174" s="19"/>
      <c r="I174" s="19"/>
      <c r="J174" s="19"/>
      <c r="K174" s="10"/>
      <c r="L174" s="10"/>
      <c r="M174" s="10"/>
      <c r="N174" s="10"/>
      <c r="O174" s="10"/>
      <c r="P174" s="10"/>
      <c r="Q174" s="10"/>
      <c r="R174" s="10"/>
      <c r="S174" s="10"/>
      <c r="T174" s="10"/>
      <c r="U174" s="10"/>
      <c r="V174" s="10"/>
      <c r="W174" s="10"/>
      <c r="X174" s="10"/>
      <c r="Y174" s="10"/>
      <c r="Z174" s="10"/>
      <c r="AA174" s="10"/>
      <c r="AB174" s="10"/>
    </row>
    <row r="175" spans="1:38">
      <c r="H175" s="20"/>
      <c r="I175" s="20"/>
      <c r="J175" s="9"/>
    </row>
    <row r="176" spans="1:38">
      <c r="A176" s="9"/>
      <c r="B176" s="9"/>
      <c r="H176" s="10"/>
      <c r="I176" s="10"/>
      <c r="AC176" s="9"/>
      <c r="AD176" s="9"/>
      <c r="AE176" s="9"/>
      <c r="AF176" s="9"/>
      <c r="AG176" s="9"/>
      <c r="AH176" s="9"/>
      <c r="AI176" s="9"/>
      <c r="AJ176" s="9"/>
      <c r="AK176" s="9"/>
      <c r="AL176" s="9"/>
    </row>
    <row r="177" spans="1:38">
      <c r="H177" s="20"/>
      <c r="I177" s="20"/>
      <c r="J177" s="9"/>
    </row>
    <row r="178" spans="1:38">
      <c r="H178" s="19"/>
      <c r="I178" s="19"/>
      <c r="J178" s="9"/>
    </row>
    <row r="179" spans="1:38">
      <c r="H179" s="21"/>
      <c r="I179" s="21"/>
      <c r="J179" s="9"/>
    </row>
    <row r="180" spans="1:38">
      <c r="A180" s="10"/>
      <c r="B180" s="10"/>
      <c r="H180" s="22"/>
      <c r="I180" s="22"/>
      <c r="J180" s="9"/>
      <c r="AC180" s="10"/>
      <c r="AD180" s="10"/>
      <c r="AE180" s="10"/>
      <c r="AF180" s="10"/>
      <c r="AG180" s="10"/>
      <c r="AH180" s="10"/>
      <c r="AI180" s="10"/>
      <c r="AJ180" s="10"/>
      <c r="AK180" s="10"/>
      <c r="AL180" s="10"/>
    </row>
    <row r="181" spans="1:38">
      <c r="A181" s="10"/>
      <c r="B181" s="10"/>
      <c r="H181" s="22"/>
      <c r="I181" s="22"/>
      <c r="J181" s="9"/>
      <c r="AC181" s="10"/>
      <c r="AD181" s="10"/>
      <c r="AE181" s="10"/>
      <c r="AF181" s="10"/>
      <c r="AG181" s="10"/>
      <c r="AH181" s="10"/>
      <c r="AI181" s="10"/>
      <c r="AJ181" s="10"/>
      <c r="AK181" s="10"/>
      <c r="AL181" s="10"/>
    </row>
    <row r="182" spans="1:38">
      <c r="A182" s="10"/>
      <c r="B182" s="10"/>
      <c r="H182" s="22"/>
      <c r="I182" s="22"/>
      <c r="J182" s="9"/>
      <c r="AC182" s="10"/>
      <c r="AD182" s="10"/>
      <c r="AE182" s="10"/>
      <c r="AF182" s="10"/>
      <c r="AG182" s="10"/>
      <c r="AH182" s="10"/>
      <c r="AI182" s="10"/>
      <c r="AJ182" s="10"/>
      <c r="AK182" s="10"/>
      <c r="AL182" s="10"/>
    </row>
    <row r="183" spans="1:38">
      <c r="A183" s="10"/>
      <c r="B183" s="10"/>
      <c r="H183" s="19"/>
      <c r="I183" s="19"/>
      <c r="J183" s="9"/>
      <c r="AC183" s="10"/>
      <c r="AD183" s="10"/>
      <c r="AE183" s="10"/>
      <c r="AF183" s="10"/>
      <c r="AG183" s="10"/>
      <c r="AH183" s="10"/>
      <c r="AI183" s="10"/>
      <c r="AJ183" s="10"/>
      <c r="AK183" s="10"/>
      <c r="AL183" s="10"/>
    </row>
    <row r="184" spans="1:38">
      <c r="A184" s="10"/>
      <c r="B184" s="10"/>
      <c r="H184" s="10"/>
      <c r="I184" s="10"/>
      <c r="AC184" s="10"/>
      <c r="AD184" s="10"/>
      <c r="AE184" s="10"/>
      <c r="AF184" s="10"/>
      <c r="AG184" s="10"/>
      <c r="AH184" s="10"/>
      <c r="AI184" s="10"/>
      <c r="AJ184" s="10"/>
      <c r="AK184" s="10"/>
      <c r="AL184" s="10"/>
    </row>
    <row r="185" spans="1:38">
      <c r="A185" s="10"/>
      <c r="B185" s="10"/>
      <c r="H185" s="10"/>
      <c r="I185" s="10"/>
      <c r="AC185" s="10"/>
      <c r="AD185" s="10"/>
      <c r="AE185" s="10"/>
      <c r="AF185" s="10"/>
      <c r="AG185" s="10"/>
      <c r="AH185" s="10"/>
      <c r="AI185" s="10"/>
      <c r="AJ185" s="10"/>
      <c r="AK185" s="10"/>
      <c r="AL185" s="10"/>
    </row>
    <row r="186" spans="1:38">
      <c r="H186" s="10"/>
      <c r="I186" s="10"/>
    </row>
    <row r="187" spans="1:38">
      <c r="A187" s="10"/>
      <c r="B187" s="10"/>
      <c r="C187" s="10"/>
      <c r="D187" s="10"/>
      <c r="E187" s="10"/>
      <c r="F187" s="10"/>
      <c r="G187" s="10"/>
      <c r="H187" s="19"/>
      <c r="I187" s="19"/>
      <c r="J187" s="19"/>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row>
    <row r="188" spans="1:38">
      <c r="C188" s="10"/>
      <c r="D188" s="10"/>
      <c r="E188" s="10"/>
      <c r="F188" s="10"/>
      <c r="G188" s="10"/>
      <c r="H188" s="19"/>
      <c r="I188" s="19"/>
      <c r="J188" s="19"/>
      <c r="K188" s="10"/>
      <c r="L188" s="10"/>
      <c r="M188" s="10"/>
      <c r="N188" s="10"/>
      <c r="O188" s="10"/>
      <c r="P188" s="10"/>
      <c r="Q188" s="10"/>
      <c r="R188" s="10"/>
      <c r="S188" s="10"/>
      <c r="T188" s="10"/>
      <c r="U188" s="10"/>
      <c r="V188" s="10"/>
      <c r="W188" s="10"/>
      <c r="X188" s="10"/>
      <c r="Y188" s="10"/>
      <c r="Z188" s="10"/>
      <c r="AA188" s="10"/>
      <c r="AB188" s="10"/>
    </row>
    <row r="189" spans="1:38">
      <c r="H189" s="10"/>
      <c r="I189" s="10"/>
    </row>
    <row r="190" spans="1:38">
      <c r="C190" s="10"/>
      <c r="D190" s="10"/>
      <c r="E190" s="10"/>
      <c r="F190" s="10"/>
      <c r="G190" s="10"/>
      <c r="H190" s="17"/>
      <c r="I190" s="17"/>
      <c r="J190" s="19"/>
      <c r="K190" s="10"/>
      <c r="L190" s="10"/>
      <c r="M190" s="10"/>
      <c r="N190" s="10"/>
      <c r="O190" s="10"/>
      <c r="P190" s="10"/>
      <c r="Q190" s="10"/>
      <c r="R190" s="10"/>
      <c r="S190" s="10"/>
      <c r="T190" s="10"/>
      <c r="U190" s="10"/>
      <c r="V190" s="10"/>
      <c r="W190" s="10"/>
      <c r="X190" s="10"/>
      <c r="Y190" s="10"/>
      <c r="Z190" s="10"/>
      <c r="AA190" s="10"/>
      <c r="AB190" s="10"/>
    </row>
    <row r="191" spans="1:38">
      <c r="H191" s="10"/>
      <c r="I191" s="10"/>
    </row>
    <row r="192" spans="1:38">
      <c r="C192" s="10"/>
      <c r="D192" s="10"/>
      <c r="E192" s="10"/>
      <c r="F192" s="10"/>
      <c r="G192" s="10"/>
      <c r="H192" s="17"/>
      <c r="I192" s="17"/>
      <c r="J192" s="19"/>
      <c r="K192" s="10"/>
      <c r="L192" s="10"/>
      <c r="M192" s="10"/>
      <c r="N192" s="10"/>
      <c r="O192" s="10"/>
      <c r="P192" s="10"/>
      <c r="Q192" s="10"/>
      <c r="R192" s="10"/>
      <c r="S192" s="10"/>
      <c r="T192" s="10"/>
      <c r="U192" s="10"/>
      <c r="V192" s="10"/>
      <c r="W192" s="10"/>
      <c r="X192" s="10"/>
      <c r="Y192" s="10"/>
      <c r="Z192" s="10"/>
      <c r="AA192" s="10"/>
      <c r="AB192" s="10"/>
    </row>
    <row r="193" spans="1:38">
      <c r="H193" s="10"/>
      <c r="I193" s="10"/>
    </row>
    <row r="194" spans="1:38">
      <c r="H194" s="10"/>
      <c r="I194" s="10"/>
    </row>
    <row r="195" spans="1:38">
      <c r="H195" s="10"/>
      <c r="I195" s="10"/>
    </row>
    <row r="196" spans="1:38">
      <c r="H196" s="10"/>
      <c r="I196" s="10"/>
    </row>
    <row r="197" spans="1:38">
      <c r="H197" s="10"/>
      <c r="I197" s="10"/>
    </row>
    <row r="198" spans="1:38">
      <c r="H198" s="10"/>
      <c r="I198" s="10"/>
    </row>
    <row r="199" spans="1:38">
      <c r="H199" s="10"/>
      <c r="I199" s="10"/>
    </row>
    <row r="200" spans="1:38">
      <c r="A200" s="10"/>
      <c r="B200" s="10"/>
      <c r="H200" s="10"/>
      <c r="I200" s="10"/>
      <c r="AC200" s="10"/>
      <c r="AD200" s="10"/>
      <c r="AE200" s="10"/>
      <c r="AF200" s="10"/>
      <c r="AG200" s="10"/>
      <c r="AH200" s="10"/>
      <c r="AI200" s="10"/>
      <c r="AJ200" s="10"/>
      <c r="AK200" s="10"/>
      <c r="AL200" s="10"/>
    </row>
    <row r="201" spans="1:38">
      <c r="A201" s="10"/>
      <c r="B201" s="10"/>
      <c r="H201" s="10"/>
      <c r="I201" s="10"/>
      <c r="AC201" s="10"/>
      <c r="AD201" s="10"/>
      <c r="AE201" s="10"/>
      <c r="AF201" s="10"/>
      <c r="AG201" s="10"/>
      <c r="AH201" s="10"/>
      <c r="AI201" s="10"/>
      <c r="AJ201" s="10"/>
      <c r="AK201" s="10"/>
      <c r="AL201" s="10"/>
    </row>
    <row r="203" spans="1:38">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c r="AL203" s="10"/>
    </row>
    <row r="205" spans="1:38">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c r="AI205" s="10"/>
      <c r="AJ205" s="10"/>
      <c r="AK205" s="10"/>
      <c r="AL205" s="10"/>
    </row>
    <row r="235" spans="1:38">
      <c r="A235" s="11"/>
      <c r="B235" s="11"/>
      <c r="C235" s="11"/>
      <c r="D235" s="11"/>
      <c r="E235" s="11"/>
      <c r="F235" s="11"/>
      <c r="G235" s="11"/>
      <c r="H235" s="11"/>
      <c r="I235" s="11"/>
      <c r="J235" s="11"/>
      <c r="K235" s="11"/>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row>
    <row r="274" spans="1:38">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c r="AB274" s="14"/>
      <c r="AC274" s="14"/>
      <c r="AD274" s="14"/>
      <c r="AE274" s="14"/>
      <c r="AF274" s="14"/>
      <c r="AG274" s="14"/>
      <c r="AH274" s="14"/>
      <c r="AI274" s="14"/>
      <c r="AJ274" s="14"/>
      <c r="AK274" s="14"/>
      <c r="AL274" s="14"/>
    </row>
    <row r="275" spans="1:38">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9"/>
      <c r="AH275" s="9"/>
      <c r="AI275" s="9"/>
      <c r="AJ275" s="9"/>
      <c r="AK275" s="9"/>
      <c r="AL275" s="9"/>
    </row>
    <row r="276" spans="1:38">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c r="AI276" s="10"/>
      <c r="AJ276" s="10"/>
      <c r="AK276" s="10"/>
      <c r="AL276" s="10"/>
    </row>
    <row r="277" spans="1:38">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c r="AI277" s="10"/>
      <c r="AJ277" s="10"/>
      <c r="AK277" s="10"/>
      <c r="AL277" s="10"/>
    </row>
    <row r="278" spans="1:38">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c r="AI278" s="10"/>
      <c r="AJ278" s="10"/>
      <c r="AK278" s="10"/>
      <c r="AL278" s="10"/>
    </row>
    <row r="279" spans="1:38">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c r="AI279" s="10"/>
      <c r="AJ279" s="10"/>
      <c r="AK279" s="10"/>
      <c r="AL279" s="10"/>
    </row>
    <row r="280" spans="1:38">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c r="AI280" s="10"/>
      <c r="AJ280" s="10"/>
      <c r="AK280" s="10"/>
      <c r="AL280" s="10"/>
    </row>
    <row r="281" spans="1:38">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c r="AI281" s="10"/>
      <c r="AJ281" s="10"/>
      <c r="AK281" s="10"/>
      <c r="AL281" s="10"/>
    </row>
    <row r="282" spans="1:38">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c r="AI282" s="10"/>
      <c r="AJ282" s="10"/>
      <c r="AK282" s="10"/>
      <c r="AL282" s="10"/>
    </row>
    <row r="283" spans="1:38">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c r="AI283" s="10"/>
      <c r="AJ283" s="10"/>
      <c r="AK283" s="10"/>
      <c r="AL283" s="10"/>
    </row>
    <row r="284" spans="1:38">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c r="AI284" s="10"/>
      <c r="AJ284" s="10"/>
      <c r="AK284" s="10"/>
      <c r="AL284" s="10"/>
    </row>
    <row r="285" spans="1:38">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c r="AI285" s="10"/>
      <c r="AJ285" s="10"/>
      <c r="AK285" s="10"/>
      <c r="AL285" s="10"/>
    </row>
    <row r="286" spans="1:38">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c r="AI286" s="10"/>
      <c r="AJ286" s="10"/>
      <c r="AK286" s="10"/>
      <c r="AL286" s="10"/>
    </row>
    <row r="287" spans="1:38">
      <c r="A287" s="11"/>
      <c r="B287" s="11"/>
      <c r="C287" s="11"/>
      <c r="D287" s="11"/>
      <c r="E287" s="11"/>
      <c r="F287" s="11"/>
      <c r="G287" s="11"/>
      <c r="H287" s="11"/>
      <c r="I287" s="11"/>
      <c r="J287" s="11"/>
      <c r="K287" s="11"/>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row>
    <row r="317" spans="1:38">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c r="AB317" s="14"/>
      <c r="AC317" s="14"/>
      <c r="AD317" s="14"/>
      <c r="AE317" s="14"/>
      <c r="AF317" s="14"/>
      <c r="AG317" s="14"/>
      <c r="AH317" s="14"/>
      <c r="AI317" s="14"/>
      <c r="AJ317" s="14"/>
      <c r="AK317" s="14"/>
      <c r="AL317" s="14"/>
    </row>
    <row r="318" spans="1:38">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c r="AA318" s="9"/>
      <c r="AB318" s="9"/>
      <c r="AC318" s="9"/>
      <c r="AD318" s="9"/>
      <c r="AE318" s="9"/>
      <c r="AF318" s="9"/>
      <c r="AG318" s="9"/>
      <c r="AH318" s="9"/>
      <c r="AI318" s="9"/>
      <c r="AJ318" s="9"/>
      <c r="AK318" s="9"/>
      <c r="AL318" s="9"/>
    </row>
    <row r="319" spans="1:38">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c r="AI319" s="10"/>
      <c r="AJ319" s="10"/>
      <c r="AK319" s="10"/>
      <c r="AL319" s="10"/>
    </row>
    <row r="320" spans="1:38">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c r="AI320" s="10"/>
      <c r="AJ320" s="10"/>
      <c r="AK320" s="10"/>
      <c r="AL320" s="10"/>
    </row>
    <row r="321" spans="1:38">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c r="AI321" s="10"/>
      <c r="AJ321" s="10"/>
      <c r="AK321" s="10"/>
      <c r="AL321" s="10"/>
    </row>
    <row r="322" spans="1:38">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c r="AI322" s="10"/>
      <c r="AJ322" s="10"/>
      <c r="AK322" s="10"/>
      <c r="AL322" s="10"/>
    </row>
    <row r="323" spans="1:38">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c r="AI323" s="10"/>
      <c r="AJ323" s="10"/>
      <c r="AK323" s="10"/>
      <c r="AL323" s="10"/>
    </row>
    <row r="324" spans="1:38">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c r="AI324" s="10"/>
      <c r="AJ324" s="10"/>
      <c r="AK324" s="10"/>
      <c r="AL324" s="10"/>
    </row>
    <row r="325" spans="1:38">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c r="AI325" s="10"/>
      <c r="AJ325" s="10"/>
      <c r="AK325" s="10"/>
      <c r="AL325" s="10"/>
    </row>
    <row r="326" spans="1:38">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c r="AI326" s="10"/>
      <c r="AJ326" s="10"/>
      <c r="AK326" s="10"/>
      <c r="AL326" s="10"/>
    </row>
    <row r="327" spans="1:38">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c r="AI327" s="10"/>
      <c r="AJ327" s="10"/>
      <c r="AK327" s="10"/>
      <c r="AL327" s="10"/>
    </row>
    <row r="328" spans="1:38">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c r="AI328" s="10"/>
      <c r="AJ328" s="10"/>
      <c r="AK328" s="10"/>
      <c r="AL328" s="10"/>
    </row>
    <row r="329" spans="1:38">
      <c r="A329" s="11"/>
      <c r="B329" s="11"/>
      <c r="C329" s="11"/>
      <c r="D329" s="11"/>
      <c r="E329" s="11"/>
      <c r="F329" s="11"/>
      <c r="G329" s="11"/>
      <c r="H329" s="11"/>
      <c r="I329" s="11"/>
      <c r="J329" s="11"/>
      <c r="K329" s="11"/>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row>
    <row r="359" spans="1:38">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c r="AB359" s="14"/>
      <c r="AC359" s="14"/>
      <c r="AD359" s="14"/>
      <c r="AE359" s="14"/>
      <c r="AF359" s="14"/>
      <c r="AG359" s="14"/>
      <c r="AH359" s="14"/>
      <c r="AI359" s="14"/>
      <c r="AJ359" s="14"/>
      <c r="AK359" s="14"/>
      <c r="AL359" s="14"/>
    </row>
    <row r="360" spans="1:38">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c r="AA360" s="9"/>
      <c r="AB360" s="9"/>
      <c r="AC360" s="9"/>
      <c r="AD360" s="9"/>
      <c r="AE360" s="9"/>
      <c r="AF360" s="9"/>
      <c r="AG360" s="9"/>
      <c r="AH360" s="9"/>
      <c r="AI360" s="9"/>
      <c r="AJ360" s="9"/>
      <c r="AK360" s="9"/>
      <c r="AL360" s="9"/>
    </row>
    <row r="361" spans="1:38">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c r="AI361" s="10"/>
      <c r="AJ361" s="10"/>
      <c r="AK361" s="10"/>
      <c r="AL361" s="10"/>
    </row>
    <row r="362" spans="1:38">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c r="AI362" s="10"/>
      <c r="AJ362" s="10"/>
      <c r="AK362" s="10"/>
      <c r="AL362" s="10"/>
    </row>
    <row r="363" spans="1:38">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c r="AI363" s="10"/>
      <c r="AJ363" s="10"/>
      <c r="AK363" s="10"/>
      <c r="AL363" s="10"/>
    </row>
    <row r="364" spans="1:38">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c r="AI364" s="10"/>
      <c r="AJ364" s="10"/>
      <c r="AK364" s="10"/>
      <c r="AL364" s="10"/>
    </row>
    <row r="365" spans="1:38">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c r="AI365" s="10"/>
      <c r="AJ365" s="10"/>
      <c r="AK365" s="10"/>
      <c r="AL365" s="10"/>
    </row>
    <row r="366" spans="1:38">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c r="AI366" s="10"/>
      <c r="AJ366" s="10"/>
      <c r="AK366" s="10"/>
      <c r="AL366" s="10"/>
    </row>
    <row r="367" spans="1:38">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c r="AI367" s="10"/>
      <c r="AJ367" s="10"/>
      <c r="AK367" s="10"/>
      <c r="AL367" s="10"/>
    </row>
    <row r="368" spans="1:38">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c r="AI368" s="10"/>
      <c r="AJ368" s="10"/>
      <c r="AK368" s="10"/>
      <c r="AL368" s="10"/>
    </row>
    <row r="369" spans="1:38">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c r="AI369" s="10"/>
      <c r="AJ369" s="10"/>
      <c r="AK369" s="10"/>
      <c r="AL369" s="10"/>
    </row>
    <row r="370" spans="1:38">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c r="AI370" s="10"/>
      <c r="AJ370" s="10"/>
      <c r="AK370" s="10"/>
      <c r="AL370" s="10"/>
    </row>
    <row r="371" spans="1:38">
      <c r="A371" s="11"/>
      <c r="B371" s="11"/>
      <c r="C371" s="11"/>
      <c r="D371" s="11"/>
      <c r="E371" s="11"/>
      <c r="F371" s="11"/>
      <c r="G371" s="11"/>
      <c r="H371" s="11"/>
      <c r="I371" s="11"/>
      <c r="J371" s="11"/>
      <c r="K371" s="11"/>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row>
    <row r="395" spans="1:38">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c r="AB395" s="14"/>
      <c r="AC395" s="14"/>
      <c r="AD395" s="14"/>
      <c r="AE395" s="14"/>
      <c r="AF395" s="14"/>
      <c r="AG395" s="14"/>
      <c r="AH395" s="14"/>
      <c r="AI395" s="14"/>
      <c r="AJ395" s="14"/>
      <c r="AK395" s="14"/>
      <c r="AL395" s="14"/>
    </row>
    <row r="396" spans="1:38">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row>
    <row r="397" spans="1:38">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c r="AI397" s="10"/>
      <c r="AJ397" s="10"/>
      <c r="AK397" s="10"/>
      <c r="AL397" s="10"/>
    </row>
    <row r="398" spans="1:38">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c r="AI398" s="10"/>
      <c r="AJ398" s="10"/>
      <c r="AK398" s="10"/>
      <c r="AL398" s="10"/>
    </row>
    <row r="399" spans="1:38">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c r="AI399" s="10"/>
      <c r="AJ399" s="10"/>
      <c r="AK399" s="10"/>
      <c r="AL399" s="10"/>
    </row>
    <row r="400" spans="1:38">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c r="AI400" s="10"/>
      <c r="AJ400" s="10"/>
      <c r="AK400" s="10"/>
      <c r="AL400" s="10"/>
    </row>
    <row r="401" spans="1:38">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c r="AI401" s="10"/>
      <c r="AJ401" s="10"/>
      <c r="AK401" s="10"/>
      <c r="AL401" s="10"/>
    </row>
    <row r="402" spans="1:38">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c r="AI402" s="10"/>
      <c r="AJ402" s="10"/>
      <c r="AK402" s="10"/>
      <c r="AL402" s="10"/>
    </row>
    <row r="403" spans="1:38">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c r="AI403" s="10"/>
      <c r="AJ403" s="10"/>
      <c r="AK403" s="10"/>
      <c r="AL403" s="10"/>
    </row>
    <row r="404" spans="1:38">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c r="AI404" s="10"/>
      <c r="AJ404" s="10"/>
      <c r="AK404" s="10"/>
      <c r="AL404" s="10"/>
    </row>
    <row r="405" spans="1:38">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c r="AI405" s="10"/>
      <c r="AJ405" s="10"/>
      <c r="AK405" s="10"/>
      <c r="AL405" s="10"/>
    </row>
    <row r="406" spans="1:38">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c r="AI406" s="10"/>
      <c r="AJ406" s="10"/>
      <c r="AK406" s="10"/>
      <c r="AL406" s="10"/>
    </row>
    <row r="407" spans="1:38">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c r="AI407" s="10"/>
      <c r="AJ407" s="10"/>
      <c r="AK407" s="10"/>
      <c r="AL407" s="10"/>
    </row>
    <row r="408" spans="1:38">
      <c r="A408" s="11"/>
      <c r="B408" s="11"/>
      <c r="C408" s="11"/>
      <c r="D408" s="11"/>
      <c r="E408" s="11"/>
      <c r="F408" s="11"/>
      <c r="G408" s="11"/>
      <c r="H408" s="11"/>
      <c r="I408" s="11"/>
      <c r="J408" s="11"/>
      <c r="K408" s="11"/>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row>
    <row r="454" spans="1:38">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c r="AB454" s="14"/>
      <c r="AC454" s="14"/>
      <c r="AD454" s="14"/>
      <c r="AE454" s="14"/>
      <c r="AF454" s="14"/>
      <c r="AG454" s="14"/>
      <c r="AH454" s="14"/>
      <c r="AI454" s="14"/>
      <c r="AJ454" s="14"/>
      <c r="AK454" s="14"/>
      <c r="AL454" s="14"/>
    </row>
    <row r="455" spans="1:38">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9"/>
      <c r="AH455" s="9"/>
      <c r="AI455" s="9"/>
      <c r="AJ455" s="9"/>
      <c r="AK455" s="9"/>
      <c r="AL455" s="9"/>
    </row>
    <row r="456" spans="1:38">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c r="AI456" s="10"/>
      <c r="AJ456" s="10"/>
      <c r="AK456" s="10"/>
      <c r="AL456" s="10"/>
    </row>
    <row r="457" spans="1:38">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c r="AI457" s="10"/>
      <c r="AJ457" s="10"/>
      <c r="AK457" s="10"/>
      <c r="AL457" s="10"/>
    </row>
    <row r="458" spans="1:38">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c r="AI458" s="10"/>
      <c r="AJ458" s="10"/>
      <c r="AK458" s="10"/>
      <c r="AL458" s="10"/>
    </row>
    <row r="459" spans="1:38">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c r="AI459" s="10"/>
      <c r="AJ459" s="10"/>
      <c r="AK459" s="10"/>
      <c r="AL459" s="10"/>
    </row>
    <row r="460" spans="1:38">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c r="AI460" s="10"/>
      <c r="AJ460" s="10"/>
      <c r="AK460" s="10"/>
      <c r="AL460" s="10"/>
    </row>
    <row r="461" spans="1:38">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c r="AI461" s="10"/>
      <c r="AJ461" s="10"/>
      <c r="AK461" s="10"/>
      <c r="AL461" s="10"/>
    </row>
    <row r="462" spans="1:38">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c r="AI462" s="10"/>
      <c r="AJ462" s="10"/>
      <c r="AK462" s="10"/>
      <c r="AL462" s="10"/>
    </row>
    <row r="463" spans="1:38">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c r="AI463" s="10"/>
      <c r="AJ463" s="10"/>
      <c r="AK463" s="10"/>
      <c r="AL463" s="10"/>
    </row>
    <row r="464" spans="1:38">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c r="AI464" s="10"/>
      <c r="AJ464" s="10"/>
      <c r="AK464" s="10"/>
      <c r="AL464" s="10"/>
    </row>
    <row r="465" spans="1:38">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c r="AI465" s="10"/>
      <c r="AJ465" s="10"/>
      <c r="AK465" s="10"/>
      <c r="AL465" s="10"/>
    </row>
    <row r="467" spans="1:38">
      <c r="A467" s="11"/>
      <c r="B467" s="11"/>
      <c r="C467" s="11"/>
      <c r="D467" s="11"/>
      <c r="E467" s="11"/>
      <c r="F467" s="11"/>
      <c r="G467" s="11"/>
      <c r="H467" s="11"/>
      <c r="I467" s="11"/>
      <c r="J467" s="11"/>
      <c r="K467" s="11"/>
      <c r="L467" s="11"/>
      <c r="M467" s="11"/>
      <c r="N467" s="11"/>
      <c r="O467" s="11"/>
      <c r="P467" s="11"/>
      <c r="Q467" s="11"/>
      <c r="R467" s="11"/>
      <c r="S467" s="11"/>
      <c r="T467" s="11"/>
      <c r="U467" s="11"/>
      <c r="V467" s="11"/>
      <c r="W467" s="11"/>
      <c r="X467" s="11"/>
      <c r="Y467" s="11"/>
      <c r="Z467" s="11"/>
      <c r="AA467" s="11"/>
      <c r="AB467" s="11"/>
      <c r="AC467" s="11"/>
      <c r="AD467" s="11"/>
      <c r="AE467" s="11"/>
      <c r="AF467" s="11"/>
      <c r="AG467" s="11"/>
      <c r="AH467" s="11"/>
      <c r="AI467" s="11"/>
      <c r="AJ467" s="11"/>
      <c r="AK467" s="11"/>
      <c r="AL467" s="11"/>
    </row>
    <row r="510" spans="1:38">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c r="AB510" s="14"/>
      <c r="AC510" s="14"/>
      <c r="AD510" s="14"/>
      <c r="AE510" s="14"/>
      <c r="AF510" s="14"/>
      <c r="AG510" s="14"/>
      <c r="AH510" s="14"/>
      <c r="AI510" s="14"/>
      <c r="AJ510" s="14"/>
      <c r="AK510" s="14"/>
      <c r="AL510" s="14"/>
    </row>
    <row r="511" spans="1:38">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row>
    <row r="512" spans="1:38">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c r="AI512" s="10"/>
      <c r="AJ512" s="10"/>
      <c r="AK512" s="10"/>
      <c r="AL512" s="10"/>
    </row>
    <row r="513" spans="1:38">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c r="AI513" s="10"/>
      <c r="AJ513" s="10"/>
      <c r="AK513" s="10"/>
      <c r="AL513" s="10"/>
    </row>
    <row r="514" spans="1:38">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c r="AI514" s="10"/>
      <c r="AJ514" s="10"/>
      <c r="AK514" s="10"/>
      <c r="AL514" s="10"/>
    </row>
    <row r="515" spans="1:38">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c r="AI515" s="10"/>
      <c r="AJ515" s="10"/>
      <c r="AK515" s="10"/>
      <c r="AL515" s="10"/>
    </row>
    <row r="516" spans="1:38">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c r="AI516" s="10"/>
      <c r="AJ516" s="10"/>
      <c r="AK516" s="10"/>
      <c r="AL516" s="10"/>
    </row>
    <row r="517" spans="1:38">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c r="AI517" s="10"/>
      <c r="AJ517" s="10"/>
      <c r="AK517" s="10"/>
      <c r="AL517" s="10"/>
    </row>
    <row r="518" spans="1:38">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c r="AI518" s="10"/>
      <c r="AJ518" s="10"/>
      <c r="AK518" s="10"/>
      <c r="AL518" s="10"/>
    </row>
    <row r="519" spans="1:38">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c r="AI519" s="10"/>
      <c r="AJ519" s="10"/>
      <c r="AK519" s="10"/>
      <c r="AL519" s="10"/>
    </row>
    <row r="520" spans="1:38">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c r="AI520" s="10"/>
      <c r="AJ520" s="10"/>
      <c r="AK520" s="10"/>
      <c r="AL520" s="10"/>
    </row>
    <row r="521" spans="1:38">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c r="AI521" s="10"/>
      <c r="AJ521" s="10"/>
      <c r="AK521" s="10"/>
      <c r="AL521" s="10"/>
    </row>
    <row r="523" spans="1:38">
      <c r="A523" s="11"/>
      <c r="B523" s="11"/>
      <c r="C523" s="11"/>
      <c r="D523" s="11"/>
      <c r="E523" s="11"/>
      <c r="F523" s="11"/>
      <c r="G523" s="11"/>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row>
    <row r="549" spans="1:38">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c r="AB549" s="14"/>
      <c r="AC549" s="14"/>
      <c r="AD549" s="14"/>
      <c r="AE549" s="14"/>
      <c r="AF549" s="14"/>
      <c r="AG549" s="14"/>
      <c r="AH549" s="14"/>
      <c r="AI549" s="14"/>
      <c r="AJ549" s="14"/>
      <c r="AK549" s="14"/>
      <c r="AL549" s="14"/>
    </row>
    <row r="550" spans="1:38">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c r="AA550" s="9"/>
      <c r="AB550" s="9"/>
      <c r="AC550" s="9"/>
      <c r="AD550" s="9"/>
      <c r="AE550" s="9"/>
      <c r="AF550" s="9"/>
      <c r="AG550" s="9"/>
      <c r="AH550" s="9"/>
      <c r="AI550" s="9"/>
      <c r="AJ550" s="9"/>
      <c r="AK550" s="9"/>
      <c r="AL550" s="9"/>
    </row>
    <row r="551" spans="1:38">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c r="AI551" s="10"/>
      <c r="AJ551" s="10"/>
      <c r="AK551" s="10"/>
      <c r="AL551" s="10"/>
    </row>
    <row r="552" spans="1:38">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c r="AI552" s="10"/>
      <c r="AJ552" s="10"/>
      <c r="AK552" s="10"/>
      <c r="AL552" s="10"/>
    </row>
    <row r="553" spans="1:38">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c r="AI553" s="10"/>
      <c r="AJ553" s="10"/>
      <c r="AK553" s="10"/>
      <c r="AL553" s="10"/>
    </row>
    <row r="554" spans="1:38">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c r="AI554" s="10"/>
      <c r="AJ554" s="10"/>
      <c r="AK554" s="10"/>
      <c r="AL554" s="10"/>
    </row>
    <row r="555" spans="1:38">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c r="AI555" s="10"/>
      <c r="AJ555" s="10"/>
      <c r="AK555" s="10"/>
      <c r="AL555" s="10"/>
    </row>
    <row r="556" spans="1:38">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c r="AI556" s="10"/>
      <c r="AJ556" s="10"/>
      <c r="AK556" s="10"/>
      <c r="AL556" s="10"/>
    </row>
    <row r="557" spans="1:38">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c r="AI557" s="10"/>
      <c r="AJ557" s="10"/>
      <c r="AK557" s="10"/>
      <c r="AL557" s="10"/>
    </row>
    <row r="558" spans="1:38">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c r="AI558" s="10"/>
      <c r="AJ558" s="10"/>
      <c r="AK558" s="10"/>
      <c r="AL558" s="10"/>
    </row>
    <row r="559" spans="1:38">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row>
    <row r="560" spans="1:38">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c r="AI560" s="10"/>
      <c r="AJ560" s="10"/>
      <c r="AK560" s="10"/>
      <c r="AL560" s="10"/>
    </row>
    <row r="561" spans="1:38">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c r="AA561" s="9"/>
      <c r="AB561" s="9"/>
      <c r="AC561" s="9"/>
      <c r="AD561" s="9"/>
      <c r="AE561" s="9"/>
      <c r="AF561" s="9"/>
      <c r="AG561" s="9"/>
      <c r="AH561" s="9"/>
      <c r="AI561" s="9"/>
      <c r="AJ561" s="9"/>
      <c r="AK561" s="9"/>
      <c r="AL561" s="9"/>
    </row>
    <row r="562" spans="1:38">
      <c r="A562" s="11"/>
      <c r="B562" s="11"/>
      <c r="C562" s="11"/>
      <c r="D562" s="11"/>
      <c r="E562" s="11"/>
      <c r="F562" s="11"/>
      <c r="G562" s="11"/>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row>
    <row r="604" spans="1:38">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c r="AB604" s="14"/>
      <c r="AC604" s="14"/>
      <c r="AD604" s="14"/>
      <c r="AE604" s="14"/>
      <c r="AF604" s="14"/>
      <c r="AG604" s="14"/>
      <c r="AH604" s="14"/>
      <c r="AI604" s="14"/>
      <c r="AJ604" s="14"/>
      <c r="AK604" s="14"/>
      <c r="AL604" s="14"/>
    </row>
    <row r="605" spans="1:38">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c r="AA605" s="9"/>
      <c r="AB605" s="9"/>
      <c r="AC605" s="9"/>
      <c r="AD605" s="9"/>
      <c r="AE605" s="9"/>
      <c r="AF605" s="9"/>
      <c r="AG605" s="9"/>
      <c r="AH605" s="9"/>
      <c r="AI605" s="9"/>
      <c r="AJ605" s="9"/>
      <c r="AK605" s="9"/>
      <c r="AL605" s="9"/>
    </row>
    <row r="606" spans="1:38">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c r="AI606" s="10"/>
      <c r="AJ606" s="10"/>
      <c r="AK606" s="10"/>
      <c r="AL606" s="10"/>
    </row>
    <row r="607" spans="1:38">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c r="AI607" s="10"/>
      <c r="AJ607" s="10"/>
      <c r="AK607" s="10"/>
      <c r="AL607" s="10"/>
    </row>
    <row r="608" spans="1:38">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c r="AI608" s="10"/>
      <c r="AJ608" s="10"/>
      <c r="AK608" s="10"/>
      <c r="AL608" s="10"/>
    </row>
    <row r="609" spans="1:38">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c r="AI609" s="10"/>
      <c r="AJ609" s="10"/>
      <c r="AK609" s="10"/>
      <c r="AL609" s="10"/>
    </row>
    <row r="610" spans="1:38">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c r="AI610" s="10"/>
      <c r="AJ610" s="10"/>
      <c r="AK610" s="10"/>
      <c r="AL610" s="10"/>
    </row>
    <row r="611" spans="1:38">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c r="AI611" s="10"/>
      <c r="AJ611" s="10"/>
      <c r="AK611" s="10"/>
      <c r="AL611" s="10"/>
    </row>
    <row r="612" spans="1:38">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c r="AI612" s="10"/>
      <c r="AJ612" s="10"/>
      <c r="AK612" s="10"/>
      <c r="AL612" s="10"/>
    </row>
    <row r="613" spans="1:38">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c r="AI613" s="10"/>
      <c r="AJ613" s="10"/>
      <c r="AK613" s="10"/>
      <c r="AL613" s="10"/>
    </row>
    <row r="614" spans="1:38">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c r="AI614" s="10"/>
      <c r="AJ614" s="10"/>
      <c r="AK614" s="10"/>
      <c r="AL614" s="10"/>
    </row>
    <row r="615" spans="1:38">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c r="AI615" s="10"/>
      <c r="AJ615" s="10"/>
      <c r="AK615" s="10"/>
      <c r="AL615" s="10"/>
    </row>
    <row r="617" spans="1:38">
      <c r="A617" s="11"/>
      <c r="B617" s="11"/>
      <c r="C617" s="11"/>
      <c r="D617" s="11"/>
      <c r="E617" s="11"/>
      <c r="F617" s="11"/>
      <c r="G617" s="11"/>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row>
    <row r="634" spans="1:38">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c r="AB634" s="14"/>
      <c r="AC634" s="14"/>
      <c r="AD634" s="14"/>
      <c r="AE634" s="14"/>
      <c r="AF634" s="14"/>
      <c r="AG634" s="14"/>
      <c r="AH634" s="14"/>
      <c r="AI634" s="14"/>
      <c r="AJ634" s="14"/>
      <c r="AK634" s="14"/>
      <c r="AL634" s="14"/>
    </row>
    <row r="635" spans="1:38">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c r="AA635" s="9"/>
      <c r="AB635" s="9"/>
      <c r="AC635" s="9"/>
      <c r="AD635" s="9"/>
      <c r="AE635" s="9"/>
      <c r="AF635" s="9"/>
      <c r="AG635" s="9"/>
      <c r="AH635" s="9"/>
      <c r="AI635" s="9"/>
      <c r="AJ635" s="9"/>
      <c r="AK635" s="9"/>
      <c r="AL635" s="9"/>
    </row>
    <row r="636" spans="1:38">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c r="AI636" s="10"/>
      <c r="AJ636" s="10"/>
      <c r="AK636" s="10"/>
      <c r="AL636" s="10"/>
    </row>
    <row r="637" spans="1:38">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c r="AI637" s="10"/>
      <c r="AJ637" s="10"/>
      <c r="AK637" s="10"/>
      <c r="AL637" s="10"/>
    </row>
    <row r="638" spans="1:38">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c r="AI638" s="10"/>
      <c r="AJ638" s="10"/>
      <c r="AK638" s="10"/>
      <c r="AL638" s="10"/>
    </row>
    <row r="639" spans="1:38">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c r="AI639" s="10"/>
      <c r="AJ639" s="10"/>
      <c r="AK639" s="10"/>
      <c r="AL639" s="10"/>
    </row>
    <row r="640" spans="1:38">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c r="AI640" s="10"/>
      <c r="AJ640" s="10"/>
      <c r="AK640" s="10"/>
      <c r="AL640" s="10"/>
    </row>
    <row r="641" spans="1:38">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c r="AI641" s="10"/>
      <c r="AJ641" s="10"/>
      <c r="AK641" s="10"/>
      <c r="AL641" s="10"/>
    </row>
    <row r="642" spans="1:38">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c r="AI642" s="10"/>
      <c r="AJ642" s="10"/>
      <c r="AK642" s="10"/>
      <c r="AL642" s="10"/>
    </row>
    <row r="643" spans="1:38">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c r="AI643" s="10"/>
      <c r="AJ643" s="10"/>
      <c r="AK643" s="10"/>
      <c r="AL643" s="10"/>
    </row>
    <row r="644" spans="1:38">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c r="AI644" s="10"/>
      <c r="AJ644" s="10"/>
      <c r="AK644" s="10"/>
      <c r="AL644" s="10"/>
    </row>
    <row r="645" spans="1:38">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c r="AI645" s="10"/>
      <c r="AJ645" s="10"/>
      <c r="AK645" s="10"/>
      <c r="AL645" s="10"/>
    </row>
    <row r="647" spans="1:38">
      <c r="A647" s="11"/>
      <c r="B647" s="11"/>
      <c r="C647" s="11"/>
      <c r="D647" s="11"/>
      <c r="E647" s="11"/>
      <c r="F647" s="11"/>
      <c r="G647" s="11"/>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row>
    <row r="677" spans="1:38">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c r="AB677" s="14"/>
      <c r="AC677" s="14"/>
      <c r="AD677" s="14"/>
      <c r="AE677" s="14"/>
      <c r="AF677" s="14"/>
      <c r="AG677" s="14"/>
      <c r="AH677" s="14"/>
      <c r="AI677" s="14"/>
      <c r="AJ677" s="14"/>
      <c r="AK677" s="14"/>
      <c r="AL677" s="14"/>
    </row>
    <row r="678" spans="1:38">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c r="AA678" s="9"/>
      <c r="AB678" s="9"/>
      <c r="AC678" s="9"/>
      <c r="AD678" s="9"/>
      <c r="AE678" s="9"/>
      <c r="AF678" s="9"/>
      <c r="AG678" s="9"/>
      <c r="AH678" s="9"/>
      <c r="AI678" s="9"/>
      <c r="AJ678" s="9"/>
      <c r="AK678" s="9"/>
      <c r="AL678" s="9"/>
    </row>
    <row r="679" spans="1:38">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c r="AI679" s="10"/>
      <c r="AJ679" s="10"/>
      <c r="AK679" s="10"/>
      <c r="AL679" s="10"/>
    </row>
    <row r="680" spans="1:38">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c r="AI680" s="10"/>
      <c r="AJ680" s="10"/>
      <c r="AK680" s="10"/>
      <c r="AL680" s="10"/>
    </row>
    <row r="681" spans="1:38">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c r="AI681" s="10"/>
      <c r="AJ681" s="10"/>
      <c r="AK681" s="10"/>
      <c r="AL681" s="10"/>
    </row>
    <row r="682" spans="1:38">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c r="AI682" s="10"/>
      <c r="AJ682" s="10"/>
      <c r="AK682" s="10"/>
      <c r="AL682" s="10"/>
    </row>
    <row r="683" spans="1:38">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c r="AI683" s="10"/>
      <c r="AJ683" s="10"/>
      <c r="AK683" s="10"/>
      <c r="AL683" s="10"/>
    </row>
    <row r="684" spans="1:38">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c r="AI684" s="10"/>
      <c r="AJ684" s="10"/>
      <c r="AK684" s="10"/>
      <c r="AL684" s="10"/>
    </row>
    <row r="685" spans="1:38">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c r="AI685" s="10"/>
      <c r="AJ685" s="10"/>
      <c r="AK685" s="10"/>
      <c r="AL685" s="10"/>
    </row>
    <row r="686" spans="1:38">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c r="AI686" s="10"/>
      <c r="AJ686" s="10"/>
      <c r="AK686" s="10"/>
      <c r="AL686" s="10"/>
    </row>
    <row r="687" spans="1:38">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c r="AI687" s="10"/>
      <c r="AJ687" s="10"/>
      <c r="AK687" s="10"/>
      <c r="AL687" s="10"/>
    </row>
    <row r="688" spans="1:38">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c r="AI688" s="10"/>
      <c r="AJ688" s="10"/>
      <c r="AK688" s="10"/>
      <c r="AL688" s="10"/>
    </row>
    <row r="690" spans="1:38">
      <c r="A690" s="11"/>
      <c r="B690" s="11"/>
      <c r="C690" s="11"/>
      <c r="D690" s="11"/>
      <c r="E690" s="11"/>
      <c r="F690" s="11"/>
      <c r="G690" s="11"/>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row>
    <row r="722" spans="1:38">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c r="AB722" s="14"/>
      <c r="AC722" s="14"/>
      <c r="AD722" s="14"/>
      <c r="AE722" s="14"/>
      <c r="AF722" s="14"/>
      <c r="AG722" s="14"/>
      <c r="AH722" s="14"/>
      <c r="AI722" s="14"/>
      <c r="AJ722" s="14"/>
      <c r="AK722" s="14"/>
      <c r="AL722" s="14"/>
    </row>
    <row r="723" spans="1:38">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c r="AA723" s="9"/>
      <c r="AB723" s="9"/>
      <c r="AC723" s="9"/>
      <c r="AD723" s="9"/>
      <c r="AE723" s="9"/>
      <c r="AF723" s="9"/>
      <c r="AG723" s="9"/>
      <c r="AH723" s="9"/>
      <c r="AI723" s="9"/>
      <c r="AJ723" s="9"/>
      <c r="AK723" s="9"/>
      <c r="AL723" s="9"/>
    </row>
    <row r="724" spans="1:38">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c r="AI724" s="10"/>
      <c r="AJ724" s="10"/>
      <c r="AK724" s="10"/>
      <c r="AL724" s="10"/>
    </row>
    <row r="725" spans="1:38">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c r="AI725" s="10"/>
      <c r="AJ725" s="10"/>
      <c r="AK725" s="10"/>
      <c r="AL725" s="10"/>
    </row>
    <row r="726" spans="1:38">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c r="AI726" s="10"/>
      <c r="AJ726" s="10"/>
      <c r="AK726" s="10"/>
      <c r="AL726" s="10"/>
    </row>
    <row r="727" spans="1:38">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c r="AI727" s="10"/>
      <c r="AJ727" s="10"/>
      <c r="AK727" s="10"/>
      <c r="AL727" s="10"/>
    </row>
    <row r="728" spans="1:38">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c r="AI728" s="10"/>
      <c r="AJ728" s="10"/>
      <c r="AK728" s="10"/>
      <c r="AL728" s="10"/>
    </row>
    <row r="729" spans="1:38">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c r="AI729" s="10"/>
      <c r="AJ729" s="10"/>
      <c r="AK729" s="10"/>
      <c r="AL729" s="10"/>
    </row>
    <row r="730" spans="1:38">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c r="AI730" s="10"/>
      <c r="AJ730" s="10"/>
      <c r="AK730" s="10"/>
      <c r="AL730" s="10"/>
    </row>
    <row r="731" spans="1:38">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c r="AI731" s="10"/>
      <c r="AJ731" s="10"/>
      <c r="AK731" s="10"/>
      <c r="AL731" s="10"/>
    </row>
    <row r="732" spans="1:38">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c r="AI732" s="10"/>
      <c r="AJ732" s="10"/>
      <c r="AK732" s="10"/>
      <c r="AL732" s="10"/>
    </row>
    <row r="733" spans="1:38">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c r="AI733" s="10"/>
      <c r="AJ733" s="10"/>
      <c r="AK733" s="10"/>
      <c r="AL733" s="10"/>
    </row>
    <row r="734" spans="1:38">
      <c r="A734" s="11"/>
      <c r="B734" s="11"/>
      <c r="C734" s="11"/>
      <c r="D734" s="11"/>
      <c r="E734" s="11"/>
      <c r="F734" s="11"/>
      <c r="G734" s="11"/>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row>
    <row r="781" spans="1:38">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c r="AB781" s="14"/>
      <c r="AC781" s="14"/>
      <c r="AD781" s="14"/>
      <c r="AE781" s="14"/>
      <c r="AF781" s="14"/>
      <c r="AG781" s="14"/>
      <c r="AH781" s="14"/>
      <c r="AI781" s="14"/>
      <c r="AJ781" s="14"/>
      <c r="AK781" s="14"/>
      <c r="AL781" s="14"/>
    </row>
    <row r="782" spans="1:38">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c r="AA782" s="9"/>
      <c r="AB782" s="9"/>
      <c r="AC782" s="9"/>
      <c r="AD782" s="9"/>
      <c r="AE782" s="9"/>
      <c r="AF782" s="9"/>
      <c r="AG782" s="9"/>
      <c r="AH782" s="9"/>
      <c r="AI782" s="9"/>
      <c r="AJ782" s="9"/>
      <c r="AK782" s="9"/>
      <c r="AL782" s="9"/>
    </row>
    <row r="783" spans="1:38">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0"/>
      <c r="AH783" s="10"/>
      <c r="AI783" s="10"/>
      <c r="AJ783" s="10"/>
      <c r="AK783" s="10"/>
      <c r="AL783" s="10"/>
    </row>
    <row r="784" spans="1:38">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0"/>
      <c r="AH784" s="10"/>
      <c r="AI784" s="10"/>
      <c r="AJ784" s="10"/>
      <c r="AK784" s="10"/>
      <c r="AL784" s="10"/>
    </row>
    <row r="785" spans="1:38">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0"/>
      <c r="AH785" s="10"/>
      <c r="AI785" s="10"/>
      <c r="AJ785" s="10"/>
      <c r="AK785" s="10"/>
      <c r="AL785" s="10"/>
    </row>
    <row r="786" spans="1:38">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0"/>
      <c r="AH786" s="10"/>
      <c r="AI786" s="10"/>
      <c r="AJ786" s="10"/>
      <c r="AK786" s="10"/>
      <c r="AL786" s="10"/>
    </row>
    <row r="787" spans="1:38">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10"/>
      <c r="AH787" s="10"/>
      <c r="AI787" s="10"/>
      <c r="AJ787" s="10"/>
      <c r="AK787" s="10"/>
      <c r="AL787" s="10"/>
    </row>
    <row r="788" spans="1:38">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0"/>
      <c r="AH788" s="10"/>
      <c r="AI788" s="10"/>
      <c r="AJ788" s="10"/>
      <c r="AK788" s="10"/>
      <c r="AL788" s="10"/>
    </row>
    <row r="789" spans="1:38">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0"/>
      <c r="AH789" s="10"/>
      <c r="AI789" s="10"/>
      <c r="AJ789" s="10"/>
      <c r="AK789" s="10"/>
      <c r="AL789" s="10"/>
    </row>
    <row r="790" spans="1:38">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0"/>
      <c r="AH790" s="10"/>
      <c r="AI790" s="10"/>
      <c r="AJ790" s="10"/>
      <c r="AK790" s="10"/>
      <c r="AL790" s="10"/>
    </row>
    <row r="791" spans="1:38">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0"/>
      <c r="AH791" s="10"/>
      <c r="AI791" s="10"/>
      <c r="AJ791" s="10"/>
      <c r="AK791" s="10"/>
      <c r="AL791" s="10"/>
    </row>
    <row r="792" spans="1:38">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0"/>
      <c r="AH792" s="10"/>
      <c r="AI792" s="10"/>
      <c r="AJ792" s="10"/>
      <c r="AK792" s="10"/>
      <c r="AL792" s="10"/>
    </row>
    <row r="793" spans="1:38">
      <c r="A793" s="11"/>
      <c r="B793" s="11"/>
      <c r="C793" s="11"/>
      <c r="D793" s="11"/>
      <c r="E793" s="11"/>
      <c r="F793" s="11"/>
      <c r="G793" s="11"/>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row>
    <row r="804" spans="1:38">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c r="AB804" s="14"/>
      <c r="AC804" s="14"/>
      <c r="AD804" s="14"/>
      <c r="AE804" s="14"/>
      <c r="AF804" s="14"/>
      <c r="AG804" s="14"/>
      <c r="AH804" s="14"/>
      <c r="AI804" s="14"/>
      <c r="AJ804" s="14"/>
      <c r="AK804" s="14"/>
      <c r="AL804" s="14"/>
    </row>
    <row r="805" spans="1:38">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c r="AA805" s="9"/>
      <c r="AB805" s="9"/>
      <c r="AC805" s="9"/>
      <c r="AD805" s="9"/>
      <c r="AE805" s="9"/>
      <c r="AF805" s="9"/>
      <c r="AG805" s="9"/>
      <c r="AH805" s="9"/>
      <c r="AI805" s="9"/>
      <c r="AJ805" s="9"/>
      <c r="AK805" s="9"/>
      <c r="AL805" s="9"/>
    </row>
    <row r="806" spans="1:38">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0"/>
      <c r="AH806" s="10"/>
      <c r="AI806" s="10"/>
      <c r="AJ806" s="10"/>
      <c r="AK806" s="10"/>
      <c r="AL806" s="10"/>
    </row>
    <row r="807" spans="1:38">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10"/>
      <c r="AH807" s="10"/>
      <c r="AI807" s="10"/>
      <c r="AJ807" s="10"/>
      <c r="AK807" s="10"/>
      <c r="AL807" s="10"/>
    </row>
    <row r="808" spans="1:38">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0"/>
      <c r="AH808" s="10"/>
      <c r="AI808" s="10"/>
      <c r="AJ808" s="10"/>
      <c r="AK808" s="10"/>
      <c r="AL808" s="10"/>
    </row>
    <row r="809" spans="1:38">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0"/>
      <c r="AH809" s="10"/>
      <c r="AI809" s="10"/>
      <c r="AJ809" s="10"/>
      <c r="AK809" s="10"/>
      <c r="AL809" s="10"/>
    </row>
    <row r="810" spans="1:38">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0"/>
      <c r="AH810" s="10"/>
      <c r="AI810" s="10"/>
      <c r="AJ810" s="10"/>
      <c r="AK810" s="10"/>
      <c r="AL810" s="10"/>
    </row>
    <row r="811" spans="1:38">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0"/>
      <c r="AH811" s="10"/>
      <c r="AI811" s="10"/>
      <c r="AJ811" s="10"/>
      <c r="AK811" s="10"/>
      <c r="AL811" s="10"/>
    </row>
    <row r="812" spans="1:38">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0"/>
      <c r="AH812" s="10"/>
      <c r="AI812" s="10"/>
      <c r="AJ812" s="10"/>
      <c r="AK812" s="10"/>
      <c r="AL812" s="10"/>
    </row>
    <row r="813" spans="1:38">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0"/>
      <c r="AH813" s="10"/>
      <c r="AI813" s="10"/>
      <c r="AJ813" s="10"/>
      <c r="AK813" s="10"/>
      <c r="AL813" s="10"/>
    </row>
    <row r="814" spans="1:38">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0"/>
      <c r="AH814" s="10"/>
      <c r="AI814" s="10"/>
      <c r="AJ814" s="10"/>
      <c r="AK814" s="10"/>
      <c r="AL814" s="10"/>
    </row>
    <row r="815" spans="1:38">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0"/>
      <c r="AH815" s="10"/>
      <c r="AI815" s="10"/>
      <c r="AJ815" s="10"/>
      <c r="AK815" s="10"/>
      <c r="AL815" s="10"/>
    </row>
    <row r="816" spans="1:38">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c r="AA816" s="9"/>
      <c r="AB816" s="9"/>
      <c r="AC816" s="9"/>
      <c r="AD816" s="9"/>
      <c r="AE816" s="9"/>
      <c r="AF816" s="9"/>
      <c r="AG816" s="9"/>
      <c r="AH816" s="9"/>
      <c r="AI816" s="9"/>
      <c r="AJ816" s="9"/>
      <c r="AK816" s="9"/>
      <c r="AL816" s="9"/>
    </row>
    <row r="817" spans="1:38">
      <c r="A817" s="11"/>
      <c r="B817" s="11"/>
      <c r="C817" s="11"/>
      <c r="D817" s="11"/>
      <c r="E817" s="11"/>
      <c r="F817" s="11"/>
      <c r="G817" s="11"/>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row>
    <row r="849" spans="1:38">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c r="AB849" s="14"/>
      <c r="AC849" s="14"/>
      <c r="AD849" s="14"/>
      <c r="AE849" s="14"/>
      <c r="AF849" s="14"/>
      <c r="AG849" s="14"/>
      <c r="AH849" s="14"/>
      <c r="AI849" s="14"/>
      <c r="AJ849" s="14"/>
      <c r="AK849" s="14"/>
      <c r="AL849" s="14"/>
    </row>
    <row r="850" spans="1:38">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c r="AA850" s="9"/>
      <c r="AB850" s="9"/>
      <c r="AC850" s="9"/>
      <c r="AD850" s="9"/>
      <c r="AE850" s="9"/>
      <c r="AF850" s="9"/>
      <c r="AG850" s="9"/>
      <c r="AH850" s="9"/>
      <c r="AI850" s="9"/>
      <c r="AJ850" s="9"/>
      <c r="AK850" s="9"/>
      <c r="AL850" s="9"/>
    </row>
    <row r="851" spans="1:38">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0"/>
      <c r="AH851" s="10"/>
      <c r="AI851" s="10"/>
      <c r="AJ851" s="10"/>
      <c r="AK851" s="10"/>
      <c r="AL851" s="10"/>
    </row>
    <row r="852" spans="1:38">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0"/>
      <c r="AH852" s="10"/>
      <c r="AI852" s="10"/>
      <c r="AJ852" s="10"/>
      <c r="AK852" s="10"/>
      <c r="AL852" s="10"/>
    </row>
    <row r="853" spans="1:38">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10"/>
      <c r="AH853" s="10"/>
      <c r="AI853" s="10"/>
      <c r="AJ853" s="10"/>
      <c r="AK853" s="10"/>
      <c r="AL853" s="10"/>
    </row>
    <row r="854" spans="1:38">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0"/>
      <c r="AH854" s="10"/>
      <c r="AI854" s="10"/>
      <c r="AJ854" s="10"/>
      <c r="AK854" s="10"/>
      <c r="AL854" s="10"/>
    </row>
    <row r="855" spans="1:38">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0"/>
      <c r="AH855" s="10"/>
      <c r="AI855" s="10"/>
      <c r="AJ855" s="10"/>
      <c r="AK855" s="10"/>
      <c r="AL855" s="10"/>
    </row>
    <row r="856" spans="1:38">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0"/>
      <c r="AH856" s="10"/>
      <c r="AI856" s="10"/>
      <c r="AJ856" s="10"/>
      <c r="AK856" s="10"/>
      <c r="AL856" s="10"/>
    </row>
    <row r="857" spans="1:38">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0"/>
      <c r="AH857" s="10"/>
      <c r="AI857" s="10"/>
      <c r="AJ857" s="10"/>
      <c r="AK857" s="10"/>
      <c r="AL857" s="10"/>
    </row>
    <row r="858" spans="1:38">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0"/>
      <c r="AH858" s="10"/>
      <c r="AI858" s="10"/>
      <c r="AJ858" s="10"/>
      <c r="AK858" s="10"/>
      <c r="AL858" s="10"/>
    </row>
    <row r="859" spans="1:38">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0"/>
      <c r="AH859" s="10"/>
      <c r="AI859" s="10"/>
      <c r="AJ859" s="10"/>
      <c r="AK859" s="10"/>
      <c r="AL859" s="10"/>
    </row>
    <row r="860" spans="1:38">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0"/>
      <c r="AH860" s="10"/>
      <c r="AI860" s="10"/>
      <c r="AJ860" s="10"/>
      <c r="AK860" s="10"/>
      <c r="AL860" s="10"/>
    </row>
    <row r="862" spans="1:38">
      <c r="A862" s="11"/>
      <c r="B862" s="11"/>
      <c r="C862" s="11"/>
      <c r="D862" s="11"/>
      <c r="E862" s="11"/>
      <c r="F862" s="11"/>
      <c r="G862" s="11"/>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row>
    <row r="916" spans="1:38">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c r="AB916" s="14"/>
      <c r="AC916" s="14"/>
      <c r="AD916" s="14"/>
      <c r="AE916" s="14"/>
      <c r="AF916" s="14"/>
      <c r="AG916" s="14"/>
      <c r="AH916" s="14"/>
      <c r="AI916" s="14"/>
      <c r="AJ916" s="14"/>
      <c r="AK916" s="14"/>
      <c r="AL916" s="14"/>
    </row>
    <row r="917" spans="1:38">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c r="AA917" s="9"/>
      <c r="AB917" s="9"/>
      <c r="AC917" s="9"/>
      <c r="AD917" s="9"/>
      <c r="AE917" s="9"/>
      <c r="AF917" s="9"/>
      <c r="AG917" s="9"/>
      <c r="AH917" s="9"/>
      <c r="AI917" s="9"/>
      <c r="AJ917" s="9"/>
      <c r="AK917" s="9"/>
      <c r="AL917" s="9"/>
    </row>
    <row r="918" spans="1:38">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0"/>
      <c r="AH918" s="10"/>
      <c r="AI918" s="10"/>
      <c r="AJ918" s="10"/>
      <c r="AK918" s="10"/>
      <c r="AL918" s="10"/>
    </row>
    <row r="919" spans="1:38">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0"/>
      <c r="AH919" s="10"/>
      <c r="AI919" s="10"/>
      <c r="AJ919" s="10"/>
      <c r="AK919" s="10"/>
      <c r="AL919" s="10"/>
    </row>
    <row r="920" spans="1:38">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c r="AA920" s="10"/>
      <c r="AB920" s="10"/>
      <c r="AC920" s="10"/>
      <c r="AD920" s="10"/>
      <c r="AE920" s="10"/>
      <c r="AF920" s="10"/>
      <c r="AG920" s="10"/>
      <c r="AH920" s="10"/>
      <c r="AI920" s="10"/>
      <c r="AJ920" s="10"/>
      <c r="AK920" s="10"/>
      <c r="AL920" s="10"/>
    </row>
    <row r="921" spans="1:38">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c r="AA921" s="10"/>
      <c r="AB921" s="10"/>
      <c r="AC921" s="10"/>
      <c r="AD921" s="10"/>
      <c r="AE921" s="10"/>
      <c r="AF921" s="10"/>
      <c r="AG921" s="10"/>
      <c r="AH921" s="10"/>
      <c r="AI921" s="10"/>
      <c r="AJ921" s="10"/>
      <c r="AK921" s="10"/>
      <c r="AL921" s="10"/>
    </row>
    <row r="922" spans="1:38">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0"/>
      <c r="AH922" s="10"/>
      <c r="AI922" s="10"/>
      <c r="AJ922" s="10"/>
      <c r="AK922" s="10"/>
      <c r="AL922" s="10"/>
    </row>
    <row r="923" spans="1:38">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0"/>
      <c r="AH923" s="10"/>
      <c r="AI923" s="10"/>
      <c r="AJ923" s="10"/>
      <c r="AK923" s="10"/>
      <c r="AL923" s="10"/>
    </row>
    <row r="924" spans="1:38">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0"/>
      <c r="AH924" s="10"/>
      <c r="AI924" s="10"/>
      <c r="AJ924" s="10"/>
      <c r="AK924" s="10"/>
      <c r="AL924" s="10"/>
    </row>
    <row r="925" spans="1:38">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0"/>
      <c r="AH925" s="10"/>
      <c r="AI925" s="10"/>
      <c r="AJ925" s="10"/>
      <c r="AK925" s="10"/>
      <c r="AL925" s="10"/>
    </row>
    <row r="926" spans="1:38">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0"/>
      <c r="AH926" s="10"/>
      <c r="AI926" s="10"/>
      <c r="AJ926" s="10"/>
      <c r="AK926" s="10"/>
      <c r="AL926" s="10"/>
    </row>
    <row r="927" spans="1:38">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0"/>
      <c r="AH927" s="10"/>
      <c r="AI927" s="10"/>
      <c r="AJ927" s="10"/>
      <c r="AK927" s="10"/>
      <c r="AL927" s="10"/>
    </row>
    <row r="928" spans="1:38">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c r="AA928" s="9"/>
      <c r="AB928" s="9"/>
      <c r="AC928" s="9"/>
      <c r="AD928" s="9"/>
      <c r="AE928" s="9"/>
      <c r="AF928" s="9"/>
      <c r="AG928" s="9"/>
      <c r="AH928" s="9"/>
      <c r="AI928" s="9"/>
      <c r="AJ928" s="9"/>
      <c r="AK928" s="9"/>
      <c r="AL928" s="9"/>
    </row>
    <row r="929" spans="1:38">
      <c r="A929" s="11"/>
      <c r="B929" s="11"/>
      <c r="C929" s="11"/>
      <c r="D929" s="11"/>
      <c r="E929" s="11"/>
      <c r="F929" s="11"/>
      <c r="G929" s="11"/>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row>
    <row r="951" spans="1:38">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c r="AB951" s="14"/>
      <c r="AC951" s="14"/>
      <c r="AD951" s="14"/>
      <c r="AE951" s="14"/>
      <c r="AF951" s="14"/>
      <c r="AG951" s="14"/>
      <c r="AH951" s="14"/>
      <c r="AI951" s="14"/>
      <c r="AJ951" s="14"/>
      <c r="AK951" s="14"/>
      <c r="AL951" s="14"/>
    </row>
    <row r="952" spans="1:38">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c r="AA952" s="9"/>
      <c r="AB952" s="9"/>
      <c r="AC952" s="9"/>
      <c r="AD952" s="9"/>
      <c r="AE952" s="9"/>
      <c r="AF952" s="9"/>
      <c r="AG952" s="9"/>
      <c r="AH952" s="9"/>
      <c r="AI952" s="9"/>
      <c r="AJ952" s="9"/>
      <c r="AK952" s="9"/>
      <c r="AL952" s="9"/>
    </row>
    <row r="953" spans="1:38">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0"/>
      <c r="AH953" s="10"/>
      <c r="AI953" s="10"/>
      <c r="AJ953" s="10"/>
      <c r="AK953" s="10"/>
      <c r="AL953" s="10"/>
    </row>
    <row r="954" spans="1:38">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0"/>
      <c r="AH954" s="10"/>
      <c r="AI954" s="10"/>
      <c r="AJ954" s="10"/>
      <c r="AK954" s="10"/>
      <c r="AL954" s="10"/>
    </row>
    <row r="955" spans="1:38">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0"/>
      <c r="AH955" s="10"/>
      <c r="AI955" s="10"/>
      <c r="AJ955" s="10"/>
      <c r="AK955" s="10"/>
      <c r="AL955" s="10"/>
    </row>
    <row r="956" spans="1:38">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0"/>
      <c r="AH956" s="10"/>
      <c r="AI956" s="10"/>
      <c r="AJ956" s="10"/>
      <c r="AK956" s="10"/>
      <c r="AL956" s="10"/>
    </row>
    <row r="957" spans="1:38">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row>
    <row r="958" spans="1:38">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0"/>
      <c r="AH958" s="10"/>
      <c r="AI958" s="10"/>
      <c r="AJ958" s="10"/>
      <c r="AK958" s="10"/>
      <c r="AL958" s="10"/>
    </row>
    <row r="959" spans="1:38">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0"/>
      <c r="AH959" s="10"/>
      <c r="AI959" s="10"/>
      <c r="AJ959" s="10"/>
      <c r="AK959" s="10"/>
      <c r="AL959" s="10"/>
    </row>
    <row r="960" spans="1:38">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0"/>
      <c r="AH960" s="10"/>
      <c r="AI960" s="10"/>
      <c r="AJ960" s="10"/>
      <c r="AK960" s="10"/>
      <c r="AL960" s="10"/>
    </row>
    <row r="961" spans="1:38">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0"/>
      <c r="AH961" s="10"/>
      <c r="AI961" s="10"/>
      <c r="AJ961" s="10"/>
      <c r="AK961" s="10"/>
      <c r="AL961" s="10"/>
    </row>
    <row r="962" spans="1:38">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0"/>
      <c r="AH962" s="10"/>
      <c r="AI962" s="10"/>
      <c r="AJ962" s="10"/>
      <c r="AK962" s="10"/>
      <c r="AL962" s="10"/>
    </row>
    <row r="963" spans="1:38">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c r="AA963" s="9"/>
      <c r="AB963" s="9"/>
      <c r="AC963" s="9"/>
      <c r="AD963" s="9"/>
      <c r="AE963" s="9"/>
      <c r="AF963" s="9"/>
      <c r="AG963" s="9"/>
      <c r="AH963" s="9"/>
      <c r="AI963" s="9"/>
      <c r="AJ963" s="9"/>
      <c r="AK963" s="9"/>
      <c r="AL963" s="9"/>
    </row>
    <row r="964" spans="1:38">
      <c r="A964" s="11"/>
      <c r="B964" s="11"/>
      <c r="C964" s="11"/>
      <c r="D964" s="11"/>
      <c r="E964" s="11"/>
      <c r="F964" s="11"/>
      <c r="G964" s="11"/>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row>
    <row r="995" spans="1:38">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c r="AB995" s="14"/>
      <c r="AC995" s="14"/>
      <c r="AD995" s="14"/>
      <c r="AE995" s="14"/>
      <c r="AF995" s="14"/>
      <c r="AG995" s="14"/>
      <c r="AH995" s="14"/>
      <c r="AI995" s="14"/>
      <c r="AJ995" s="14"/>
      <c r="AK995" s="14"/>
      <c r="AL995" s="14"/>
    </row>
    <row r="996" spans="1:38">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c r="AA996" s="9"/>
      <c r="AB996" s="9"/>
      <c r="AC996" s="9"/>
      <c r="AD996" s="9"/>
      <c r="AE996" s="9"/>
      <c r="AF996" s="9"/>
      <c r="AG996" s="9"/>
      <c r="AH996" s="9"/>
      <c r="AI996" s="9"/>
      <c r="AJ996" s="9"/>
      <c r="AK996" s="9"/>
      <c r="AL996" s="9"/>
    </row>
    <row r="997" spans="1:38">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0"/>
      <c r="AH997" s="10"/>
      <c r="AI997" s="10"/>
      <c r="AJ997" s="10"/>
      <c r="AK997" s="10"/>
      <c r="AL997" s="10"/>
    </row>
    <row r="998" spans="1:38">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c r="AA998" s="10"/>
      <c r="AB998" s="10"/>
      <c r="AC998" s="10"/>
      <c r="AD998" s="10"/>
      <c r="AE998" s="10"/>
      <c r="AF998" s="10"/>
      <c r="AG998" s="10"/>
      <c r="AH998" s="10"/>
      <c r="AI998" s="10"/>
      <c r="AJ998" s="10"/>
      <c r="AK998" s="10"/>
      <c r="AL998" s="10"/>
    </row>
    <row r="999" spans="1:38">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0"/>
      <c r="AH999" s="10"/>
      <c r="AI999" s="10"/>
      <c r="AJ999" s="10"/>
      <c r="AK999" s="10"/>
      <c r="AL999" s="10"/>
    </row>
    <row r="1000" spans="1:38">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c r="AL1000" s="10"/>
    </row>
    <row r="1001" spans="1:38">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c r="AL1001" s="10"/>
    </row>
    <row r="1002" spans="1:38">
      <c r="A1002" s="10"/>
      <c r="B1002" s="10"/>
      <c r="C1002" s="10"/>
      <c r="D1002" s="10"/>
      <c r="E1002" s="10"/>
      <c r="F1002" s="10"/>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c r="AL1002" s="10"/>
    </row>
    <row r="1003" spans="1:38">
      <c r="A1003" s="10"/>
      <c r="B1003" s="10"/>
      <c r="C1003" s="10"/>
      <c r="D1003" s="10"/>
      <c r="E1003" s="10"/>
      <c r="F1003" s="10"/>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c r="AL1003" s="10"/>
    </row>
    <row r="1004" spans="1:38">
      <c r="A1004" s="10"/>
      <c r="B1004" s="10"/>
      <c r="C1004" s="10"/>
      <c r="D1004" s="10"/>
      <c r="E1004" s="10"/>
      <c r="F1004" s="10"/>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c r="AL1004" s="10"/>
    </row>
    <row r="1005" spans="1:38">
      <c r="A1005" s="10"/>
      <c r="B1005" s="10"/>
      <c r="C1005" s="10"/>
      <c r="D1005" s="10"/>
      <c r="E1005" s="10"/>
      <c r="F1005" s="10"/>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c r="AL1005" s="10"/>
    </row>
    <row r="1006" spans="1:38">
      <c r="A1006" s="10"/>
      <c r="B1006" s="10"/>
      <c r="C1006" s="10"/>
      <c r="D1006" s="10"/>
      <c r="E1006" s="10"/>
      <c r="F1006" s="10"/>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c r="AL1006" s="10"/>
    </row>
    <row r="1008" spans="1:38">
      <c r="A1008" s="11"/>
      <c r="B1008" s="11"/>
      <c r="C1008" s="11"/>
      <c r="D1008" s="11"/>
      <c r="E1008" s="11"/>
      <c r="F1008" s="11"/>
      <c r="G1008" s="11"/>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row>
    <row r="1022" spans="1:38">
      <c r="A1022" s="14"/>
      <c r="B1022" s="14"/>
      <c r="C1022" s="14"/>
      <c r="D1022" s="14"/>
      <c r="E1022" s="14"/>
      <c r="F1022" s="14"/>
      <c r="G1022" s="14"/>
      <c r="H1022" s="14"/>
      <c r="I1022" s="14"/>
      <c r="J1022" s="14"/>
      <c r="K1022" s="14"/>
      <c r="L1022" s="14"/>
      <c r="M1022" s="14"/>
      <c r="N1022" s="14"/>
      <c r="O1022" s="14"/>
      <c r="P1022" s="14"/>
      <c r="Q1022" s="14"/>
      <c r="R1022" s="14"/>
      <c r="S1022" s="14"/>
      <c r="T1022" s="14"/>
      <c r="U1022" s="14"/>
      <c r="V1022" s="14"/>
      <c r="W1022" s="14"/>
      <c r="X1022" s="14"/>
      <c r="Y1022" s="14"/>
      <c r="Z1022" s="14"/>
      <c r="AA1022" s="14"/>
      <c r="AB1022" s="14"/>
      <c r="AC1022" s="14"/>
      <c r="AD1022" s="14"/>
      <c r="AE1022" s="14"/>
      <c r="AF1022" s="14"/>
      <c r="AG1022" s="14"/>
      <c r="AH1022" s="14"/>
      <c r="AI1022" s="14"/>
      <c r="AJ1022" s="14"/>
      <c r="AK1022" s="14"/>
      <c r="AL1022" s="14"/>
    </row>
    <row r="1023" spans="1:38">
      <c r="A1023" s="9"/>
      <c r="B1023" s="9"/>
      <c r="C1023" s="9"/>
      <c r="D1023" s="9"/>
      <c r="E1023" s="9"/>
      <c r="F1023" s="9"/>
      <c r="G1023" s="9"/>
      <c r="H1023" s="9"/>
      <c r="I1023" s="9"/>
      <c r="J1023" s="9"/>
      <c r="K1023" s="9"/>
      <c r="L1023" s="9"/>
      <c r="M1023" s="9"/>
      <c r="N1023" s="9"/>
      <c r="O1023" s="9"/>
      <c r="P1023" s="9"/>
      <c r="Q1023" s="9"/>
      <c r="R1023" s="9"/>
      <c r="S1023" s="9"/>
      <c r="T1023" s="9"/>
      <c r="U1023" s="9"/>
      <c r="V1023" s="9"/>
      <c r="W1023" s="9"/>
      <c r="X1023" s="9"/>
      <c r="Y1023" s="9"/>
      <c r="Z1023" s="9"/>
      <c r="AA1023" s="9"/>
      <c r="AB1023" s="9"/>
      <c r="AC1023" s="9"/>
      <c r="AD1023" s="9"/>
      <c r="AE1023" s="9"/>
      <c r="AF1023" s="9"/>
      <c r="AG1023" s="9"/>
      <c r="AH1023" s="9"/>
      <c r="AI1023" s="9"/>
      <c r="AJ1023" s="9"/>
      <c r="AK1023" s="9"/>
      <c r="AL1023" s="9"/>
    </row>
    <row r="1024" spans="1:38">
      <c r="A1024" s="10"/>
      <c r="B1024" s="10"/>
      <c r="C1024" s="10"/>
      <c r="D1024" s="10"/>
      <c r="E1024" s="10"/>
      <c r="F1024" s="10"/>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0"/>
      <c r="AH1024" s="10"/>
      <c r="AI1024" s="10"/>
      <c r="AJ1024" s="10"/>
      <c r="AK1024" s="10"/>
      <c r="AL1024" s="10"/>
    </row>
    <row r="1025" spans="1:38">
      <c r="A1025" s="10"/>
      <c r="B1025" s="10"/>
      <c r="C1025" s="10"/>
      <c r="D1025" s="10"/>
      <c r="E1025" s="10"/>
      <c r="F1025" s="10"/>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0"/>
      <c r="AH1025" s="10"/>
      <c r="AI1025" s="10"/>
      <c r="AJ1025" s="10"/>
      <c r="AK1025" s="10"/>
      <c r="AL1025" s="10"/>
    </row>
    <row r="1026" spans="1:38">
      <c r="A1026" s="10"/>
      <c r="B1026" s="10"/>
      <c r="C1026" s="10"/>
      <c r="D1026" s="10"/>
      <c r="E1026" s="10"/>
      <c r="F1026" s="10"/>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0"/>
      <c r="AH1026" s="10"/>
      <c r="AI1026" s="10"/>
      <c r="AJ1026" s="10"/>
      <c r="AK1026" s="10"/>
      <c r="AL1026" s="10"/>
    </row>
    <row r="1027" spans="1:38">
      <c r="A1027" s="10"/>
      <c r="B1027" s="10"/>
      <c r="C1027" s="10"/>
      <c r="D1027" s="10"/>
      <c r="E1027" s="10"/>
      <c r="F1027" s="10"/>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0"/>
      <c r="AH1027" s="10"/>
      <c r="AI1027" s="10"/>
      <c r="AJ1027" s="10"/>
      <c r="AK1027" s="10"/>
      <c r="AL1027" s="10"/>
    </row>
    <row r="1028" spans="1:38">
      <c r="A1028" s="10"/>
      <c r="B1028" s="10"/>
      <c r="C1028" s="10"/>
      <c r="D1028" s="10"/>
      <c r="E1028" s="10"/>
      <c r="F1028" s="10"/>
      <c r="G1028" s="10"/>
      <c r="H1028" s="10"/>
      <c r="I1028" s="10"/>
      <c r="J1028" s="10"/>
      <c r="K1028" s="10"/>
      <c r="L1028" s="10"/>
      <c r="M1028" s="10"/>
      <c r="N1028" s="10"/>
      <c r="O1028" s="10"/>
      <c r="P1028" s="10"/>
      <c r="Q1028" s="10"/>
      <c r="R1028" s="10"/>
      <c r="S1028" s="10"/>
      <c r="T1028" s="10"/>
      <c r="U1028" s="10"/>
      <c r="V1028" s="10"/>
      <c r="W1028" s="10"/>
      <c r="X1028" s="10"/>
      <c r="Y1028" s="10"/>
      <c r="Z1028" s="10"/>
      <c r="AA1028" s="10"/>
      <c r="AB1028" s="10"/>
      <c r="AC1028" s="10"/>
      <c r="AD1028" s="10"/>
      <c r="AE1028" s="10"/>
      <c r="AF1028" s="10"/>
      <c r="AG1028" s="10"/>
      <c r="AH1028" s="10"/>
      <c r="AI1028" s="10"/>
      <c r="AJ1028" s="10"/>
      <c r="AK1028" s="10"/>
      <c r="AL1028" s="10"/>
    </row>
    <row r="1029" spans="1:38">
      <c r="A1029" s="10"/>
      <c r="B1029" s="10"/>
      <c r="C1029" s="10"/>
      <c r="D1029" s="10"/>
      <c r="E1029" s="10"/>
      <c r="F1029" s="10"/>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0"/>
      <c r="AH1029" s="10"/>
      <c r="AI1029" s="10"/>
      <c r="AJ1029" s="10"/>
      <c r="AK1029" s="10"/>
      <c r="AL1029" s="10"/>
    </row>
    <row r="1030" spans="1:38">
      <c r="A1030" s="10"/>
      <c r="B1030" s="10"/>
      <c r="C1030" s="10"/>
      <c r="D1030" s="10"/>
      <c r="E1030" s="10"/>
      <c r="F1030" s="10"/>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0"/>
      <c r="AH1030" s="10"/>
      <c r="AI1030" s="10"/>
      <c r="AJ1030" s="10"/>
      <c r="AK1030" s="10"/>
      <c r="AL1030" s="10"/>
    </row>
    <row r="1031" spans="1:38">
      <c r="A1031" s="10"/>
      <c r="B1031" s="10"/>
      <c r="C1031" s="10"/>
      <c r="D1031" s="10"/>
      <c r="E1031" s="10"/>
      <c r="F1031" s="10"/>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0"/>
      <c r="AH1031" s="10"/>
      <c r="AI1031" s="10"/>
      <c r="AJ1031" s="10"/>
      <c r="AK1031" s="10"/>
      <c r="AL1031" s="10"/>
    </row>
    <row r="1032" spans="1:38">
      <c r="A1032" s="10"/>
      <c r="B1032" s="10"/>
      <c r="C1032" s="10"/>
      <c r="D1032" s="10"/>
      <c r="E1032" s="10"/>
      <c r="F1032" s="10"/>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0"/>
      <c r="AH1032" s="10"/>
      <c r="AI1032" s="10"/>
      <c r="AJ1032" s="10"/>
      <c r="AK1032" s="10"/>
      <c r="AL1032" s="10"/>
    </row>
    <row r="1033" spans="1:38">
      <c r="A1033" s="10"/>
      <c r="B1033" s="10"/>
      <c r="C1033" s="10"/>
      <c r="D1033" s="10"/>
      <c r="E1033" s="10"/>
      <c r="F1033" s="10"/>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0"/>
      <c r="AH1033" s="10"/>
      <c r="AI1033" s="10"/>
      <c r="AJ1033" s="10"/>
      <c r="AK1033" s="10"/>
      <c r="AL1033" s="10"/>
    </row>
    <row r="1034" spans="1:38">
      <c r="A1034" s="9"/>
      <c r="B1034" s="9"/>
      <c r="C1034" s="9"/>
      <c r="D1034" s="9"/>
      <c r="E1034" s="9"/>
      <c r="F1034" s="9"/>
      <c r="G1034" s="9"/>
      <c r="H1034" s="9"/>
      <c r="I1034" s="9"/>
      <c r="J1034" s="9"/>
      <c r="K1034" s="9"/>
      <c r="L1034" s="9"/>
      <c r="M1034" s="9"/>
      <c r="N1034" s="9"/>
      <c r="O1034" s="9"/>
      <c r="P1034" s="9"/>
      <c r="Q1034" s="9"/>
      <c r="R1034" s="9"/>
      <c r="S1034" s="9"/>
      <c r="T1034" s="9"/>
      <c r="U1034" s="9"/>
      <c r="V1034" s="9"/>
      <c r="W1034" s="9"/>
      <c r="X1034" s="9"/>
      <c r="Y1034" s="9"/>
      <c r="Z1034" s="9"/>
      <c r="AA1034" s="9"/>
      <c r="AB1034" s="9"/>
      <c r="AC1034" s="9"/>
      <c r="AD1034" s="9"/>
      <c r="AE1034" s="9"/>
      <c r="AF1034" s="9"/>
      <c r="AG1034" s="9"/>
      <c r="AH1034" s="9"/>
      <c r="AI1034" s="9"/>
      <c r="AJ1034" s="9"/>
      <c r="AK1034" s="9"/>
      <c r="AL1034" s="9"/>
    </row>
    <row r="1053" spans="1:38">
      <c r="A1053" s="9"/>
      <c r="B1053" s="9"/>
      <c r="C1053" s="9"/>
      <c r="D1053" s="9"/>
      <c r="E1053" s="9"/>
      <c r="F1053" s="9"/>
      <c r="G1053" s="9"/>
      <c r="H1053" s="9"/>
      <c r="I1053" s="9"/>
      <c r="J1053" s="9"/>
      <c r="K1053" s="9"/>
      <c r="L1053" s="9"/>
      <c r="M1053" s="9"/>
      <c r="N1053" s="9"/>
      <c r="O1053" s="9"/>
      <c r="P1053" s="9"/>
      <c r="Q1053" s="9"/>
      <c r="R1053" s="9"/>
      <c r="S1053" s="9"/>
      <c r="T1053" s="9"/>
      <c r="U1053" s="9"/>
      <c r="V1053" s="9"/>
      <c r="W1053" s="9"/>
      <c r="X1053" s="9"/>
      <c r="Y1053" s="9"/>
      <c r="Z1053" s="9"/>
      <c r="AA1053" s="9"/>
      <c r="AB1053" s="9"/>
      <c r="AC1053" s="9"/>
      <c r="AD1053" s="9"/>
      <c r="AE1053" s="9"/>
      <c r="AF1053" s="9"/>
      <c r="AG1053" s="9"/>
      <c r="AH1053" s="9"/>
      <c r="AI1053" s="9"/>
      <c r="AJ1053" s="9"/>
      <c r="AK1053" s="9"/>
      <c r="AL1053" s="9"/>
    </row>
    <row r="1054" spans="1:38">
      <c r="A1054" s="10"/>
      <c r="B1054" s="10"/>
      <c r="C1054" s="10"/>
      <c r="D1054" s="10"/>
      <c r="E1054" s="10"/>
      <c r="F1054" s="10"/>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0"/>
      <c r="AH1054" s="10"/>
      <c r="AI1054" s="10"/>
      <c r="AJ1054" s="10"/>
      <c r="AK1054" s="10"/>
      <c r="AL1054" s="10"/>
    </row>
    <row r="1055" spans="1:38">
      <c r="A1055" s="10"/>
      <c r="B1055" s="10"/>
      <c r="C1055" s="10"/>
      <c r="D1055" s="10"/>
      <c r="E1055" s="10"/>
      <c r="F1055" s="10"/>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0"/>
      <c r="AH1055" s="10"/>
      <c r="AI1055" s="10"/>
      <c r="AJ1055" s="10"/>
      <c r="AK1055" s="10"/>
      <c r="AL1055" s="10"/>
    </row>
    <row r="1056" spans="1:38">
      <c r="A1056" s="10"/>
      <c r="B1056" s="10"/>
      <c r="C1056" s="10"/>
      <c r="D1056" s="10"/>
      <c r="E1056" s="10"/>
      <c r="F1056" s="10"/>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0"/>
      <c r="AH1056" s="10"/>
      <c r="AI1056" s="10"/>
      <c r="AJ1056" s="10"/>
      <c r="AK1056" s="10"/>
      <c r="AL1056" s="10"/>
    </row>
    <row r="1057" spans="1:38">
      <c r="A1057" s="10"/>
      <c r="B1057" s="10"/>
      <c r="C1057" s="10"/>
      <c r="D1057" s="10"/>
      <c r="E1057" s="10"/>
      <c r="F1057" s="10"/>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0"/>
      <c r="AH1057" s="10"/>
      <c r="AI1057" s="10"/>
      <c r="AJ1057" s="10"/>
      <c r="AK1057" s="10"/>
      <c r="AL1057" s="10"/>
    </row>
    <row r="1058" spans="1:38">
      <c r="A1058" s="10"/>
      <c r="B1058" s="10"/>
      <c r="C1058" s="10"/>
      <c r="D1058" s="10"/>
      <c r="E1058" s="10"/>
      <c r="F1058" s="10"/>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0"/>
      <c r="AH1058" s="10"/>
      <c r="AI1058" s="10"/>
      <c r="AJ1058" s="10"/>
      <c r="AK1058" s="10"/>
      <c r="AL1058" s="10"/>
    </row>
    <row r="1059" spans="1:38">
      <c r="A1059" s="10"/>
      <c r="B1059" s="10"/>
      <c r="C1059" s="10"/>
      <c r="D1059" s="10"/>
      <c r="E1059" s="10"/>
      <c r="F1059" s="10"/>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0"/>
      <c r="AH1059" s="10"/>
      <c r="AI1059" s="10"/>
      <c r="AJ1059" s="10"/>
      <c r="AK1059" s="10"/>
      <c r="AL1059" s="10"/>
    </row>
    <row r="1060" spans="1:38">
      <c r="A1060" s="10"/>
      <c r="B1060" s="10"/>
      <c r="C1060" s="10"/>
      <c r="D1060" s="10"/>
      <c r="E1060" s="10"/>
      <c r="F1060" s="10"/>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0"/>
      <c r="AH1060" s="10"/>
      <c r="AI1060" s="10"/>
      <c r="AJ1060" s="10"/>
      <c r="AK1060" s="10"/>
      <c r="AL1060" s="10"/>
    </row>
    <row r="1061" spans="1:38">
      <c r="A1061" s="10"/>
      <c r="B1061" s="10"/>
      <c r="C1061" s="10"/>
      <c r="D1061" s="10"/>
      <c r="E1061" s="10"/>
      <c r="F1061" s="10"/>
      <c r="G1061" s="10"/>
      <c r="H1061" s="10"/>
      <c r="I1061" s="10"/>
      <c r="J1061" s="10"/>
      <c r="K1061" s="10"/>
      <c r="L1061" s="10"/>
      <c r="M1061" s="10"/>
      <c r="N1061" s="10"/>
      <c r="O1061" s="10"/>
      <c r="P1061" s="10"/>
      <c r="Q1061" s="10"/>
      <c r="R1061" s="10"/>
      <c r="S1061" s="10"/>
      <c r="T1061" s="10"/>
      <c r="U1061" s="10"/>
      <c r="V1061" s="10"/>
      <c r="W1061" s="10"/>
      <c r="X1061" s="10"/>
      <c r="Y1061" s="10"/>
      <c r="Z1061" s="10"/>
      <c r="AA1061" s="10"/>
      <c r="AB1061" s="10"/>
      <c r="AC1061" s="10"/>
      <c r="AD1061" s="10"/>
      <c r="AE1061" s="10"/>
      <c r="AF1061" s="10"/>
      <c r="AG1061" s="10"/>
      <c r="AH1061" s="10"/>
      <c r="AI1061" s="10"/>
      <c r="AJ1061" s="10"/>
      <c r="AK1061" s="10"/>
      <c r="AL1061" s="10"/>
    </row>
    <row r="1062" spans="1:38">
      <c r="A1062" s="10"/>
      <c r="B1062" s="10"/>
      <c r="C1062" s="10"/>
      <c r="D1062" s="10"/>
      <c r="E1062" s="10"/>
      <c r="F1062" s="10"/>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0"/>
      <c r="AH1062" s="10"/>
      <c r="AI1062" s="10"/>
      <c r="AJ1062" s="10"/>
      <c r="AK1062" s="10"/>
      <c r="AL1062" s="10"/>
    </row>
    <row r="1063" spans="1:38">
      <c r="A1063" s="10"/>
      <c r="B1063" s="10"/>
      <c r="C1063" s="10"/>
      <c r="D1063" s="10"/>
      <c r="E1063" s="10"/>
      <c r="F1063" s="10"/>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0"/>
      <c r="AH1063" s="10"/>
      <c r="AI1063" s="10"/>
      <c r="AJ1063" s="10"/>
      <c r="AK1063" s="10"/>
      <c r="AL1063" s="10"/>
    </row>
    <row r="1066" spans="1:38">
      <c r="A1066" s="11"/>
      <c r="B1066" s="11"/>
      <c r="C1066" s="11"/>
      <c r="D1066" s="11"/>
      <c r="E1066" s="11"/>
      <c r="F1066" s="11"/>
      <c r="G1066" s="11"/>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row>
    <row r="1075" spans="1:38">
      <c r="A1075" s="14"/>
      <c r="B1075" s="14"/>
      <c r="C1075" s="14"/>
      <c r="D1075" s="14"/>
      <c r="E1075" s="14"/>
      <c r="F1075" s="14"/>
      <c r="G1075" s="14"/>
      <c r="H1075" s="14"/>
      <c r="I1075" s="14"/>
      <c r="J1075" s="14"/>
      <c r="K1075" s="14"/>
      <c r="L1075" s="14"/>
      <c r="M1075" s="14"/>
      <c r="N1075" s="14"/>
      <c r="O1075" s="14"/>
      <c r="P1075" s="14"/>
      <c r="Q1075" s="14"/>
      <c r="R1075" s="14"/>
      <c r="S1075" s="14"/>
      <c r="T1075" s="14"/>
      <c r="U1075" s="14"/>
      <c r="V1075" s="14"/>
      <c r="W1075" s="14"/>
      <c r="X1075" s="14"/>
      <c r="Y1075" s="14"/>
      <c r="Z1075" s="14"/>
      <c r="AA1075" s="14"/>
      <c r="AB1075" s="14"/>
      <c r="AC1075" s="14"/>
      <c r="AD1075" s="14"/>
      <c r="AE1075" s="14"/>
      <c r="AF1075" s="14"/>
      <c r="AG1075" s="14"/>
      <c r="AH1075" s="14"/>
      <c r="AI1075" s="14"/>
      <c r="AJ1075" s="14"/>
      <c r="AK1075" s="14"/>
      <c r="AL1075" s="14"/>
    </row>
    <row r="1076" spans="1:38">
      <c r="A1076" s="9"/>
      <c r="B1076" s="9"/>
      <c r="C1076" s="9"/>
      <c r="D1076" s="9"/>
      <c r="E1076" s="9"/>
      <c r="F1076" s="9"/>
      <c r="G1076" s="9"/>
      <c r="H1076" s="9"/>
      <c r="I1076" s="9"/>
      <c r="J1076" s="9"/>
      <c r="K1076" s="9"/>
      <c r="L1076" s="9"/>
      <c r="M1076" s="9"/>
      <c r="N1076" s="9"/>
      <c r="O1076" s="9"/>
      <c r="P1076" s="9"/>
      <c r="Q1076" s="9"/>
      <c r="R1076" s="9"/>
      <c r="S1076" s="9"/>
      <c r="T1076" s="9"/>
      <c r="U1076" s="9"/>
      <c r="V1076" s="9"/>
      <c r="W1076" s="9"/>
      <c r="X1076" s="9"/>
      <c r="Y1076" s="9"/>
      <c r="Z1076" s="9"/>
      <c r="AA1076" s="9"/>
      <c r="AB1076" s="9"/>
      <c r="AC1076" s="9"/>
      <c r="AD1076" s="9"/>
      <c r="AE1076" s="9"/>
      <c r="AF1076" s="9"/>
      <c r="AG1076" s="9"/>
      <c r="AH1076" s="9"/>
      <c r="AI1076" s="9"/>
      <c r="AJ1076" s="9"/>
      <c r="AK1076" s="9"/>
      <c r="AL1076" s="9"/>
    </row>
    <row r="1077" spans="1:38">
      <c r="A1077" s="10"/>
      <c r="B1077" s="10"/>
      <c r="C1077" s="10"/>
      <c r="D1077" s="10"/>
      <c r="E1077" s="10"/>
      <c r="F1077" s="10"/>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0"/>
      <c r="AH1077" s="10"/>
      <c r="AI1077" s="10"/>
      <c r="AJ1077" s="10"/>
      <c r="AK1077" s="10"/>
      <c r="AL1077" s="10"/>
    </row>
    <row r="1078" spans="1:38">
      <c r="A1078" s="10"/>
      <c r="B1078" s="10"/>
      <c r="C1078" s="10"/>
      <c r="D1078" s="10"/>
      <c r="E1078" s="10"/>
      <c r="F1078" s="10"/>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0"/>
      <c r="AH1078" s="10"/>
      <c r="AI1078" s="10"/>
      <c r="AJ1078" s="10"/>
      <c r="AK1078" s="10"/>
      <c r="AL1078" s="10"/>
    </row>
    <row r="1079" spans="1:38">
      <c r="A1079" s="10"/>
      <c r="B1079" s="10"/>
      <c r="C1079" s="10"/>
      <c r="D1079" s="10"/>
      <c r="E1079" s="10"/>
      <c r="F1079" s="10"/>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0"/>
      <c r="AH1079" s="10"/>
      <c r="AI1079" s="10"/>
      <c r="AJ1079" s="10"/>
      <c r="AK1079" s="10"/>
      <c r="AL1079" s="10"/>
    </row>
    <row r="1080" spans="1:38">
      <c r="A1080" s="10"/>
      <c r="B1080" s="10"/>
      <c r="C1080" s="10"/>
      <c r="D1080" s="10"/>
      <c r="E1080" s="10"/>
      <c r="F1080" s="10"/>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0"/>
      <c r="AH1080" s="10"/>
      <c r="AI1080" s="10"/>
      <c r="AJ1080" s="10"/>
      <c r="AK1080" s="10"/>
      <c r="AL1080" s="10"/>
    </row>
    <row r="1081" spans="1:38">
      <c r="A1081" s="10"/>
      <c r="B1081" s="10"/>
      <c r="C1081" s="10"/>
      <c r="D1081" s="10"/>
      <c r="E1081" s="10"/>
      <c r="F1081" s="10"/>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0"/>
      <c r="AH1081" s="10"/>
      <c r="AI1081" s="10"/>
      <c r="AJ1081" s="10"/>
      <c r="AK1081" s="10"/>
      <c r="AL1081" s="10"/>
    </row>
    <row r="1082" spans="1:38">
      <c r="A1082" s="10"/>
      <c r="B1082" s="10"/>
      <c r="C1082" s="10"/>
      <c r="D1082" s="10"/>
      <c r="E1082" s="10"/>
      <c r="F1082" s="10"/>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0"/>
      <c r="AH1082" s="10"/>
      <c r="AI1082" s="10"/>
      <c r="AJ1082" s="10"/>
      <c r="AK1082" s="10"/>
      <c r="AL1082" s="10"/>
    </row>
    <row r="1083" spans="1:38">
      <c r="A1083" s="10"/>
      <c r="B1083" s="10"/>
      <c r="C1083" s="10"/>
      <c r="D1083" s="10"/>
      <c r="E1083" s="10"/>
      <c r="F1083" s="10"/>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0"/>
      <c r="AH1083" s="10"/>
      <c r="AI1083" s="10"/>
      <c r="AJ1083" s="10"/>
      <c r="AK1083" s="10"/>
      <c r="AL1083" s="10"/>
    </row>
    <row r="1084" spans="1:38">
      <c r="A1084" s="10"/>
      <c r="B1084" s="10"/>
      <c r="C1084" s="10"/>
      <c r="D1084" s="10"/>
      <c r="E1084" s="10"/>
      <c r="F1084" s="10"/>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0"/>
      <c r="AH1084" s="10"/>
      <c r="AI1084" s="10"/>
      <c r="AJ1084" s="10"/>
      <c r="AK1084" s="10"/>
      <c r="AL1084" s="10"/>
    </row>
    <row r="1085" spans="1:38">
      <c r="A1085" s="10"/>
      <c r="B1085" s="10"/>
      <c r="C1085" s="10"/>
      <c r="D1085" s="10"/>
      <c r="E1085" s="10"/>
      <c r="F1085" s="10"/>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0"/>
      <c r="AH1085" s="10"/>
      <c r="AI1085" s="10"/>
      <c r="AJ1085" s="10"/>
      <c r="AK1085" s="10"/>
      <c r="AL1085" s="10"/>
    </row>
    <row r="1086" spans="1:38">
      <c r="A1086" s="10"/>
      <c r="B1086" s="10"/>
      <c r="C1086" s="10"/>
      <c r="D1086" s="10"/>
      <c r="E1086" s="10"/>
      <c r="F1086" s="10"/>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0"/>
      <c r="AH1086" s="10"/>
      <c r="AI1086" s="10"/>
      <c r="AJ1086" s="10"/>
      <c r="AK1086" s="10"/>
      <c r="AL1086" s="10"/>
    </row>
    <row r="1087" spans="1:38">
      <c r="A1087" s="9"/>
      <c r="B1087" s="9"/>
      <c r="C1087" s="9"/>
      <c r="D1087" s="9"/>
      <c r="E1087" s="9"/>
      <c r="F1087" s="9"/>
      <c r="G1087" s="9"/>
      <c r="H1087" s="9"/>
      <c r="I1087" s="9"/>
      <c r="J1087" s="9"/>
      <c r="K1087" s="9"/>
      <c r="L1087" s="9"/>
      <c r="M1087" s="9"/>
      <c r="N1087" s="9"/>
      <c r="O1087" s="9"/>
      <c r="P1087" s="9"/>
      <c r="Q1087" s="9"/>
      <c r="R1087" s="9"/>
      <c r="S1087" s="9"/>
      <c r="T1087" s="9"/>
      <c r="U1087" s="9"/>
      <c r="V1087" s="9"/>
      <c r="W1087" s="9"/>
      <c r="X1087" s="9"/>
      <c r="Y1087" s="9"/>
      <c r="Z1087" s="9"/>
      <c r="AA1087" s="9"/>
      <c r="AB1087" s="9"/>
      <c r="AC1087" s="9"/>
      <c r="AD1087" s="9"/>
      <c r="AE1087" s="9"/>
      <c r="AF1087" s="9"/>
      <c r="AG1087" s="9"/>
      <c r="AH1087" s="9"/>
      <c r="AI1087" s="9"/>
      <c r="AJ1087" s="9"/>
      <c r="AK1087" s="9"/>
      <c r="AL1087" s="9"/>
    </row>
    <row r="1088" spans="1:38">
      <c r="A1088" s="11"/>
      <c r="B1088" s="11"/>
      <c r="C1088" s="11"/>
      <c r="D1088" s="11"/>
      <c r="E1088" s="11"/>
      <c r="F1088" s="11"/>
      <c r="G1088" s="11"/>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row>
    <row r="1117" spans="1:38">
      <c r="A1117" s="14"/>
      <c r="B1117" s="14"/>
      <c r="C1117" s="14"/>
      <c r="D1117" s="14"/>
      <c r="E1117" s="14"/>
      <c r="F1117" s="14"/>
      <c r="G1117" s="14"/>
      <c r="H1117" s="14"/>
      <c r="I1117" s="14"/>
      <c r="J1117" s="14"/>
      <c r="K1117" s="14"/>
      <c r="L1117" s="14"/>
      <c r="M1117" s="14"/>
      <c r="N1117" s="14"/>
      <c r="O1117" s="14"/>
      <c r="P1117" s="14"/>
      <c r="Q1117" s="14"/>
      <c r="R1117" s="14"/>
      <c r="S1117" s="14"/>
      <c r="T1117" s="14"/>
      <c r="U1117" s="14"/>
      <c r="V1117" s="14"/>
      <c r="W1117" s="14"/>
      <c r="X1117" s="14"/>
      <c r="Y1117" s="14"/>
      <c r="Z1117" s="14"/>
      <c r="AA1117" s="14"/>
      <c r="AB1117" s="14"/>
      <c r="AC1117" s="14"/>
      <c r="AD1117" s="14"/>
      <c r="AE1117" s="14"/>
      <c r="AF1117" s="14"/>
      <c r="AG1117" s="14"/>
      <c r="AH1117" s="14"/>
      <c r="AI1117" s="14"/>
      <c r="AJ1117" s="14"/>
      <c r="AK1117" s="14"/>
      <c r="AL1117" s="14"/>
    </row>
    <row r="1118" spans="1:38">
      <c r="A1118" s="9"/>
      <c r="B1118" s="9"/>
      <c r="C1118" s="9"/>
      <c r="D1118" s="9"/>
      <c r="E1118" s="9"/>
      <c r="F1118" s="9"/>
      <c r="G1118" s="9"/>
      <c r="H1118" s="9"/>
      <c r="I1118" s="9"/>
      <c r="J1118" s="9"/>
      <c r="K1118" s="9"/>
      <c r="L1118" s="9"/>
      <c r="M1118" s="9"/>
      <c r="N1118" s="9"/>
      <c r="O1118" s="9"/>
      <c r="P1118" s="9"/>
      <c r="Q1118" s="9"/>
      <c r="R1118" s="9"/>
      <c r="S1118" s="9"/>
      <c r="T1118" s="9"/>
      <c r="U1118" s="9"/>
      <c r="V1118" s="9"/>
      <c r="W1118" s="9"/>
      <c r="X1118" s="9"/>
      <c r="Y1118" s="9"/>
      <c r="Z1118" s="9"/>
      <c r="AA1118" s="9"/>
      <c r="AB1118" s="9"/>
      <c r="AC1118" s="9"/>
      <c r="AD1118" s="9"/>
      <c r="AE1118" s="9"/>
      <c r="AF1118" s="9"/>
      <c r="AG1118" s="9"/>
      <c r="AH1118" s="9"/>
      <c r="AI1118" s="9"/>
      <c r="AJ1118" s="9"/>
      <c r="AK1118" s="9"/>
      <c r="AL1118" s="9"/>
    </row>
    <row r="1119" spans="1:38">
      <c r="A1119" s="10"/>
      <c r="B1119" s="10"/>
      <c r="C1119" s="10"/>
      <c r="D1119" s="10"/>
      <c r="E1119" s="10"/>
      <c r="F1119" s="10"/>
      <c r="G1119" s="10"/>
      <c r="H1119" s="10"/>
      <c r="I1119" s="10"/>
      <c r="J1119" s="10"/>
      <c r="K1119" s="10"/>
      <c r="L1119" s="10"/>
      <c r="M1119" s="10"/>
      <c r="N1119" s="10"/>
      <c r="O1119" s="10"/>
      <c r="P1119" s="10"/>
      <c r="Q1119" s="10"/>
      <c r="R1119" s="10"/>
      <c r="S1119" s="10"/>
      <c r="T1119" s="10"/>
      <c r="U1119" s="10"/>
      <c r="V1119" s="10"/>
      <c r="W1119" s="10"/>
      <c r="X1119" s="10"/>
      <c r="Y1119" s="10"/>
      <c r="Z1119" s="10"/>
      <c r="AA1119" s="10"/>
      <c r="AB1119" s="10"/>
      <c r="AC1119" s="10"/>
      <c r="AD1119" s="10"/>
      <c r="AE1119" s="10"/>
      <c r="AF1119" s="10"/>
      <c r="AG1119" s="10"/>
      <c r="AH1119" s="10"/>
      <c r="AI1119" s="10"/>
      <c r="AJ1119" s="10"/>
      <c r="AK1119" s="10"/>
      <c r="AL1119" s="10"/>
    </row>
    <row r="1120" spans="1:38">
      <c r="A1120" s="10"/>
      <c r="B1120" s="10"/>
      <c r="C1120" s="10"/>
      <c r="D1120" s="10"/>
      <c r="E1120" s="10"/>
      <c r="F1120" s="10"/>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0"/>
      <c r="AH1120" s="10"/>
      <c r="AI1120" s="10"/>
      <c r="AJ1120" s="10"/>
      <c r="AK1120" s="10"/>
      <c r="AL1120" s="10"/>
    </row>
    <row r="1121" spans="1:38">
      <c r="A1121" s="10"/>
      <c r="B1121" s="10"/>
      <c r="C1121" s="10"/>
      <c r="D1121" s="10"/>
      <c r="E1121" s="10"/>
      <c r="F1121" s="10"/>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0"/>
      <c r="AH1121" s="10"/>
      <c r="AI1121" s="10"/>
      <c r="AJ1121" s="10"/>
      <c r="AK1121" s="10"/>
      <c r="AL1121" s="10"/>
    </row>
    <row r="1122" spans="1:38">
      <c r="A1122" s="10"/>
      <c r="B1122" s="10"/>
      <c r="C1122" s="10"/>
      <c r="D1122" s="10"/>
      <c r="E1122" s="10"/>
      <c r="F1122" s="10"/>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0"/>
      <c r="AH1122" s="10"/>
      <c r="AI1122" s="10"/>
      <c r="AJ1122" s="10"/>
      <c r="AK1122" s="10"/>
      <c r="AL1122" s="10"/>
    </row>
    <row r="1123" spans="1:38">
      <c r="A1123" s="10"/>
      <c r="B1123" s="10"/>
      <c r="C1123" s="10"/>
      <c r="D1123" s="10"/>
      <c r="E1123" s="10"/>
      <c r="F1123" s="10"/>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0"/>
      <c r="AH1123" s="10"/>
      <c r="AI1123" s="10"/>
      <c r="AJ1123" s="10"/>
      <c r="AK1123" s="10"/>
      <c r="AL1123" s="10"/>
    </row>
    <row r="1124" spans="1:38">
      <c r="A1124" s="10"/>
      <c r="B1124" s="10"/>
      <c r="C1124" s="10"/>
      <c r="D1124" s="10"/>
      <c r="E1124" s="10"/>
      <c r="F1124" s="10"/>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0"/>
      <c r="AH1124" s="10"/>
      <c r="AI1124" s="10"/>
      <c r="AJ1124" s="10"/>
      <c r="AK1124" s="10"/>
      <c r="AL1124" s="10"/>
    </row>
    <row r="1125" spans="1:38">
      <c r="A1125" s="10"/>
      <c r="B1125" s="10"/>
      <c r="C1125" s="10"/>
      <c r="D1125" s="10"/>
      <c r="E1125" s="10"/>
      <c r="F1125" s="10"/>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0"/>
      <c r="AH1125" s="10"/>
      <c r="AI1125" s="10"/>
      <c r="AJ1125" s="10"/>
      <c r="AK1125" s="10"/>
      <c r="AL1125" s="10"/>
    </row>
    <row r="1126" spans="1:38">
      <c r="A1126" s="10"/>
      <c r="B1126" s="10"/>
      <c r="C1126" s="10"/>
      <c r="D1126" s="10"/>
      <c r="E1126" s="10"/>
      <c r="F1126" s="10"/>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0"/>
      <c r="AH1126" s="10"/>
      <c r="AI1126" s="10"/>
      <c r="AJ1126" s="10"/>
      <c r="AK1126" s="10"/>
      <c r="AL1126" s="10"/>
    </row>
    <row r="1127" spans="1:38">
      <c r="A1127" s="10"/>
      <c r="B1127" s="10"/>
      <c r="C1127" s="10"/>
      <c r="D1127" s="10"/>
      <c r="E1127" s="10"/>
      <c r="F1127" s="10"/>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0"/>
      <c r="AH1127" s="10"/>
      <c r="AI1127" s="10"/>
      <c r="AJ1127" s="10"/>
      <c r="AK1127" s="10"/>
      <c r="AL1127" s="10"/>
    </row>
    <row r="1128" spans="1:38">
      <c r="A1128" s="10"/>
      <c r="B1128" s="10"/>
      <c r="C1128" s="10"/>
      <c r="D1128" s="10"/>
      <c r="E1128" s="10"/>
      <c r="F1128" s="10"/>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0"/>
      <c r="AH1128" s="10"/>
      <c r="AI1128" s="10"/>
      <c r="AJ1128" s="10"/>
      <c r="AK1128" s="10"/>
      <c r="AL1128" s="10"/>
    </row>
    <row r="1130" spans="1:38">
      <c r="A1130" s="11"/>
      <c r="B1130" s="11"/>
      <c r="C1130" s="11"/>
      <c r="D1130" s="11"/>
      <c r="E1130" s="11"/>
      <c r="F1130" s="11"/>
      <c r="G1130" s="11"/>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row>
    <row r="1157" spans="1:38">
      <c r="A1157" s="14"/>
      <c r="B1157" s="14"/>
      <c r="C1157" s="14"/>
      <c r="D1157" s="14"/>
      <c r="E1157" s="14"/>
      <c r="F1157" s="14"/>
      <c r="G1157" s="14"/>
      <c r="H1157" s="14"/>
      <c r="I1157" s="14"/>
      <c r="J1157" s="14"/>
      <c r="K1157" s="14"/>
      <c r="L1157" s="14"/>
      <c r="M1157" s="14"/>
      <c r="N1157" s="14"/>
      <c r="O1157" s="14"/>
      <c r="P1157" s="14"/>
      <c r="Q1157" s="14"/>
      <c r="R1157" s="14"/>
      <c r="S1157" s="14"/>
      <c r="T1157" s="14"/>
      <c r="U1157" s="14"/>
      <c r="V1157" s="14"/>
      <c r="W1157" s="14"/>
      <c r="X1157" s="14"/>
      <c r="Y1157" s="14"/>
      <c r="Z1157" s="14"/>
      <c r="AA1157" s="14"/>
      <c r="AB1157" s="14"/>
      <c r="AC1157" s="14"/>
      <c r="AD1157" s="14"/>
      <c r="AE1157" s="14"/>
      <c r="AF1157" s="14"/>
      <c r="AG1157" s="14"/>
      <c r="AH1157" s="14"/>
      <c r="AI1157" s="14"/>
      <c r="AJ1157" s="14"/>
      <c r="AK1157" s="14"/>
      <c r="AL1157" s="14"/>
    </row>
    <row r="1158" spans="1:38">
      <c r="A1158" s="9"/>
      <c r="B1158" s="9"/>
      <c r="C1158" s="9"/>
      <c r="D1158" s="9"/>
      <c r="E1158" s="9"/>
      <c r="F1158" s="9"/>
      <c r="G1158" s="9"/>
      <c r="H1158" s="9"/>
      <c r="I1158" s="9"/>
      <c r="J1158" s="9"/>
      <c r="K1158" s="9"/>
      <c r="L1158" s="9"/>
      <c r="M1158" s="9"/>
      <c r="N1158" s="9"/>
      <c r="O1158" s="9"/>
      <c r="P1158" s="9"/>
      <c r="Q1158" s="9"/>
      <c r="R1158" s="9"/>
      <c r="S1158" s="9"/>
      <c r="T1158" s="9"/>
      <c r="U1158" s="9"/>
      <c r="V1158" s="9"/>
      <c r="W1158" s="9"/>
      <c r="X1158" s="9"/>
      <c r="Y1158" s="9"/>
      <c r="Z1158" s="9"/>
      <c r="AA1158" s="9"/>
      <c r="AB1158" s="9"/>
      <c r="AC1158" s="9"/>
      <c r="AD1158" s="9"/>
      <c r="AE1158" s="9"/>
      <c r="AF1158" s="9"/>
      <c r="AG1158" s="9"/>
      <c r="AH1158" s="9"/>
      <c r="AI1158" s="9"/>
      <c r="AJ1158" s="9"/>
      <c r="AK1158" s="9"/>
      <c r="AL1158" s="9"/>
    </row>
    <row r="1159" spans="1:38">
      <c r="A1159" s="10"/>
      <c r="B1159" s="10"/>
      <c r="C1159" s="10"/>
      <c r="D1159" s="10"/>
      <c r="E1159" s="10"/>
      <c r="F1159" s="10"/>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0"/>
      <c r="AH1159" s="10"/>
      <c r="AI1159" s="10"/>
      <c r="AJ1159" s="10"/>
      <c r="AK1159" s="10"/>
      <c r="AL1159" s="10"/>
    </row>
    <row r="1160" spans="1:38">
      <c r="A1160" s="10"/>
      <c r="B1160" s="10"/>
      <c r="C1160" s="10"/>
      <c r="D1160" s="10"/>
      <c r="E1160" s="10"/>
      <c r="F1160" s="10"/>
      <c r="G1160" s="10"/>
      <c r="H1160" s="10"/>
      <c r="I1160" s="10"/>
      <c r="J1160" s="10"/>
      <c r="K1160" s="10"/>
      <c r="L1160" s="10"/>
      <c r="M1160" s="10"/>
      <c r="N1160" s="10"/>
      <c r="O1160" s="10"/>
      <c r="P1160" s="10"/>
      <c r="Q1160" s="10"/>
      <c r="R1160" s="10"/>
      <c r="S1160" s="10"/>
      <c r="T1160" s="10"/>
      <c r="U1160" s="10"/>
      <c r="V1160" s="10"/>
      <c r="W1160" s="10"/>
      <c r="X1160" s="10"/>
      <c r="Y1160" s="10"/>
      <c r="Z1160" s="10"/>
      <c r="AA1160" s="10"/>
      <c r="AB1160" s="10"/>
      <c r="AC1160" s="10"/>
      <c r="AD1160" s="10"/>
      <c r="AE1160" s="10"/>
      <c r="AF1160" s="10"/>
      <c r="AG1160" s="10"/>
      <c r="AH1160" s="10"/>
      <c r="AI1160" s="10"/>
      <c r="AJ1160" s="10"/>
      <c r="AK1160" s="10"/>
      <c r="AL1160" s="10"/>
    </row>
    <row r="1161" spans="1:38">
      <c r="A1161" s="10"/>
      <c r="B1161" s="10"/>
      <c r="C1161" s="10"/>
      <c r="D1161" s="10"/>
      <c r="E1161" s="10"/>
      <c r="F1161" s="10"/>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0"/>
      <c r="AH1161" s="10"/>
      <c r="AI1161" s="10"/>
      <c r="AJ1161" s="10"/>
      <c r="AK1161" s="10"/>
      <c r="AL1161" s="10"/>
    </row>
    <row r="1162" spans="1:38">
      <c r="A1162" s="10"/>
      <c r="B1162" s="10"/>
      <c r="C1162" s="10"/>
      <c r="D1162" s="10"/>
      <c r="E1162" s="10"/>
      <c r="F1162" s="10"/>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0"/>
      <c r="AH1162" s="10"/>
      <c r="AI1162" s="10"/>
      <c r="AJ1162" s="10"/>
      <c r="AK1162" s="10"/>
      <c r="AL1162" s="10"/>
    </row>
    <row r="1163" spans="1:38">
      <c r="A1163" s="10"/>
      <c r="B1163" s="10"/>
      <c r="C1163" s="10"/>
      <c r="D1163" s="10"/>
      <c r="E1163" s="10"/>
      <c r="F1163" s="10"/>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0"/>
      <c r="AH1163" s="10"/>
      <c r="AI1163" s="10"/>
      <c r="AJ1163" s="10"/>
      <c r="AK1163" s="10"/>
      <c r="AL1163" s="10"/>
    </row>
    <row r="1164" spans="1:38">
      <c r="A1164" s="10"/>
      <c r="B1164" s="10"/>
      <c r="C1164" s="10"/>
      <c r="D1164" s="10"/>
      <c r="E1164" s="10"/>
      <c r="F1164" s="10"/>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0"/>
      <c r="AH1164" s="10"/>
      <c r="AI1164" s="10"/>
      <c r="AJ1164" s="10"/>
      <c r="AK1164" s="10"/>
      <c r="AL1164" s="10"/>
    </row>
    <row r="1165" spans="1:38">
      <c r="A1165" s="10"/>
      <c r="B1165" s="10"/>
      <c r="C1165" s="10"/>
      <c r="D1165" s="10"/>
      <c r="E1165" s="10"/>
      <c r="F1165" s="10"/>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0"/>
      <c r="AH1165" s="10"/>
      <c r="AI1165" s="10"/>
      <c r="AJ1165" s="10"/>
      <c r="AK1165" s="10"/>
      <c r="AL1165" s="10"/>
    </row>
    <row r="1166" spans="1:38">
      <c r="A1166" s="10"/>
      <c r="B1166" s="10"/>
      <c r="C1166" s="10"/>
      <c r="D1166" s="10"/>
      <c r="E1166" s="10"/>
      <c r="F1166" s="10"/>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0"/>
      <c r="AH1166" s="10"/>
      <c r="AI1166" s="10"/>
      <c r="AJ1166" s="10"/>
      <c r="AK1166" s="10"/>
      <c r="AL1166" s="10"/>
    </row>
    <row r="1167" spans="1:38">
      <c r="A1167" s="10"/>
      <c r="B1167" s="10"/>
      <c r="C1167" s="10"/>
      <c r="D1167" s="10"/>
      <c r="E1167" s="10"/>
      <c r="F1167" s="10"/>
      <c r="G1167" s="10"/>
      <c r="H1167" s="10"/>
      <c r="I1167" s="10"/>
      <c r="J1167" s="10"/>
      <c r="K1167" s="10"/>
      <c r="L1167" s="10"/>
      <c r="M1167" s="10"/>
      <c r="N1167" s="10"/>
      <c r="O1167" s="10"/>
      <c r="P1167" s="10"/>
      <c r="Q1167" s="10"/>
      <c r="R1167" s="10"/>
      <c r="S1167" s="10"/>
      <c r="T1167" s="10"/>
      <c r="U1167" s="10"/>
      <c r="V1167" s="10"/>
      <c r="W1167" s="10"/>
      <c r="X1167" s="10"/>
      <c r="Y1167" s="10"/>
      <c r="Z1167" s="10"/>
      <c r="AA1167" s="10"/>
      <c r="AB1167" s="10"/>
      <c r="AC1167" s="10"/>
      <c r="AD1167" s="10"/>
      <c r="AE1167" s="10"/>
      <c r="AF1167" s="10"/>
      <c r="AG1167" s="10"/>
      <c r="AH1167" s="10"/>
      <c r="AI1167" s="10"/>
      <c r="AJ1167" s="10"/>
      <c r="AK1167" s="10"/>
      <c r="AL1167" s="10"/>
    </row>
    <row r="1168" spans="1:38">
      <c r="A1168" s="10"/>
      <c r="B1168" s="10"/>
      <c r="C1168" s="10"/>
      <c r="D1168" s="10"/>
      <c r="E1168" s="10"/>
      <c r="F1168" s="10"/>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0"/>
      <c r="AH1168" s="10"/>
      <c r="AI1168" s="10"/>
      <c r="AJ1168" s="10"/>
      <c r="AK1168" s="10"/>
      <c r="AL1168" s="10"/>
    </row>
    <row r="1169" spans="1:38">
      <c r="A1169" s="9"/>
      <c r="B1169" s="9"/>
      <c r="C1169" s="9"/>
      <c r="D1169" s="9"/>
      <c r="E1169" s="9"/>
      <c r="F1169" s="9"/>
      <c r="G1169" s="9"/>
      <c r="H1169" s="9"/>
      <c r="I1169" s="9"/>
      <c r="J1169" s="9"/>
      <c r="K1169" s="9"/>
      <c r="L1169" s="9"/>
      <c r="M1169" s="9"/>
      <c r="N1169" s="9"/>
      <c r="O1169" s="9"/>
      <c r="P1169" s="9"/>
      <c r="Q1169" s="9"/>
      <c r="R1169" s="9"/>
      <c r="S1169" s="9"/>
      <c r="T1169" s="9"/>
      <c r="U1169" s="9"/>
      <c r="V1169" s="9"/>
      <c r="W1169" s="9"/>
      <c r="X1169" s="9"/>
      <c r="Y1169" s="9"/>
      <c r="Z1169" s="9"/>
      <c r="AA1169" s="9"/>
      <c r="AB1169" s="9"/>
      <c r="AC1169" s="9"/>
      <c r="AD1169" s="9"/>
      <c r="AE1169" s="9"/>
      <c r="AF1169" s="9"/>
      <c r="AG1169" s="9"/>
      <c r="AH1169" s="9"/>
      <c r="AI1169" s="9"/>
      <c r="AJ1169" s="9"/>
      <c r="AK1169" s="9"/>
      <c r="AL1169" s="9"/>
    </row>
    <row r="1170" spans="1:38">
      <c r="A1170" s="9"/>
      <c r="B1170" s="9"/>
      <c r="C1170" s="9"/>
      <c r="D1170" s="9"/>
      <c r="E1170" s="9"/>
      <c r="F1170" s="9"/>
      <c r="G1170" s="9"/>
      <c r="H1170" s="9"/>
      <c r="I1170" s="9"/>
      <c r="J1170" s="9"/>
      <c r="K1170" s="9"/>
      <c r="L1170" s="9"/>
      <c r="M1170" s="9"/>
      <c r="N1170" s="9"/>
      <c r="O1170" s="9"/>
      <c r="P1170" s="9"/>
      <c r="Q1170" s="9"/>
      <c r="R1170" s="9"/>
      <c r="S1170" s="9"/>
      <c r="T1170" s="9"/>
      <c r="U1170" s="9"/>
      <c r="V1170" s="9"/>
      <c r="W1170" s="9"/>
      <c r="X1170" s="9"/>
      <c r="Y1170" s="9"/>
      <c r="Z1170" s="9"/>
      <c r="AA1170" s="9"/>
      <c r="AB1170" s="9"/>
      <c r="AC1170" s="9"/>
      <c r="AD1170" s="9"/>
      <c r="AE1170" s="9"/>
      <c r="AF1170" s="9"/>
      <c r="AG1170" s="9"/>
      <c r="AH1170" s="9"/>
      <c r="AI1170" s="9"/>
      <c r="AJ1170" s="9"/>
      <c r="AK1170" s="9"/>
      <c r="AL1170" s="9"/>
    </row>
    <row r="1171" spans="1:38">
      <c r="A1171" s="9"/>
      <c r="B1171" s="9"/>
      <c r="C1171" s="9"/>
      <c r="D1171" s="9"/>
      <c r="E1171" s="9"/>
      <c r="F1171" s="9"/>
      <c r="G1171" s="9"/>
      <c r="H1171" s="9"/>
      <c r="I1171" s="9"/>
      <c r="J1171" s="9"/>
      <c r="K1171" s="9"/>
      <c r="L1171" s="9"/>
      <c r="M1171" s="9"/>
      <c r="N1171" s="9"/>
      <c r="O1171" s="9"/>
      <c r="P1171" s="9"/>
      <c r="Q1171" s="9"/>
      <c r="R1171" s="9"/>
      <c r="S1171" s="9"/>
      <c r="T1171" s="9"/>
      <c r="U1171" s="9"/>
      <c r="V1171" s="9"/>
      <c r="W1171" s="9"/>
      <c r="X1171" s="9"/>
      <c r="Y1171" s="9"/>
      <c r="Z1171" s="9"/>
      <c r="AA1171" s="9"/>
      <c r="AB1171" s="9"/>
      <c r="AC1171" s="9"/>
      <c r="AD1171" s="9"/>
      <c r="AE1171" s="9"/>
      <c r="AF1171" s="9"/>
      <c r="AG1171" s="9"/>
      <c r="AH1171" s="9"/>
      <c r="AI1171" s="9"/>
      <c r="AJ1171" s="9"/>
      <c r="AK1171" s="9"/>
      <c r="AL1171" s="9"/>
    </row>
    <row r="1172" spans="1:38">
      <c r="A1172" s="9"/>
      <c r="B1172" s="9"/>
      <c r="C1172" s="9"/>
      <c r="D1172" s="9"/>
      <c r="E1172" s="9"/>
      <c r="F1172" s="9"/>
      <c r="G1172" s="9"/>
      <c r="H1172" s="9"/>
      <c r="I1172" s="9"/>
      <c r="J1172" s="9"/>
      <c r="K1172" s="9"/>
      <c r="L1172" s="9"/>
      <c r="M1172" s="9"/>
      <c r="N1172" s="9"/>
      <c r="O1172" s="9"/>
      <c r="P1172" s="9"/>
      <c r="Q1172" s="9"/>
      <c r="R1172" s="9"/>
      <c r="S1172" s="9"/>
      <c r="T1172" s="9"/>
      <c r="U1172" s="9"/>
      <c r="V1172" s="9"/>
      <c r="W1172" s="9"/>
      <c r="X1172" s="9"/>
      <c r="Y1172" s="9"/>
      <c r="Z1172" s="9"/>
      <c r="AA1172" s="9"/>
      <c r="AB1172" s="9"/>
      <c r="AC1172" s="9"/>
      <c r="AD1172" s="9"/>
      <c r="AE1172" s="9"/>
      <c r="AF1172" s="9"/>
      <c r="AG1172" s="9"/>
      <c r="AH1172" s="9"/>
      <c r="AI1172" s="9"/>
      <c r="AJ1172" s="9"/>
      <c r="AK1172" s="9"/>
      <c r="AL1172" s="9"/>
    </row>
    <row r="1173" spans="1:38">
      <c r="A1173" s="9"/>
      <c r="B1173" s="9"/>
      <c r="C1173" s="9"/>
      <c r="D1173" s="9"/>
      <c r="E1173" s="9"/>
      <c r="F1173" s="9"/>
      <c r="G1173" s="9"/>
      <c r="H1173" s="9"/>
      <c r="I1173" s="9"/>
      <c r="J1173" s="9"/>
      <c r="K1173" s="9"/>
      <c r="L1173" s="9"/>
      <c r="M1173" s="9"/>
      <c r="N1173" s="9"/>
      <c r="O1173" s="9"/>
      <c r="P1173" s="9"/>
      <c r="Q1173" s="9"/>
      <c r="R1173" s="9"/>
      <c r="S1173" s="9"/>
      <c r="T1173" s="9"/>
      <c r="U1173" s="9"/>
      <c r="V1173" s="9"/>
      <c r="W1173" s="9"/>
      <c r="X1173" s="9"/>
      <c r="Y1173" s="9"/>
      <c r="Z1173" s="9"/>
      <c r="AA1173" s="9"/>
      <c r="AB1173" s="9"/>
      <c r="AC1173" s="9"/>
      <c r="AD1173" s="9"/>
      <c r="AE1173" s="9"/>
      <c r="AF1173" s="9"/>
      <c r="AG1173" s="9"/>
      <c r="AH1173" s="9"/>
      <c r="AI1173" s="9"/>
      <c r="AJ1173" s="9"/>
      <c r="AK1173" s="9"/>
      <c r="AL1173" s="9"/>
    </row>
    <row r="1174" spans="1:38">
      <c r="A1174" s="9"/>
      <c r="B1174" s="9"/>
      <c r="C1174" s="9"/>
      <c r="D1174" s="9"/>
      <c r="E1174" s="9"/>
      <c r="F1174" s="9"/>
      <c r="G1174" s="9"/>
      <c r="H1174" s="9"/>
      <c r="I1174" s="9"/>
      <c r="J1174" s="9"/>
      <c r="K1174" s="9"/>
      <c r="L1174" s="9"/>
      <c r="M1174" s="9"/>
      <c r="N1174" s="9"/>
      <c r="O1174" s="9"/>
      <c r="P1174" s="9"/>
      <c r="Q1174" s="9"/>
      <c r="R1174" s="9"/>
      <c r="S1174" s="9"/>
      <c r="T1174" s="9"/>
      <c r="U1174" s="9"/>
      <c r="V1174" s="9"/>
      <c r="W1174" s="9"/>
      <c r="X1174" s="9"/>
      <c r="Y1174" s="9"/>
      <c r="Z1174" s="9"/>
      <c r="AA1174" s="9"/>
      <c r="AB1174" s="9"/>
      <c r="AC1174" s="9"/>
      <c r="AD1174" s="9"/>
      <c r="AE1174" s="9"/>
      <c r="AF1174" s="9"/>
      <c r="AG1174" s="9"/>
      <c r="AH1174" s="9"/>
      <c r="AI1174" s="9"/>
      <c r="AJ1174" s="9"/>
      <c r="AK1174" s="9"/>
      <c r="AL1174" s="9"/>
    </row>
    <row r="1175" spans="1:38">
      <c r="A1175" s="9"/>
      <c r="B1175" s="9"/>
      <c r="C1175" s="9"/>
      <c r="D1175" s="9"/>
      <c r="E1175" s="9"/>
      <c r="F1175" s="9"/>
      <c r="G1175" s="9"/>
      <c r="H1175" s="9"/>
      <c r="I1175" s="9"/>
      <c r="J1175" s="9"/>
      <c r="K1175" s="9"/>
      <c r="L1175" s="9"/>
      <c r="M1175" s="9"/>
      <c r="N1175" s="9"/>
      <c r="O1175" s="9"/>
      <c r="P1175" s="9"/>
      <c r="Q1175" s="9"/>
      <c r="R1175" s="9"/>
      <c r="S1175" s="9"/>
      <c r="T1175" s="9"/>
      <c r="U1175" s="9"/>
      <c r="V1175" s="9"/>
      <c r="W1175" s="9"/>
      <c r="X1175" s="9"/>
      <c r="Y1175" s="9"/>
      <c r="Z1175" s="9"/>
      <c r="AA1175" s="9"/>
      <c r="AB1175" s="9"/>
      <c r="AC1175" s="9"/>
      <c r="AD1175" s="9"/>
      <c r="AE1175" s="9"/>
      <c r="AF1175" s="9"/>
      <c r="AG1175" s="9"/>
      <c r="AH1175" s="9"/>
      <c r="AI1175" s="9"/>
      <c r="AJ1175" s="9"/>
      <c r="AK1175" s="9"/>
      <c r="AL1175" s="9"/>
    </row>
    <row r="1176" spans="1:38">
      <c r="A1176" s="9"/>
      <c r="B1176" s="9"/>
      <c r="C1176" s="9"/>
      <c r="D1176" s="9"/>
      <c r="E1176" s="9"/>
      <c r="F1176" s="9"/>
      <c r="G1176" s="9"/>
      <c r="H1176" s="9"/>
      <c r="I1176" s="9"/>
      <c r="J1176" s="9"/>
      <c r="K1176" s="9"/>
      <c r="L1176" s="9"/>
      <c r="M1176" s="9"/>
      <c r="N1176" s="9"/>
      <c r="O1176" s="9"/>
      <c r="P1176" s="9"/>
      <c r="Q1176" s="9"/>
      <c r="R1176" s="9"/>
      <c r="S1176" s="9"/>
      <c r="T1176" s="9"/>
      <c r="U1176" s="9"/>
      <c r="V1176" s="9"/>
      <c r="W1176" s="9"/>
      <c r="X1176" s="9"/>
      <c r="Y1176" s="9"/>
      <c r="Z1176" s="9"/>
      <c r="AA1176" s="9"/>
      <c r="AB1176" s="9"/>
      <c r="AC1176" s="9"/>
      <c r="AD1176" s="9"/>
      <c r="AE1176" s="9"/>
      <c r="AF1176" s="9"/>
      <c r="AG1176" s="9"/>
      <c r="AH1176" s="9"/>
      <c r="AI1176" s="9"/>
      <c r="AJ1176" s="9"/>
      <c r="AK1176" s="9"/>
      <c r="AL1176" s="9"/>
    </row>
    <row r="1177" spans="1:38">
      <c r="A1177" s="9"/>
      <c r="B1177" s="9"/>
      <c r="C1177" s="9"/>
      <c r="D1177" s="9"/>
      <c r="E1177" s="9"/>
      <c r="F1177" s="9"/>
      <c r="G1177" s="9"/>
      <c r="H1177" s="9"/>
      <c r="I1177" s="9"/>
      <c r="J1177" s="9"/>
      <c r="K1177" s="9"/>
      <c r="L1177" s="9"/>
      <c r="M1177" s="9"/>
      <c r="N1177" s="9"/>
      <c r="O1177" s="9"/>
      <c r="P1177" s="9"/>
      <c r="Q1177" s="9"/>
      <c r="R1177" s="9"/>
      <c r="S1177" s="9"/>
      <c r="T1177" s="9"/>
      <c r="U1177" s="9"/>
      <c r="V1177" s="9"/>
      <c r="W1177" s="9"/>
      <c r="X1177" s="9"/>
      <c r="Y1177" s="9"/>
      <c r="Z1177" s="9"/>
      <c r="AA1177" s="9"/>
      <c r="AB1177" s="9"/>
      <c r="AC1177" s="9"/>
      <c r="AD1177" s="9"/>
      <c r="AE1177" s="9"/>
      <c r="AF1177" s="9"/>
      <c r="AG1177" s="9"/>
      <c r="AH1177" s="9"/>
      <c r="AI1177" s="9"/>
      <c r="AJ1177" s="9"/>
      <c r="AK1177" s="9"/>
      <c r="AL1177" s="9"/>
    </row>
    <row r="1178" spans="1:38">
      <c r="A1178" s="9"/>
      <c r="B1178" s="9"/>
      <c r="C1178" s="9"/>
      <c r="D1178" s="9"/>
      <c r="E1178" s="9"/>
      <c r="F1178" s="9"/>
      <c r="G1178" s="9"/>
      <c r="H1178" s="9"/>
      <c r="I1178" s="9"/>
      <c r="J1178" s="9"/>
      <c r="K1178" s="9"/>
      <c r="L1178" s="9"/>
      <c r="M1178" s="9"/>
      <c r="N1178" s="9"/>
      <c r="O1178" s="9"/>
      <c r="P1178" s="9"/>
      <c r="Q1178" s="9"/>
      <c r="R1178" s="9"/>
      <c r="S1178" s="9"/>
      <c r="T1178" s="9"/>
      <c r="U1178" s="9"/>
      <c r="V1178" s="9"/>
      <c r="W1178" s="9"/>
      <c r="X1178" s="9"/>
      <c r="Y1178" s="9"/>
      <c r="Z1178" s="9"/>
      <c r="AA1178" s="9"/>
      <c r="AB1178" s="9"/>
      <c r="AC1178" s="9"/>
      <c r="AD1178" s="9"/>
      <c r="AE1178" s="9"/>
      <c r="AF1178" s="9"/>
      <c r="AG1178" s="9"/>
      <c r="AH1178" s="9"/>
      <c r="AI1178" s="9"/>
      <c r="AJ1178" s="9"/>
      <c r="AK1178" s="9"/>
      <c r="AL1178" s="9"/>
    </row>
    <row r="1179" spans="1:38">
      <c r="A1179" s="9"/>
      <c r="B1179" s="9"/>
      <c r="C1179" s="9"/>
      <c r="D1179" s="9"/>
      <c r="E1179" s="9"/>
      <c r="F1179" s="9"/>
      <c r="G1179" s="9"/>
      <c r="H1179" s="9"/>
      <c r="I1179" s="9"/>
      <c r="J1179" s="9"/>
      <c r="K1179" s="9"/>
      <c r="L1179" s="9"/>
      <c r="M1179" s="9"/>
      <c r="N1179" s="9"/>
      <c r="O1179" s="9"/>
      <c r="P1179" s="9"/>
      <c r="Q1179" s="9"/>
      <c r="R1179" s="9"/>
      <c r="S1179" s="9"/>
      <c r="T1179" s="9"/>
      <c r="U1179" s="9"/>
      <c r="V1179" s="9"/>
      <c r="W1179" s="9"/>
      <c r="X1179" s="9"/>
      <c r="Y1179" s="9"/>
      <c r="Z1179" s="9"/>
      <c r="AA1179" s="9"/>
      <c r="AB1179" s="9"/>
      <c r="AC1179" s="9"/>
      <c r="AD1179" s="9"/>
      <c r="AE1179" s="9"/>
      <c r="AF1179" s="9"/>
      <c r="AG1179" s="9"/>
      <c r="AH1179" s="9"/>
      <c r="AI1179" s="9"/>
      <c r="AJ1179" s="9"/>
      <c r="AK1179" s="9"/>
      <c r="AL1179" s="9"/>
    </row>
    <row r="1180" spans="1:38">
      <c r="A1180" s="9"/>
      <c r="B1180" s="9"/>
      <c r="C1180" s="9"/>
      <c r="D1180" s="9"/>
      <c r="E1180" s="9"/>
      <c r="F1180" s="9"/>
      <c r="G1180" s="9"/>
      <c r="H1180" s="9"/>
      <c r="I1180" s="9"/>
      <c r="J1180" s="9"/>
      <c r="K1180" s="9"/>
      <c r="L1180" s="9"/>
      <c r="M1180" s="9"/>
      <c r="N1180" s="9"/>
      <c r="O1180" s="9"/>
      <c r="P1180" s="9"/>
      <c r="Q1180" s="9"/>
      <c r="R1180" s="9"/>
      <c r="S1180" s="9"/>
      <c r="T1180" s="9"/>
      <c r="U1180" s="9"/>
      <c r="V1180" s="9"/>
      <c r="W1180" s="9"/>
      <c r="X1180" s="9"/>
      <c r="Y1180" s="9"/>
      <c r="Z1180" s="9"/>
      <c r="AA1180" s="9"/>
      <c r="AB1180" s="9"/>
      <c r="AC1180" s="9"/>
      <c r="AD1180" s="9"/>
      <c r="AE1180" s="9"/>
      <c r="AF1180" s="9"/>
      <c r="AG1180" s="9"/>
      <c r="AH1180" s="9"/>
      <c r="AI1180" s="9"/>
      <c r="AJ1180" s="9"/>
      <c r="AK1180" s="9"/>
      <c r="AL1180" s="9"/>
    </row>
    <row r="1181" spans="1:38">
      <c r="A1181" s="9"/>
      <c r="B1181" s="9"/>
      <c r="C1181" s="9"/>
      <c r="D1181" s="9"/>
      <c r="E1181" s="9"/>
      <c r="F1181" s="9"/>
      <c r="G1181" s="9"/>
      <c r="H1181" s="9"/>
      <c r="I1181" s="9"/>
      <c r="J1181" s="9"/>
      <c r="K1181" s="9"/>
      <c r="L1181" s="9"/>
      <c r="M1181" s="9"/>
      <c r="N1181" s="9"/>
      <c r="O1181" s="9"/>
      <c r="P1181" s="9"/>
      <c r="Q1181" s="9"/>
      <c r="R1181" s="9"/>
      <c r="S1181" s="9"/>
      <c r="T1181" s="9"/>
      <c r="U1181" s="9"/>
      <c r="V1181" s="9"/>
      <c r="W1181" s="9"/>
      <c r="X1181" s="9"/>
      <c r="Y1181" s="9"/>
      <c r="Z1181" s="9"/>
      <c r="AA1181" s="9"/>
      <c r="AB1181" s="9"/>
      <c r="AC1181" s="9"/>
      <c r="AD1181" s="9"/>
      <c r="AE1181" s="9"/>
      <c r="AF1181" s="9"/>
      <c r="AG1181" s="9"/>
      <c r="AH1181" s="9"/>
      <c r="AI1181" s="9"/>
      <c r="AJ1181" s="9"/>
      <c r="AK1181" s="9"/>
      <c r="AL1181" s="9"/>
    </row>
    <row r="1182" spans="1:38">
      <c r="A1182" s="9"/>
      <c r="B1182" s="9"/>
      <c r="C1182" s="9"/>
      <c r="D1182" s="9"/>
      <c r="E1182" s="9"/>
      <c r="F1182" s="9"/>
      <c r="G1182" s="9"/>
      <c r="H1182" s="9"/>
      <c r="I1182" s="9"/>
      <c r="J1182" s="9"/>
      <c r="K1182" s="9"/>
      <c r="L1182" s="9"/>
      <c r="M1182" s="9"/>
      <c r="N1182" s="9"/>
      <c r="O1182" s="9"/>
      <c r="P1182" s="9"/>
      <c r="Q1182" s="9"/>
      <c r="R1182" s="9"/>
      <c r="S1182" s="9"/>
      <c r="T1182" s="9"/>
      <c r="U1182" s="9"/>
      <c r="V1182" s="9"/>
      <c r="W1182" s="9"/>
      <c r="X1182" s="9"/>
      <c r="Y1182" s="9"/>
      <c r="Z1182" s="9"/>
      <c r="AA1182" s="9"/>
      <c r="AB1182" s="9"/>
      <c r="AC1182" s="9"/>
      <c r="AD1182" s="9"/>
      <c r="AE1182" s="9"/>
      <c r="AF1182" s="9"/>
      <c r="AG1182" s="9"/>
      <c r="AH1182" s="9"/>
      <c r="AI1182" s="9"/>
      <c r="AJ1182" s="9"/>
      <c r="AK1182" s="9"/>
      <c r="AL1182" s="9"/>
    </row>
    <row r="1183" spans="1:38">
      <c r="A1183" s="9"/>
      <c r="B1183" s="9"/>
      <c r="C1183" s="9"/>
      <c r="D1183" s="9"/>
      <c r="E1183" s="9"/>
      <c r="F1183" s="9"/>
      <c r="G1183" s="9"/>
      <c r="H1183" s="9"/>
      <c r="I1183" s="9"/>
      <c r="J1183" s="9"/>
      <c r="K1183" s="9"/>
      <c r="L1183" s="9"/>
      <c r="M1183" s="9"/>
      <c r="N1183" s="9"/>
      <c r="O1183" s="9"/>
      <c r="P1183" s="9"/>
      <c r="Q1183" s="9"/>
      <c r="R1183" s="9"/>
      <c r="S1183" s="9"/>
      <c r="T1183" s="9"/>
      <c r="U1183" s="9"/>
      <c r="V1183" s="9"/>
      <c r="W1183" s="9"/>
      <c r="X1183" s="9"/>
      <c r="Y1183" s="9"/>
      <c r="Z1183" s="9"/>
      <c r="AA1183" s="9"/>
      <c r="AB1183" s="9"/>
      <c r="AC1183" s="9"/>
      <c r="AD1183" s="9"/>
      <c r="AE1183" s="9"/>
      <c r="AF1183" s="9"/>
      <c r="AG1183" s="9"/>
      <c r="AH1183" s="9"/>
      <c r="AI1183" s="9"/>
      <c r="AJ1183" s="9"/>
      <c r="AK1183" s="9"/>
      <c r="AL1183" s="9"/>
    </row>
    <row r="1184" spans="1:38">
      <c r="A1184" s="9"/>
      <c r="B1184" s="9"/>
      <c r="C1184" s="9"/>
      <c r="D1184" s="9"/>
      <c r="E1184" s="9"/>
      <c r="F1184" s="9"/>
      <c r="G1184" s="9"/>
      <c r="H1184" s="9"/>
      <c r="I1184" s="9"/>
      <c r="J1184" s="9"/>
      <c r="K1184" s="9"/>
      <c r="L1184" s="9"/>
      <c r="M1184" s="9"/>
      <c r="N1184" s="9"/>
      <c r="O1184" s="9"/>
      <c r="P1184" s="9"/>
      <c r="Q1184" s="9"/>
      <c r="R1184" s="9"/>
      <c r="S1184" s="9"/>
      <c r="T1184" s="9"/>
      <c r="U1184" s="9"/>
      <c r="V1184" s="9"/>
      <c r="W1184" s="9"/>
      <c r="X1184" s="9"/>
      <c r="Y1184" s="9"/>
      <c r="Z1184" s="9"/>
      <c r="AA1184" s="9"/>
      <c r="AB1184" s="9"/>
      <c r="AC1184" s="9"/>
      <c r="AD1184" s="9"/>
      <c r="AE1184" s="9"/>
      <c r="AF1184" s="9"/>
      <c r="AG1184" s="9"/>
      <c r="AH1184" s="9"/>
      <c r="AI1184" s="9"/>
      <c r="AJ1184" s="9"/>
      <c r="AK1184" s="9"/>
      <c r="AL1184" s="9"/>
    </row>
    <row r="1185" spans="1:38">
      <c r="A1185" s="9"/>
      <c r="B1185" s="9"/>
      <c r="C1185" s="9"/>
      <c r="D1185" s="9"/>
      <c r="E1185" s="9"/>
      <c r="F1185" s="9"/>
      <c r="G1185" s="9"/>
      <c r="H1185" s="9"/>
      <c r="I1185" s="9"/>
      <c r="J1185" s="9"/>
      <c r="K1185" s="9"/>
      <c r="L1185" s="9"/>
      <c r="M1185" s="9"/>
      <c r="N1185" s="9"/>
      <c r="O1185" s="9"/>
      <c r="P1185" s="9"/>
      <c r="Q1185" s="9"/>
      <c r="R1185" s="9"/>
      <c r="S1185" s="9"/>
      <c r="T1185" s="9"/>
      <c r="U1185" s="9"/>
      <c r="V1185" s="9"/>
      <c r="W1185" s="9"/>
      <c r="X1185" s="9"/>
      <c r="Y1185" s="9"/>
      <c r="Z1185" s="9"/>
      <c r="AA1185" s="9"/>
      <c r="AB1185" s="9"/>
      <c r="AC1185" s="9"/>
      <c r="AD1185" s="9"/>
      <c r="AE1185" s="9"/>
      <c r="AF1185" s="9"/>
      <c r="AG1185" s="9"/>
      <c r="AH1185" s="9"/>
      <c r="AI1185" s="9"/>
      <c r="AJ1185" s="9"/>
      <c r="AK1185" s="9"/>
      <c r="AL1185" s="9"/>
    </row>
    <row r="1186" spans="1:38">
      <c r="A1186" s="9"/>
      <c r="B1186" s="9"/>
      <c r="C1186" s="9"/>
      <c r="D1186" s="9"/>
      <c r="E1186" s="9"/>
      <c r="F1186" s="9"/>
      <c r="G1186" s="9"/>
      <c r="H1186" s="9"/>
      <c r="I1186" s="9"/>
      <c r="J1186" s="9"/>
      <c r="K1186" s="9"/>
      <c r="L1186" s="9"/>
      <c r="M1186" s="9"/>
      <c r="N1186" s="9"/>
      <c r="O1186" s="9"/>
      <c r="P1186" s="9"/>
      <c r="Q1186" s="9"/>
      <c r="R1186" s="9"/>
      <c r="S1186" s="9"/>
      <c r="T1186" s="9"/>
      <c r="U1186" s="9"/>
      <c r="V1186" s="9"/>
      <c r="W1186" s="9"/>
      <c r="X1186" s="9"/>
      <c r="Y1186" s="9"/>
      <c r="Z1186" s="9"/>
      <c r="AA1186" s="9"/>
      <c r="AB1186" s="9"/>
      <c r="AC1186" s="9"/>
      <c r="AD1186" s="9"/>
      <c r="AE1186" s="9"/>
      <c r="AF1186" s="9"/>
      <c r="AG1186" s="9"/>
      <c r="AH1186" s="9"/>
      <c r="AI1186" s="9"/>
      <c r="AJ1186" s="9"/>
      <c r="AK1186" s="9"/>
      <c r="AL1186" s="9"/>
    </row>
    <row r="1187" spans="1:38">
      <c r="A1187" s="9"/>
      <c r="B1187" s="9"/>
      <c r="C1187" s="9"/>
      <c r="D1187" s="9"/>
      <c r="E1187" s="9"/>
      <c r="F1187" s="9"/>
      <c r="G1187" s="9"/>
      <c r="H1187" s="9"/>
      <c r="I1187" s="9"/>
      <c r="J1187" s="9"/>
      <c r="K1187" s="9"/>
      <c r="L1187" s="9"/>
      <c r="M1187" s="9"/>
      <c r="N1187" s="9"/>
      <c r="O1187" s="9"/>
      <c r="P1187" s="9"/>
      <c r="Q1187" s="9"/>
      <c r="R1187" s="9"/>
      <c r="S1187" s="9"/>
      <c r="T1187" s="9"/>
      <c r="U1187" s="9"/>
      <c r="V1187" s="9"/>
      <c r="W1187" s="9"/>
      <c r="X1187" s="9"/>
      <c r="Y1187" s="9"/>
      <c r="Z1187" s="9"/>
      <c r="AA1187" s="9"/>
      <c r="AB1187" s="9"/>
      <c r="AC1187" s="9"/>
      <c r="AD1187" s="9"/>
      <c r="AE1187" s="9"/>
      <c r="AF1187" s="9"/>
      <c r="AG1187" s="9"/>
      <c r="AH1187" s="9"/>
      <c r="AI1187" s="9"/>
      <c r="AJ1187" s="9"/>
      <c r="AK1187" s="9"/>
      <c r="AL1187" s="9"/>
    </row>
    <row r="1188" spans="1:38">
      <c r="A1188" s="9"/>
      <c r="B1188" s="9"/>
      <c r="C1188" s="9"/>
      <c r="D1188" s="9"/>
      <c r="E1188" s="9"/>
      <c r="F1188" s="9"/>
      <c r="G1188" s="9"/>
      <c r="H1188" s="9"/>
      <c r="I1188" s="9"/>
      <c r="J1188" s="9"/>
      <c r="K1188" s="9"/>
      <c r="L1188" s="9"/>
      <c r="M1188" s="9"/>
      <c r="N1188" s="9"/>
      <c r="O1188" s="9"/>
      <c r="P1188" s="9"/>
      <c r="Q1188" s="9"/>
      <c r="R1188" s="9"/>
      <c r="S1188" s="9"/>
      <c r="T1188" s="9"/>
      <c r="U1188" s="9"/>
      <c r="V1188" s="9"/>
      <c r="W1188" s="9"/>
      <c r="X1188" s="9"/>
      <c r="Y1188" s="9"/>
      <c r="Z1188" s="9"/>
      <c r="AA1188" s="9"/>
      <c r="AB1188" s="9"/>
      <c r="AC1188" s="9"/>
      <c r="AD1188" s="9"/>
      <c r="AE1188" s="9"/>
      <c r="AF1188" s="9"/>
      <c r="AG1188" s="9"/>
      <c r="AH1188" s="9"/>
      <c r="AI1188" s="9"/>
      <c r="AJ1188" s="9"/>
      <c r="AK1188" s="9"/>
      <c r="AL1188" s="9"/>
    </row>
    <row r="1189" spans="1:38">
      <c r="A1189" s="9"/>
      <c r="B1189" s="9"/>
      <c r="C1189" s="9"/>
      <c r="D1189" s="9"/>
      <c r="E1189" s="9"/>
      <c r="F1189" s="9"/>
      <c r="G1189" s="9"/>
      <c r="H1189" s="9"/>
      <c r="I1189" s="9"/>
      <c r="J1189" s="9"/>
      <c r="K1189" s="9"/>
      <c r="L1189" s="9"/>
      <c r="M1189" s="9"/>
      <c r="N1189" s="9"/>
      <c r="O1189" s="9"/>
      <c r="P1189" s="9"/>
      <c r="Q1189" s="9"/>
      <c r="R1189" s="9"/>
      <c r="S1189" s="9"/>
      <c r="T1189" s="9"/>
      <c r="U1189" s="9"/>
      <c r="V1189" s="9"/>
      <c r="W1189" s="9"/>
      <c r="X1189" s="9"/>
      <c r="Y1189" s="9"/>
      <c r="Z1189" s="9"/>
      <c r="AA1189" s="9"/>
      <c r="AB1189" s="9"/>
      <c r="AC1189" s="9"/>
      <c r="AD1189" s="9"/>
      <c r="AE1189" s="9"/>
      <c r="AF1189" s="9"/>
      <c r="AG1189" s="9"/>
      <c r="AH1189" s="9"/>
      <c r="AI1189" s="9"/>
      <c r="AJ1189" s="9"/>
      <c r="AK1189" s="9"/>
      <c r="AL1189" s="9"/>
    </row>
    <row r="1190" spans="1:38">
      <c r="A1190" s="9"/>
      <c r="B1190" s="9"/>
      <c r="C1190" s="9"/>
      <c r="D1190" s="9"/>
      <c r="E1190" s="9"/>
      <c r="F1190" s="9"/>
      <c r="G1190" s="9"/>
      <c r="H1190" s="9"/>
      <c r="I1190" s="9"/>
      <c r="J1190" s="9"/>
      <c r="K1190" s="9"/>
      <c r="L1190" s="9"/>
      <c r="M1190" s="9"/>
      <c r="N1190" s="9"/>
      <c r="O1190" s="9"/>
      <c r="P1190" s="9"/>
      <c r="Q1190" s="9"/>
      <c r="R1190" s="9"/>
      <c r="S1190" s="9"/>
      <c r="T1190" s="9"/>
      <c r="U1190" s="9"/>
      <c r="V1190" s="9"/>
      <c r="W1190" s="9"/>
      <c r="X1190" s="9"/>
      <c r="Y1190" s="9"/>
      <c r="Z1190" s="9"/>
      <c r="AA1190" s="9"/>
      <c r="AB1190" s="9"/>
      <c r="AC1190" s="9"/>
      <c r="AD1190" s="9"/>
      <c r="AE1190" s="9"/>
      <c r="AF1190" s="9"/>
      <c r="AG1190" s="9"/>
      <c r="AH1190" s="9"/>
      <c r="AI1190" s="9"/>
      <c r="AJ1190" s="9"/>
      <c r="AK1190" s="9"/>
      <c r="AL1190" s="9"/>
    </row>
    <row r="1191" spans="1:38">
      <c r="A1191" s="9"/>
      <c r="B1191" s="9"/>
      <c r="C1191" s="9"/>
      <c r="D1191" s="9"/>
      <c r="E1191" s="9"/>
      <c r="F1191" s="9"/>
      <c r="G1191" s="9"/>
      <c r="H1191" s="9"/>
      <c r="I1191" s="9"/>
      <c r="J1191" s="9"/>
      <c r="K1191" s="9"/>
      <c r="L1191" s="9"/>
      <c r="M1191" s="9"/>
      <c r="N1191" s="9"/>
      <c r="O1191" s="9"/>
      <c r="P1191" s="9"/>
      <c r="Q1191" s="9"/>
      <c r="R1191" s="9"/>
      <c r="S1191" s="9"/>
      <c r="T1191" s="9"/>
      <c r="U1191" s="9"/>
      <c r="V1191" s="9"/>
      <c r="W1191" s="9"/>
      <c r="X1191" s="9"/>
      <c r="Y1191" s="9"/>
      <c r="Z1191" s="9"/>
      <c r="AA1191" s="9"/>
      <c r="AB1191" s="9"/>
      <c r="AC1191" s="9"/>
      <c r="AD1191" s="9"/>
      <c r="AE1191" s="9"/>
      <c r="AF1191" s="9"/>
      <c r="AG1191" s="9"/>
      <c r="AH1191" s="9"/>
      <c r="AI1191" s="9"/>
      <c r="AJ1191" s="9"/>
      <c r="AK1191" s="9"/>
      <c r="AL1191" s="9"/>
    </row>
    <row r="1193" spans="1:38">
      <c r="A1193" s="9"/>
      <c r="B1193" s="9"/>
      <c r="C1193" s="9"/>
      <c r="D1193" s="9"/>
      <c r="E1193" s="9"/>
      <c r="F1193" s="9"/>
      <c r="G1193" s="9"/>
      <c r="H1193" s="9"/>
      <c r="I1193" s="9"/>
      <c r="J1193" s="9"/>
      <c r="K1193" s="9"/>
      <c r="L1193" s="9"/>
      <c r="M1193" s="9"/>
      <c r="N1193" s="9"/>
      <c r="O1193" s="9"/>
      <c r="P1193" s="9"/>
      <c r="Q1193" s="9"/>
      <c r="R1193" s="9"/>
      <c r="S1193" s="9"/>
      <c r="T1193" s="9"/>
      <c r="U1193" s="9"/>
      <c r="V1193" s="9"/>
      <c r="W1193" s="9"/>
      <c r="X1193" s="9"/>
      <c r="Y1193" s="9"/>
      <c r="Z1193" s="9"/>
      <c r="AA1193" s="9"/>
      <c r="AB1193" s="9"/>
      <c r="AC1193" s="9"/>
      <c r="AD1193" s="9"/>
      <c r="AE1193" s="9"/>
      <c r="AF1193" s="9"/>
      <c r="AG1193" s="9"/>
      <c r="AH1193" s="9"/>
      <c r="AI1193" s="9"/>
      <c r="AJ1193" s="9"/>
      <c r="AK1193" s="9"/>
      <c r="AL1193" s="9"/>
    </row>
    <row r="1194" spans="1:38">
      <c r="A1194" s="9"/>
      <c r="B1194" s="9"/>
      <c r="C1194" s="9"/>
      <c r="D1194" s="9"/>
      <c r="E1194" s="9"/>
      <c r="F1194" s="9"/>
      <c r="G1194" s="9"/>
      <c r="H1194" s="9"/>
      <c r="I1194" s="9"/>
      <c r="J1194" s="9"/>
      <c r="K1194" s="9"/>
      <c r="L1194" s="9"/>
      <c r="M1194" s="9"/>
      <c r="N1194" s="9"/>
      <c r="O1194" s="9"/>
      <c r="P1194" s="9"/>
      <c r="Q1194" s="9"/>
      <c r="R1194" s="9"/>
      <c r="S1194" s="9"/>
      <c r="T1194" s="9"/>
      <c r="U1194" s="9"/>
      <c r="V1194" s="9"/>
      <c r="W1194" s="9"/>
      <c r="X1194" s="9"/>
      <c r="Y1194" s="9"/>
      <c r="Z1194" s="9"/>
      <c r="AA1194" s="9"/>
      <c r="AB1194" s="9"/>
      <c r="AC1194" s="9"/>
      <c r="AD1194" s="9"/>
      <c r="AE1194" s="9"/>
      <c r="AF1194" s="9"/>
      <c r="AG1194" s="9"/>
      <c r="AH1194" s="9"/>
      <c r="AI1194" s="9"/>
      <c r="AJ1194" s="9"/>
      <c r="AK1194" s="9"/>
      <c r="AL1194" s="9"/>
    </row>
    <row r="1195" spans="1:38">
      <c r="A1195" s="9"/>
      <c r="B1195" s="9"/>
      <c r="C1195" s="9"/>
      <c r="D1195" s="9"/>
      <c r="E1195" s="9"/>
      <c r="F1195" s="9"/>
      <c r="G1195" s="9"/>
      <c r="H1195" s="9"/>
      <c r="I1195" s="9"/>
      <c r="J1195" s="9"/>
      <c r="K1195" s="9"/>
      <c r="L1195" s="9"/>
      <c r="M1195" s="9"/>
      <c r="N1195" s="9"/>
      <c r="O1195" s="9"/>
      <c r="P1195" s="9"/>
      <c r="Q1195" s="9"/>
      <c r="R1195" s="9"/>
      <c r="S1195" s="9"/>
      <c r="T1195" s="9"/>
      <c r="U1195" s="9"/>
      <c r="V1195" s="9"/>
      <c r="W1195" s="9"/>
      <c r="X1195" s="9"/>
      <c r="Y1195" s="9"/>
      <c r="Z1195" s="9"/>
      <c r="AA1195" s="9"/>
      <c r="AB1195" s="9"/>
      <c r="AC1195" s="9"/>
      <c r="AD1195" s="9"/>
      <c r="AE1195" s="9"/>
      <c r="AF1195" s="9"/>
      <c r="AG1195" s="9"/>
      <c r="AH1195" s="9"/>
      <c r="AI1195" s="9"/>
      <c r="AJ1195" s="9"/>
      <c r="AK1195" s="9"/>
      <c r="AL1195" s="9"/>
    </row>
    <row r="1196" spans="1:38">
      <c r="A1196" s="9"/>
      <c r="B1196" s="9"/>
      <c r="C1196" s="9"/>
      <c r="D1196" s="9"/>
      <c r="E1196" s="9"/>
      <c r="F1196" s="9"/>
      <c r="G1196" s="9"/>
      <c r="H1196" s="9"/>
      <c r="I1196" s="9"/>
      <c r="J1196" s="9"/>
      <c r="K1196" s="9"/>
      <c r="L1196" s="9"/>
      <c r="M1196" s="9"/>
      <c r="N1196" s="9"/>
      <c r="O1196" s="9"/>
      <c r="P1196" s="9"/>
      <c r="Q1196" s="9"/>
      <c r="R1196" s="9"/>
      <c r="S1196" s="9"/>
      <c r="T1196" s="9"/>
      <c r="U1196" s="9"/>
      <c r="V1196" s="9"/>
      <c r="W1196" s="9"/>
      <c r="X1196" s="9"/>
      <c r="Y1196" s="9"/>
      <c r="Z1196" s="9"/>
      <c r="AA1196" s="9"/>
      <c r="AB1196" s="9"/>
      <c r="AC1196" s="9"/>
      <c r="AD1196" s="9"/>
      <c r="AE1196" s="9"/>
      <c r="AF1196" s="9"/>
      <c r="AG1196" s="9"/>
      <c r="AH1196" s="9"/>
      <c r="AI1196" s="9"/>
      <c r="AJ1196" s="9"/>
      <c r="AK1196" s="9"/>
      <c r="AL1196" s="9"/>
    </row>
    <row r="1197" spans="1:38">
      <c r="A1197" s="9"/>
      <c r="B1197" s="9"/>
      <c r="C1197" s="9"/>
      <c r="D1197" s="9"/>
      <c r="E1197" s="9"/>
      <c r="F1197" s="9"/>
      <c r="G1197" s="9"/>
      <c r="H1197" s="9"/>
      <c r="I1197" s="9"/>
      <c r="J1197" s="9"/>
      <c r="K1197" s="9"/>
      <c r="L1197" s="9"/>
      <c r="M1197" s="9"/>
      <c r="N1197" s="9"/>
      <c r="O1197" s="9"/>
      <c r="P1197" s="9"/>
      <c r="Q1197" s="9"/>
      <c r="R1197" s="9"/>
      <c r="S1197" s="9"/>
      <c r="T1197" s="9"/>
      <c r="U1197" s="9"/>
      <c r="V1197" s="9"/>
      <c r="W1197" s="9"/>
      <c r="X1197" s="9"/>
      <c r="Y1197" s="9"/>
      <c r="Z1197" s="9"/>
      <c r="AA1197" s="9"/>
      <c r="AB1197" s="9"/>
      <c r="AC1197" s="9"/>
      <c r="AD1197" s="9"/>
      <c r="AE1197" s="9"/>
      <c r="AF1197" s="9"/>
      <c r="AG1197" s="9"/>
      <c r="AH1197" s="9"/>
      <c r="AI1197" s="9"/>
      <c r="AJ1197" s="9"/>
      <c r="AK1197" s="9"/>
      <c r="AL1197" s="9"/>
    </row>
    <row r="1198" spans="1:38">
      <c r="A1198" s="9"/>
      <c r="B1198" s="9"/>
      <c r="C1198" s="9"/>
      <c r="D1198" s="9"/>
      <c r="E1198" s="9"/>
      <c r="F1198" s="9"/>
      <c r="G1198" s="9"/>
      <c r="H1198" s="9"/>
      <c r="I1198" s="9"/>
      <c r="J1198" s="9"/>
      <c r="K1198" s="9"/>
      <c r="L1198" s="9"/>
      <c r="M1198" s="9"/>
      <c r="N1198" s="9"/>
      <c r="O1198" s="9"/>
      <c r="P1198" s="9"/>
      <c r="Q1198" s="9"/>
      <c r="R1198" s="9"/>
      <c r="S1198" s="9"/>
      <c r="T1198" s="9"/>
      <c r="U1198" s="9"/>
      <c r="V1198" s="9"/>
      <c r="W1198" s="9"/>
      <c r="X1198" s="9"/>
      <c r="Y1198" s="9"/>
      <c r="Z1198" s="9"/>
      <c r="AA1198" s="9"/>
      <c r="AB1198" s="9"/>
      <c r="AC1198" s="9"/>
      <c r="AD1198" s="9"/>
      <c r="AE1198" s="9"/>
      <c r="AF1198" s="9"/>
      <c r="AG1198" s="9"/>
      <c r="AH1198" s="9"/>
      <c r="AI1198" s="9"/>
      <c r="AJ1198" s="9"/>
      <c r="AK1198" s="9"/>
      <c r="AL1198" s="9"/>
    </row>
    <row r="1199" spans="1:38">
      <c r="A1199" s="9"/>
      <c r="B1199" s="9"/>
      <c r="C1199" s="9"/>
      <c r="D1199" s="9"/>
      <c r="E1199" s="9"/>
      <c r="F1199" s="9"/>
      <c r="G1199" s="9"/>
      <c r="H1199" s="9"/>
      <c r="I1199" s="9"/>
      <c r="J1199" s="9"/>
      <c r="K1199" s="9"/>
      <c r="L1199" s="9"/>
      <c r="M1199" s="9"/>
      <c r="N1199" s="9"/>
      <c r="O1199" s="9"/>
      <c r="P1199" s="9"/>
      <c r="Q1199" s="9"/>
      <c r="R1199" s="9"/>
      <c r="S1199" s="9"/>
      <c r="T1199" s="9"/>
      <c r="U1199" s="9"/>
      <c r="V1199" s="9"/>
      <c r="W1199" s="9"/>
      <c r="X1199" s="9"/>
      <c r="Y1199" s="9"/>
      <c r="Z1199" s="9"/>
      <c r="AA1199" s="9"/>
      <c r="AB1199" s="9"/>
      <c r="AC1199" s="9"/>
      <c r="AD1199" s="9"/>
      <c r="AE1199" s="9"/>
      <c r="AF1199" s="9"/>
      <c r="AG1199" s="9"/>
      <c r="AH1199" s="9"/>
      <c r="AI1199" s="9"/>
      <c r="AJ1199" s="9"/>
      <c r="AK1199" s="9"/>
      <c r="AL1199" s="9"/>
    </row>
    <row r="1200" spans="1:38">
      <c r="A1200" s="9"/>
      <c r="B1200" s="9"/>
      <c r="C1200" s="9"/>
      <c r="D1200" s="9"/>
      <c r="E1200" s="9"/>
      <c r="F1200" s="9"/>
      <c r="G1200" s="9"/>
      <c r="H1200" s="9"/>
      <c r="I1200" s="9"/>
      <c r="J1200" s="9"/>
      <c r="K1200" s="9"/>
      <c r="L1200" s="9"/>
      <c r="M1200" s="9"/>
      <c r="N1200" s="9"/>
      <c r="O1200" s="9"/>
      <c r="P1200" s="9"/>
      <c r="Q1200" s="9"/>
      <c r="R1200" s="9"/>
      <c r="S1200" s="9"/>
      <c r="T1200" s="9"/>
      <c r="U1200" s="9"/>
      <c r="V1200" s="9"/>
      <c r="W1200" s="9"/>
      <c r="X1200" s="9"/>
      <c r="Y1200" s="9"/>
      <c r="Z1200" s="9"/>
      <c r="AA1200" s="9"/>
      <c r="AB1200" s="9"/>
      <c r="AC1200" s="9"/>
      <c r="AD1200" s="9"/>
      <c r="AE1200" s="9"/>
      <c r="AF1200" s="9"/>
      <c r="AG1200" s="9"/>
      <c r="AH1200" s="9"/>
      <c r="AI1200" s="9"/>
      <c r="AJ1200" s="9"/>
      <c r="AK1200" s="9"/>
      <c r="AL1200" s="9"/>
    </row>
    <row r="1201" spans="1:38">
      <c r="A1201" s="9"/>
      <c r="B1201" s="9"/>
      <c r="C1201" s="9"/>
      <c r="D1201" s="9"/>
      <c r="E1201" s="9"/>
      <c r="F1201" s="9"/>
      <c r="G1201" s="9"/>
      <c r="H1201" s="9"/>
      <c r="I1201" s="9"/>
      <c r="J1201" s="9"/>
      <c r="K1201" s="9"/>
      <c r="L1201" s="9"/>
      <c r="M1201" s="9"/>
      <c r="N1201" s="9"/>
      <c r="O1201" s="9"/>
      <c r="P1201" s="9"/>
      <c r="Q1201" s="9"/>
      <c r="R1201" s="9"/>
      <c r="S1201" s="9"/>
      <c r="T1201" s="9"/>
      <c r="U1201" s="9"/>
      <c r="V1201" s="9"/>
      <c r="W1201" s="9"/>
      <c r="X1201" s="9"/>
      <c r="Y1201" s="9"/>
      <c r="Z1201" s="9"/>
      <c r="AA1201" s="9"/>
      <c r="AB1201" s="9"/>
      <c r="AC1201" s="9"/>
      <c r="AD1201" s="9"/>
      <c r="AE1201" s="9"/>
      <c r="AF1201" s="9"/>
      <c r="AG1201" s="9"/>
      <c r="AH1201" s="9"/>
      <c r="AI1201" s="9"/>
      <c r="AJ1201" s="9"/>
      <c r="AK1201" s="9"/>
      <c r="AL1201" s="9"/>
    </row>
    <row r="1202" spans="1:38">
      <c r="A1202" s="9"/>
      <c r="B1202" s="9"/>
      <c r="C1202" s="9"/>
      <c r="D1202" s="9"/>
      <c r="E1202" s="9"/>
      <c r="F1202" s="9"/>
      <c r="G1202" s="9"/>
      <c r="H1202" s="9"/>
      <c r="I1202" s="9"/>
      <c r="J1202" s="9"/>
      <c r="K1202" s="9"/>
      <c r="L1202" s="9"/>
      <c r="M1202" s="9"/>
      <c r="N1202" s="9"/>
      <c r="O1202" s="9"/>
      <c r="P1202" s="9"/>
      <c r="Q1202" s="9"/>
      <c r="R1202" s="9"/>
      <c r="S1202" s="9"/>
      <c r="T1202" s="9"/>
      <c r="U1202" s="9"/>
      <c r="V1202" s="9"/>
      <c r="W1202" s="9"/>
      <c r="X1202" s="9"/>
      <c r="Y1202" s="9"/>
      <c r="Z1202" s="9"/>
      <c r="AA1202" s="9"/>
      <c r="AB1202" s="9"/>
      <c r="AC1202" s="9"/>
      <c r="AD1202" s="9"/>
      <c r="AE1202" s="9"/>
      <c r="AF1202" s="9"/>
      <c r="AG1202" s="9"/>
      <c r="AH1202" s="9"/>
      <c r="AI1202" s="9"/>
      <c r="AJ1202" s="9"/>
      <c r="AK1202" s="9"/>
      <c r="AL1202" s="9"/>
    </row>
    <row r="1203" spans="1:38">
      <c r="A1203" s="9"/>
      <c r="B1203" s="9"/>
      <c r="C1203" s="9"/>
      <c r="D1203" s="9"/>
      <c r="E1203" s="9"/>
      <c r="F1203" s="9"/>
      <c r="G1203" s="9"/>
      <c r="H1203" s="9"/>
      <c r="I1203" s="9"/>
      <c r="J1203" s="9"/>
      <c r="K1203" s="9"/>
      <c r="L1203" s="9"/>
      <c r="M1203" s="9"/>
      <c r="N1203" s="9"/>
      <c r="O1203" s="9"/>
      <c r="P1203" s="9"/>
      <c r="Q1203" s="9"/>
      <c r="R1203" s="9"/>
      <c r="S1203" s="9"/>
      <c r="T1203" s="9"/>
      <c r="U1203" s="9"/>
      <c r="V1203" s="9"/>
      <c r="W1203" s="9"/>
      <c r="X1203" s="9"/>
      <c r="Y1203" s="9"/>
      <c r="Z1203" s="9"/>
      <c r="AA1203" s="9"/>
      <c r="AB1203" s="9"/>
      <c r="AC1203" s="9"/>
      <c r="AD1203" s="9"/>
      <c r="AE1203" s="9"/>
      <c r="AF1203" s="9"/>
      <c r="AG1203" s="9"/>
      <c r="AH1203" s="9"/>
      <c r="AI1203" s="9"/>
      <c r="AJ1203" s="9"/>
      <c r="AK1203" s="9"/>
      <c r="AL1203" s="9"/>
    </row>
    <row r="1204" spans="1:38">
      <c r="A1204" s="9"/>
      <c r="B1204" s="9"/>
      <c r="C1204" s="9"/>
      <c r="D1204" s="9"/>
      <c r="E1204" s="9"/>
      <c r="F1204" s="9"/>
      <c r="G1204" s="9"/>
      <c r="H1204" s="9"/>
      <c r="I1204" s="9"/>
      <c r="J1204" s="9"/>
      <c r="K1204" s="9"/>
      <c r="L1204" s="9"/>
      <c r="M1204" s="9"/>
      <c r="N1204" s="9"/>
      <c r="O1204" s="9"/>
      <c r="P1204" s="9"/>
      <c r="Q1204" s="9"/>
      <c r="R1204" s="9"/>
      <c r="S1204" s="9"/>
      <c r="T1204" s="9"/>
      <c r="U1204" s="9"/>
      <c r="V1204" s="9"/>
      <c r="W1204" s="9"/>
      <c r="X1204" s="9"/>
      <c r="Y1204" s="9"/>
      <c r="Z1204" s="9"/>
      <c r="AA1204" s="9"/>
      <c r="AB1204" s="9"/>
      <c r="AC1204" s="9"/>
      <c r="AD1204" s="9"/>
      <c r="AE1204" s="9"/>
      <c r="AF1204" s="9"/>
      <c r="AG1204" s="9"/>
      <c r="AH1204" s="9"/>
      <c r="AI1204" s="9"/>
      <c r="AJ1204" s="9"/>
      <c r="AK1204" s="9"/>
      <c r="AL1204" s="9"/>
    </row>
    <row r="1205" spans="1:38">
      <c r="A1205" s="9"/>
      <c r="B1205" s="9"/>
      <c r="C1205" s="9"/>
      <c r="D1205" s="9"/>
      <c r="E1205" s="9"/>
      <c r="F1205" s="9"/>
      <c r="G1205" s="9"/>
      <c r="H1205" s="9"/>
      <c r="I1205" s="9"/>
      <c r="J1205" s="9"/>
      <c r="K1205" s="9"/>
      <c r="L1205" s="9"/>
      <c r="M1205" s="9"/>
      <c r="N1205" s="9"/>
      <c r="O1205" s="9"/>
      <c r="P1205" s="9"/>
      <c r="Q1205" s="9"/>
      <c r="R1205" s="9"/>
      <c r="S1205" s="9"/>
      <c r="T1205" s="9"/>
      <c r="U1205" s="9"/>
      <c r="V1205" s="9"/>
      <c r="W1205" s="9"/>
      <c r="X1205" s="9"/>
      <c r="Y1205" s="9"/>
      <c r="Z1205" s="9"/>
      <c r="AA1205" s="9"/>
      <c r="AB1205" s="9"/>
      <c r="AC1205" s="9"/>
      <c r="AD1205" s="9"/>
      <c r="AE1205" s="9"/>
      <c r="AF1205" s="9"/>
      <c r="AG1205" s="9"/>
      <c r="AH1205" s="9"/>
      <c r="AI1205" s="9"/>
      <c r="AJ1205" s="9"/>
      <c r="AK1205" s="9"/>
      <c r="AL1205" s="9"/>
    </row>
    <row r="1206" spans="1:38">
      <c r="A1206" s="9"/>
      <c r="B1206" s="9"/>
      <c r="C1206" s="9"/>
      <c r="D1206" s="9"/>
      <c r="E1206" s="9"/>
      <c r="F1206" s="9"/>
      <c r="G1206" s="9"/>
      <c r="H1206" s="9"/>
      <c r="I1206" s="9"/>
      <c r="J1206" s="9"/>
      <c r="K1206" s="9"/>
      <c r="L1206" s="9"/>
      <c r="M1206" s="9"/>
      <c r="N1206" s="9"/>
      <c r="O1206" s="9"/>
      <c r="P1206" s="9"/>
      <c r="Q1206" s="9"/>
      <c r="R1206" s="9"/>
      <c r="S1206" s="9"/>
      <c r="T1206" s="9"/>
      <c r="U1206" s="9"/>
      <c r="V1206" s="9"/>
      <c r="W1206" s="9"/>
      <c r="X1206" s="9"/>
      <c r="Y1206" s="9"/>
      <c r="Z1206" s="9"/>
      <c r="AA1206" s="9"/>
      <c r="AB1206" s="9"/>
      <c r="AC1206" s="9"/>
      <c r="AD1206" s="9"/>
      <c r="AE1206" s="9"/>
      <c r="AF1206" s="9"/>
      <c r="AG1206" s="9"/>
      <c r="AH1206" s="9"/>
      <c r="AI1206" s="9"/>
      <c r="AJ1206" s="9"/>
      <c r="AK1206" s="9"/>
      <c r="AL1206" s="9"/>
    </row>
    <row r="1207" spans="1:38">
      <c r="A1207" s="9"/>
      <c r="B1207" s="9"/>
      <c r="C1207" s="9"/>
      <c r="D1207" s="9"/>
      <c r="E1207" s="9"/>
      <c r="F1207" s="9"/>
      <c r="G1207" s="9"/>
      <c r="H1207" s="9"/>
      <c r="I1207" s="9"/>
      <c r="J1207" s="9"/>
      <c r="K1207" s="9"/>
      <c r="L1207" s="9"/>
      <c r="M1207" s="9"/>
      <c r="N1207" s="9"/>
      <c r="O1207" s="9"/>
      <c r="P1207" s="9"/>
      <c r="Q1207" s="9"/>
      <c r="R1207" s="9"/>
      <c r="S1207" s="9"/>
      <c r="T1207" s="9"/>
      <c r="U1207" s="9"/>
      <c r="V1207" s="9"/>
      <c r="W1207" s="9"/>
      <c r="X1207" s="9"/>
      <c r="Y1207" s="9"/>
      <c r="Z1207" s="9"/>
      <c r="AA1207" s="9"/>
      <c r="AB1207" s="9"/>
      <c r="AC1207" s="9"/>
      <c r="AD1207" s="9"/>
      <c r="AE1207" s="9"/>
      <c r="AF1207" s="9"/>
      <c r="AG1207" s="9"/>
      <c r="AH1207" s="9"/>
      <c r="AI1207" s="9"/>
      <c r="AJ1207" s="9"/>
      <c r="AK1207" s="9"/>
      <c r="AL1207" s="9"/>
    </row>
    <row r="1208" spans="1:38">
      <c r="A1208" s="9"/>
      <c r="B1208" s="9"/>
      <c r="C1208" s="9"/>
      <c r="D1208" s="9"/>
      <c r="E1208" s="9"/>
      <c r="F1208" s="9"/>
      <c r="G1208" s="9"/>
      <c r="H1208" s="9"/>
      <c r="I1208" s="9"/>
      <c r="J1208" s="9"/>
      <c r="K1208" s="9"/>
      <c r="L1208" s="9"/>
      <c r="M1208" s="9"/>
      <c r="N1208" s="9"/>
      <c r="O1208" s="9"/>
      <c r="P1208" s="9"/>
      <c r="Q1208" s="9"/>
      <c r="R1208" s="9"/>
      <c r="S1208" s="9"/>
      <c r="T1208" s="9"/>
      <c r="U1208" s="9"/>
      <c r="V1208" s="9"/>
      <c r="W1208" s="9"/>
      <c r="X1208" s="9"/>
      <c r="Y1208" s="9"/>
      <c r="Z1208" s="9"/>
      <c r="AA1208" s="9"/>
      <c r="AB1208" s="9"/>
      <c r="AC1208" s="9"/>
      <c r="AD1208" s="9"/>
      <c r="AE1208" s="9"/>
      <c r="AF1208" s="9"/>
      <c r="AG1208" s="9"/>
      <c r="AH1208" s="9"/>
      <c r="AI1208" s="9"/>
      <c r="AJ1208" s="9"/>
      <c r="AK1208" s="9"/>
      <c r="AL1208" s="9"/>
    </row>
    <row r="1209" spans="1:38">
      <c r="A1209" s="9"/>
      <c r="B1209" s="9"/>
      <c r="C1209" s="9"/>
      <c r="D1209" s="9"/>
      <c r="E1209" s="9"/>
      <c r="F1209" s="9"/>
      <c r="G1209" s="9"/>
      <c r="H1209" s="9"/>
      <c r="I1209" s="9"/>
      <c r="J1209" s="9"/>
      <c r="K1209" s="9"/>
      <c r="L1209" s="9"/>
      <c r="M1209" s="9"/>
      <c r="N1209" s="9"/>
      <c r="O1209" s="9"/>
      <c r="P1209" s="9"/>
      <c r="Q1209" s="9"/>
      <c r="R1209" s="9"/>
      <c r="S1209" s="9"/>
      <c r="T1209" s="9"/>
      <c r="U1209" s="9"/>
      <c r="V1209" s="9"/>
      <c r="W1209" s="9"/>
      <c r="X1209" s="9"/>
      <c r="Y1209" s="9"/>
      <c r="Z1209" s="9"/>
      <c r="AA1209" s="9"/>
      <c r="AB1209" s="9"/>
      <c r="AC1209" s="9"/>
      <c r="AD1209" s="9"/>
      <c r="AE1209" s="9"/>
      <c r="AF1209" s="9"/>
      <c r="AG1209" s="9"/>
      <c r="AH1209" s="9"/>
      <c r="AI1209" s="9"/>
      <c r="AJ1209" s="9"/>
      <c r="AK1209" s="9"/>
      <c r="AL1209" s="9"/>
    </row>
    <row r="1210" spans="1:38">
      <c r="A1210" s="9"/>
      <c r="B1210" s="9"/>
      <c r="C1210" s="9"/>
      <c r="D1210" s="9"/>
      <c r="E1210" s="9"/>
      <c r="F1210" s="9"/>
      <c r="G1210" s="9"/>
      <c r="H1210" s="9"/>
      <c r="I1210" s="9"/>
      <c r="J1210" s="9"/>
      <c r="K1210" s="9"/>
      <c r="L1210" s="9"/>
      <c r="M1210" s="9"/>
      <c r="N1210" s="9"/>
      <c r="O1210" s="9"/>
      <c r="P1210" s="9"/>
      <c r="Q1210" s="9"/>
      <c r="R1210" s="9"/>
      <c r="S1210" s="9"/>
      <c r="T1210" s="9"/>
      <c r="U1210" s="9"/>
      <c r="V1210" s="9"/>
      <c r="W1210" s="9"/>
      <c r="X1210" s="9"/>
      <c r="Y1210" s="9"/>
      <c r="Z1210" s="9"/>
      <c r="AA1210" s="9"/>
      <c r="AB1210" s="9"/>
      <c r="AC1210" s="9"/>
      <c r="AD1210" s="9"/>
      <c r="AE1210" s="9"/>
      <c r="AF1210" s="9"/>
      <c r="AG1210" s="9"/>
      <c r="AH1210" s="9"/>
      <c r="AI1210" s="9"/>
      <c r="AJ1210" s="9"/>
      <c r="AK1210" s="9"/>
      <c r="AL1210" s="9"/>
    </row>
    <row r="1211" spans="1:38">
      <c r="A1211" s="9"/>
      <c r="B1211" s="9"/>
      <c r="C1211" s="9"/>
      <c r="D1211" s="9"/>
      <c r="E1211" s="9"/>
      <c r="F1211" s="9"/>
      <c r="G1211" s="9"/>
      <c r="H1211" s="9"/>
      <c r="I1211" s="9"/>
      <c r="J1211" s="9"/>
      <c r="K1211" s="9"/>
      <c r="L1211" s="9"/>
      <c r="M1211" s="9"/>
      <c r="N1211" s="9"/>
      <c r="O1211" s="9"/>
      <c r="P1211" s="9"/>
      <c r="Q1211" s="9"/>
      <c r="R1211" s="9"/>
      <c r="S1211" s="9"/>
      <c r="T1211" s="9"/>
      <c r="U1211" s="9"/>
      <c r="V1211" s="9"/>
      <c r="W1211" s="9"/>
      <c r="X1211" s="9"/>
      <c r="Y1211" s="9"/>
      <c r="Z1211" s="9"/>
      <c r="AA1211" s="9"/>
      <c r="AB1211" s="9"/>
      <c r="AC1211" s="9"/>
      <c r="AD1211" s="9"/>
      <c r="AE1211" s="9"/>
      <c r="AF1211" s="9"/>
      <c r="AG1211" s="9"/>
      <c r="AH1211" s="9"/>
      <c r="AI1211" s="9"/>
      <c r="AJ1211" s="9"/>
      <c r="AK1211" s="9"/>
      <c r="AL1211" s="9"/>
    </row>
    <row r="1212" spans="1:38">
      <c r="A1212" s="9"/>
      <c r="B1212" s="9"/>
      <c r="C1212" s="9"/>
      <c r="D1212" s="9"/>
      <c r="E1212" s="9"/>
      <c r="F1212" s="9"/>
      <c r="G1212" s="9"/>
      <c r="H1212" s="9"/>
      <c r="I1212" s="9"/>
      <c r="J1212" s="9"/>
      <c r="K1212" s="9"/>
      <c r="L1212" s="9"/>
      <c r="M1212" s="9"/>
      <c r="N1212" s="9"/>
      <c r="O1212" s="9"/>
      <c r="P1212" s="9"/>
      <c r="Q1212" s="9"/>
      <c r="R1212" s="9"/>
      <c r="S1212" s="9"/>
      <c r="T1212" s="9"/>
      <c r="U1212" s="9"/>
      <c r="V1212" s="9"/>
      <c r="W1212" s="9"/>
      <c r="X1212" s="9"/>
      <c r="Y1212" s="9"/>
      <c r="Z1212" s="9"/>
      <c r="AA1212" s="9"/>
      <c r="AB1212" s="9"/>
      <c r="AC1212" s="9"/>
      <c r="AD1212" s="9"/>
      <c r="AE1212" s="9"/>
      <c r="AF1212" s="9"/>
      <c r="AG1212" s="9"/>
      <c r="AH1212" s="9"/>
      <c r="AI1212" s="9"/>
      <c r="AJ1212" s="9"/>
      <c r="AK1212" s="9"/>
      <c r="AL1212" s="9"/>
    </row>
    <row r="1213" spans="1:38">
      <c r="A1213" s="9"/>
      <c r="B1213" s="9"/>
      <c r="C1213" s="9"/>
      <c r="D1213" s="9"/>
      <c r="E1213" s="9"/>
      <c r="F1213" s="9"/>
      <c r="G1213" s="9"/>
      <c r="H1213" s="9"/>
      <c r="I1213" s="9"/>
      <c r="J1213" s="9"/>
      <c r="K1213" s="9"/>
      <c r="L1213" s="9"/>
      <c r="M1213" s="9"/>
      <c r="N1213" s="9"/>
      <c r="O1213" s="9"/>
      <c r="P1213" s="9"/>
      <c r="Q1213" s="9"/>
      <c r="R1213" s="9"/>
      <c r="S1213" s="9"/>
      <c r="T1213" s="9"/>
      <c r="U1213" s="9"/>
      <c r="V1213" s="9"/>
      <c r="W1213" s="9"/>
      <c r="X1213" s="9"/>
      <c r="Y1213" s="9"/>
      <c r="Z1213" s="9"/>
      <c r="AA1213" s="9"/>
      <c r="AB1213" s="9"/>
      <c r="AC1213" s="9"/>
      <c r="AD1213" s="9"/>
      <c r="AE1213" s="9"/>
      <c r="AF1213" s="9"/>
      <c r="AG1213" s="9"/>
      <c r="AH1213" s="9"/>
      <c r="AI1213" s="9"/>
      <c r="AJ1213" s="9"/>
      <c r="AK1213" s="9"/>
      <c r="AL1213" s="9"/>
    </row>
    <row r="1214" spans="1:38">
      <c r="A1214" s="9"/>
      <c r="B1214" s="9"/>
      <c r="C1214" s="9"/>
      <c r="D1214" s="9"/>
      <c r="E1214" s="9"/>
      <c r="F1214" s="9"/>
      <c r="G1214" s="9"/>
      <c r="H1214" s="9"/>
      <c r="I1214" s="9"/>
      <c r="J1214" s="9"/>
      <c r="K1214" s="9"/>
      <c r="L1214" s="9"/>
      <c r="M1214" s="9"/>
      <c r="N1214" s="9"/>
      <c r="O1214" s="9"/>
      <c r="P1214" s="9"/>
      <c r="Q1214" s="9"/>
      <c r="R1214" s="9"/>
      <c r="S1214" s="9"/>
      <c r="T1214" s="9"/>
      <c r="U1214" s="9"/>
      <c r="V1214" s="9"/>
      <c r="W1214" s="9"/>
      <c r="X1214" s="9"/>
      <c r="Y1214" s="9"/>
      <c r="Z1214" s="9"/>
      <c r="AA1214" s="9"/>
      <c r="AB1214" s="9"/>
      <c r="AC1214" s="9"/>
      <c r="AD1214" s="9"/>
      <c r="AE1214" s="9"/>
      <c r="AF1214" s="9"/>
      <c r="AG1214" s="9"/>
      <c r="AH1214" s="9"/>
      <c r="AI1214" s="9"/>
      <c r="AJ1214" s="9"/>
      <c r="AK1214" s="9"/>
      <c r="AL1214" s="9"/>
    </row>
    <row r="1215" spans="1:38">
      <c r="A1215" s="9"/>
      <c r="B1215" s="9"/>
      <c r="C1215" s="9"/>
      <c r="D1215" s="9"/>
      <c r="E1215" s="9"/>
      <c r="F1215" s="9"/>
      <c r="G1215" s="9"/>
      <c r="H1215" s="9"/>
      <c r="I1215" s="9"/>
      <c r="J1215" s="9"/>
      <c r="K1215" s="9"/>
      <c r="L1215" s="9"/>
      <c r="M1215" s="9"/>
      <c r="N1215" s="9"/>
      <c r="O1215" s="9"/>
      <c r="P1215" s="9"/>
      <c r="Q1215" s="9"/>
      <c r="R1215" s="9"/>
      <c r="S1215" s="9"/>
      <c r="T1215" s="9"/>
      <c r="U1215" s="9"/>
      <c r="V1215" s="9"/>
      <c r="W1215" s="9"/>
      <c r="X1215" s="9"/>
      <c r="Y1215" s="9"/>
      <c r="Z1215" s="9"/>
      <c r="AA1215" s="9"/>
      <c r="AB1215" s="9"/>
      <c r="AC1215" s="9"/>
      <c r="AD1215" s="9"/>
      <c r="AE1215" s="9"/>
      <c r="AF1215" s="9"/>
      <c r="AG1215" s="9"/>
      <c r="AH1215" s="9"/>
      <c r="AI1215" s="9"/>
      <c r="AJ1215" s="9"/>
      <c r="AK1215" s="9"/>
      <c r="AL1215" s="9"/>
    </row>
    <row r="1220" spans="1:38">
      <c r="A1220" s="9"/>
      <c r="B1220" s="9"/>
      <c r="C1220" s="9"/>
      <c r="D1220" s="9"/>
      <c r="E1220" s="9"/>
      <c r="F1220" s="9"/>
      <c r="G1220" s="9"/>
      <c r="H1220" s="9"/>
      <c r="I1220" s="9"/>
      <c r="J1220" s="9"/>
      <c r="K1220" s="9"/>
      <c r="L1220" s="9"/>
      <c r="M1220" s="9"/>
      <c r="N1220" s="9"/>
      <c r="O1220" s="9"/>
      <c r="P1220" s="9"/>
      <c r="Q1220" s="9"/>
      <c r="R1220" s="9"/>
      <c r="S1220" s="9"/>
      <c r="T1220" s="9"/>
      <c r="U1220" s="9"/>
      <c r="V1220" s="9"/>
      <c r="W1220" s="9"/>
      <c r="X1220" s="9"/>
      <c r="Y1220" s="9"/>
      <c r="Z1220" s="9"/>
      <c r="AA1220" s="9"/>
      <c r="AB1220" s="9"/>
      <c r="AC1220" s="9"/>
      <c r="AD1220" s="9"/>
      <c r="AE1220" s="9"/>
      <c r="AF1220" s="9"/>
      <c r="AG1220" s="9"/>
      <c r="AH1220" s="9"/>
      <c r="AI1220" s="9"/>
      <c r="AJ1220" s="9"/>
      <c r="AK1220" s="9"/>
      <c r="AL1220" s="9"/>
    </row>
    <row r="1221" spans="1:38">
      <c r="A1221" s="9"/>
      <c r="B1221" s="9"/>
      <c r="C1221" s="9"/>
      <c r="D1221" s="9"/>
      <c r="E1221" s="9"/>
      <c r="F1221" s="9"/>
      <c r="G1221" s="9"/>
      <c r="H1221" s="9"/>
      <c r="I1221" s="9"/>
      <c r="J1221" s="9"/>
      <c r="K1221" s="9"/>
      <c r="L1221" s="9"/>
      <c r="M1221" s="9"/>
      <c r="N1221" s="9"/>
      <c r="O1221" s="9"/>
      <c r="P1221" s="9"/>
      <c r="Q1221" s="9"/>
      <c r="R1221" s="9"/>
      <c r="S1221" s="9"/>
      <c r="T1221" s="9"/>
      <c r="U1221" s="9"/>
      <c r="V1221" s="9"/>
      <c r="W1221" s="9"/>
      <c r="X1221" s="9"/>
      <c r="Y1221" s="9"/>
      <c r="Z1221" s="9"/>
      <c r="AA1221" s="9"/>
      <c r="AB1221" s="9"/>
      <c r="AC1221" s="9"/>
      <c r="AD1221" s="9"/>
      <c r="AE1221" s="9"/>
      <c r="AF1221" s="9"/>
      <c r="AG1221" s="9"/>
      <c r="AH1221" s="9"/>
      <c r="AI1221" s="9"/>
      <c r="AJ1221" s="9"/>
      <c r="AK1221" s="9"/>
      <c r="AL1221" s="9"/>
    </row>
    <row r="1222" spans="1:38">
      <c r="A1222" s="9"/>
      <c r="B1222" s="9"/>
      <c r="C1222" s="9"/>
      <c r="D1222" s="9"/>
      <c r="E1222" s="9"/>
      <c r="F1222" s="9"/>
      <c r="G1222" s="9"/>
      <c r="H1222" s="9"/>
      <c r="I1222" s="9"/>
      <c r="J1222" s="9"/>
      <c r="K1222" s="9"/>
      <c r="L1222" s="9"/>
      <c r="M1222" s="9"/>
      <c r="N1222" s="9"/>
      <c r="O1222" s="9"/>
      <c r="P1222" s="9"/>
      <c r="Q1222" s="9"/>
      <c r="R1222" s="9"/>
      <c r="S1222" s="9"/>
      <c r="T1222" s="9"/>
      <c r="U1222" s="9"/>
      <c r="V1222" s="9"/>
      <c r="W1222" s="9"/>
      <c r="X1222" s="9"/>
      <c r="Y1222" s="9"/>
      <c r="Z1222" s="9"/>
      <c r="AA1222" s="9"/>
      <c r="AB1222" s="9"/>
      <c r="AC1222" s="9"/>
      <c r="AD1222" s="9"/>
      <c r="AE1222" s="9"/>
      <c r="AF1222" s="9"/>
      <c r="AG1222" s="9"/>
      <c r="AH1222" s="9"/>
      <c r="AI1222" s="9"/>
      <c r="AJ1222" s="9"/>
      <c r="AK1222" s="9"/>
      <c r="AL1222" s="9"/>
    </row>
    <row r="1223" spans="1:38">
      <c r="A1223" s="9"/>
      <c r="B1223" s="9"/>
      <c r="C1223" s="9"/>
      <c r="D1223" s="9"/>
      <c r="E1223" s="9"/>
      <c r="F1223" s="9"/>
      <c r="G1223" s="9"/>
      <c r="H1223" s="9"/>
      <c r="I1223" s="9"/>
      <c r="J1223" s="9"/>
      <c r="K1223" s="9"/>
      <c r="L1223" s="9"/>
      <c r="M1223" s="9"/>
      <c r="N1223" s="9"/>
      <c r="O1223" s="9"/>
      <c r="P1223" s="9"/>
      <c r="Q1223" s="9"/>
      <c r="R1223" s="9"/>
      <c r="S1223" s="9"/>
      <c r="T1223" s="9"/>
      <c r="U1223" s="9"/>
      <c r="V1223" s="9"/>
      <c r="W1223" s="9"/>
      <c r="X1223" s="9"/>
      <c r="Y1223" s="9"/>
      <c r="Z1223" s="9"/>
      <c r="AA1223" s="9"/>
      <c r="AB1223" s="9"/>
      <c r="AC1223" s="9"/>
      <c r="AD1223" s="9"/>
      <c r="AE1223" s="9"/>
      <c r="AF1223" s="9"/>
      <c r="AG1223" s="9"/>
      <c r="AH1223" s="9"/>
      <c r="AI1223" s="9"/>
      <c r="AJ1223" s="9"/>
      <c r="AK1223" s="9"/>
      <c r="AL1223" s="9"/>
    </row>
    <row r="1224" spans="1:38">
      <c r="A1224" s="9"/>
      <c r="B1224" s="9"/>
      <c r="C1224" s="9"/>
      <c r="D1224" s="9"/>
      <c r="E1224" s="9"/>
      <c r="F1224" s="9"/>
      <c r="G1224" s="9"/>
      <c r="H1224" s="9"/>
      <c r="I1224" s="9"/>
      <c r="J1224" s="9"/>
      <c r="K1224" s="9"/>
      <c r="L1224" s="9"/>
      <c r="M1224" s="9"/>
      <c r="N1224" s="9"/>
      <c r="O1224" s="9"/>
      <c r="P1224" s="9"/>
      <c r="Q1224" s="9"/>
      <c r="R1224" s="9"/>
      <c r="S1224" s="9"/>
      <c r="T1224" s="9"/>
      <c r="U1224" s="9"/>
      <c r="V1224" s="9"/>
      <c r="W1224" s="9"/>
      <c r="X1224" s="9"/>
      <c r="Y1224" s="9"/>
      <c r="Z1224" s="9"/>
      <c r="AA1224" s="9"/>
      <c r="AB1224" s="9"/>
      <c r="AC1224" s="9"/>
      <c r="AD1224" s="9"/>
      <c r="AE1224" s="9"/>
      <c r="AF1224" s="9"/>
      <c r="AG1224" s="9"/>
      <c r="AH1224" s="9"/>
      <c r="AI1224" s="9"/>
      <c r="AJ1224" s="9"/>
      <c r="AK1224" s="9"/>
      <c r="AL1224" s="9"/>
    </row>
    <row r="1225" spans="1:38">
      <c r="A1225" s="9"/>
      <c r="B1225" s="9"/>
      <c r="C1225" s="9"/>
      <c r="D1225" s="9"/>
      <c r="E1225" s="9"/>
      <c r="F1225" s="9"/>
      <c r="G1225" s="9"/>
      <c r="H1225" s="9"/>
      <c r="I1225" s="9"/>
      <c r="J1225" s="9"/>
      <c r="K1225" s="9"/>
      <c r="L1225" s="9"/>
      <c r="M1225" s="9"/>
      <c r="N1225" s="9"/>
      <c r="O1225" s="9"/>
      <c r="P1225" s="9"/>
      <c r="Q1225" s="9"/>
      <c r="R1225" s="9"/>
      <c r="S1225" s="9"/>
      <c r="T1225" s="9"/>
      <c r="U1225" s="9"/>
      <c r="V1225" s="9"/>
      <c r="W1225" s="9"/>
      <c r="X1225" s="9"/>
      <c r="Y1225" s="9"/>
      <c r="Z1225" s="9"/>
      <c r="AA1225" s="9"/>
      <c r="AB1225" s="9"/>
      <c r="AC1225" s="9"/>
      <c r="AD1225" s="9"/>
      <c r="AE1225" s="9"/>
      <c r="AF1225" s="9"/>
      <c r="AG1225" s="9"/>
      <c r="AH1225" s="9"/>
      <c r="AI1225" s="9"/>
      <c r="AJ1225" s="9"/>
      <c r="AK1225" s="9"/>
      <c r="AL1225" s="9"/>
    </row>
    <row r="1226" spans="1:38">
      <c r="A1226" s="9"/>
      <c r="B1226" s="9"/>
      <c r="C1226" s="9"/>
      <c r="D1226" s="9"/>
      <c r="E1226" s="9"/>
      <c r="F1226" s="9"/>
      <c r="G1226" s="9"/>
      <c r="H1226" s="9"/>
      <c r="I1226" s="9"/>
      <c r="J1226" s="9"/>
      <c r="K1226" s="9"/>
      <c r="L1226" s="9"/>
      <c r="M1226" s="9"/>
      <c r="N1226" s="9"/>
      <c r="O1226" s="9"/>
      <c r="P1226" s="9"/>
      <c r="Q1226" s="9"/>
      <c r="R1226" s="9"/>
      <c r="S1226" s="9"/>
      <c r="T1226" s="9"/>
      <c r="U1226" s="9"/>
      <c r="V1226" s="9"/>
      <c r="W1226" s="9"/>
      <c r="X1226" s="9"/>
      <c r="Y1226" s="9"/>
      <c r="Z1226" s="9"/>
      <c r="AA1226" s="9"/>
      <c r="AB1226" s="9"/>
      <c r="AC1226" s="9"/>
      <c r="AD1226" s="9"/>
      <c r="AE1226" s="9"/>
      <c r="AF1226" s="9"/>
      <c r="AG1226" s="9"/>
      <c r="AH1226" s="9"/>
      <c r="AI1226" s="9"/>
      <c r="AJ1226" s="9"/>
      <c r="AK1226" s="9"/>
      <c r="AL1226" s="9"/>
    </row>
    <row r="1227" spans="1:38">
      <c r="A1227" s="9"/>
      <c r="B1227" s="9"/>
      <c r="C1227" s="9"/>
      <c r="D1227" s="9"/>
      <c r="E1227" s="9"/>
      <c r="F1227" s="9"/>
      <c r="G1227" s="9"/>
      <c r="H1227" s="9"/>
      <c r="I1227" s="9"/>
      <c r="J1227" s="9"/>
      <c r="K1227" s="9"/>
      <c r="L1227" s="9"/>
      <c r="M1227" s="9"/>
      <c r="N1227" s="9"/>
      <c r="O1227" s="9"/>
      <c r="P1227" s="9"/>
      <c r="Q1227" s="9"/>
      <c r="R1227" s="9"/>
      <c r="S1227" s="9"/>
      <c r="T1227" s="9"/>
      <c r="U1227" s="9"/>
      <c r="V1227" s="9"/>
      <c r="W1227" s="9"/>
      <c r="X1227" s="9"/>
      <c r="Y1227" s="9"/>
      <c r="Z1227" s="9"/>
      <c r="AA1227" s="9"/>
      <c r="AB1227" s="9"/>
      <c r="AC1227" s="9"/>
      <c r="AD1227" s="9"/>
      <c r="AE1227" s="9"/>
      <c r="AF1227" s="9"/>
      <c r="AG1227" s="9"/>
      <c r="AH1227" s="9"/>
      <c r="AI1227" s="9"/>
      <c r="AJ1227" s="9"/>
      <c r="AK1227" s="9"/>
      <c r="AL1227" s="9"/>
    </row>
    <row r="1228" spans="1:38">
      <c r="A1228" s="9"/>
      <c r="B1228" s="9"/>
      <c r="C1228" s="9"/>
      <c r="D1228" s="9"/>
      <c r="E1228" s="9"/>
      <c r="F1228" s="9"/>
      <c r="G1228" s="9"/>
      <c r="H1228" s="9"/>
      <c r="I1228" s="9"/>
      <c r="J1228" s="9"/>
      <c r="K1228" s="9"/>
      <c r="L1228" s="9"/>
      <c r="M1228" s="9"/>
      <c r="N1228" s="9"/>
      <c r="O1228" s="9"/>
      <c r="P1228" s="9"/>
      <c r="Q1228" s="9"/>
      <c r="R1228" s="9"/>
      <c r="S1228" s="9"/>
      <c r="T1228" s="9"/>
      <c r="U1228" s="9"/>
      <c r="V1228" s="9"/>
      <c r="W1228" s="9"/>
      <c r="X1228" s="9"/>
      <c r="Y1228" s="9"/>
      <c r="Z1228" s="9"/>
      <c r="AA1228" s="9"/>
      <c r="AB1228" s="9"/>
      <c r="AC1228" s="9"/>
      <c r="AD1228" s="9"/>
      <c r="AE1228" s="9"/>
      <c r="AF1228" s="9"/>
      <c r="AG1228" s="9"/>
      <c r="AH1228" s="9"/>
      <c r="AI1228" s="9"/>
      <c r="AJ1228" s="9"/>
      <c r="AK1228" s="9"/>
      <c r="AL1228" s="9"/>
    </row>
    <row r="1229" spans="1:38">
      <c r="A1229" s="9"/>
      <c r="B1229" s="9"/>
      <c r="C1229" s="9"/>
      <c r="D1229" s="9"/>
      <c r="E1229" s="9"/>
      <c r="F1229" s="9"/>
      <c r="G1229" s="9"/>
      <c r="H1229" s="9"/>
      <c r="I1229" s="9"/>
      <c r="J1229" s="9"/>
      <c r="K1229" s="9"/>
      <c r="L1229" s="9"/>
      <c r="M1229" s="9"/>
      <c r="N1229" s="9"/>
      <c r="O1229" s="9"/>
      <c r="P1229" s="9"/>
      <c r="Q1229" s="9"/>
      <c r="R1229" s="9"/>
      <c r="S1229" s="9"/>
      <c r="T1229" s="9"/>
      <c r="U1229" s="9"/>
      <c r="V1229" s="9"/>
      <c r="W1229" s="9"/>
      <c r="X1229" s="9"/>
      <c r="Y1229" s="9"/>
      <c r="Z1229" s="9"/>
      <c r="AA1229" s="9"/>
      <c r="AB1229" s="9"/>
      <c r="AC1229" s="9"/>
      <c r="AD1229" s="9"/>
      <c r="AE1229" s="9"/>
      <c r="AF1229" s="9"/>
      <c r="AG1229" s="9"/>
      <c r="AH1229" s="9"/>
      <c r="AI1229" s="9"/>
      <c r="AJ1229" s="9"/>
      <c r="AK1229" s="9"/>
      <c r="AL1229" s="9"/>
    </row>
    <row r="1230" spans="1:38">
      <c r="A1230" s="9"/>
      <c r="B1230" s="9"/>
      <c r="C1230" s="9"/>
      <c r="D1230" s="9"/>
      <c r="E1230" s="9"/>
      <c r="F1230" s="9"/>
      <c r="G1230" s="9"/>
      <c r="H1230" s="9"/>
      <c r="I1230" s="9"/>
      <c r="J1230" s="9"/>
      <c r="K1230" s="9"/>
      <c r="L1230" s="9"/>
      <c r="M1230" s="9"/>
      <c r="N1230" s="9"/>
      <c r="O1230" s="9"/>
      <c r="P1230" s="9"/>
      <c r="Q1230" s="9"/>
      <c r="R1230" s="9"/>
      <c r="S1230" s="9"/>
      <c r="T1230" s="9"/>
      <c r="U1230" s="9"/>
      <c r="V1230" s="9"/>
      <c r="W1230" s="9"/>
      <c r="X1230" s="9"/>
      <c r="Y1230" s="9"/>
      <c r="Z1230" s="9"/>
      <c r="AA1230" s="9"/>
      <c r="AB1230" s="9"/>
      <c r="AC1230" s="9"/>
      <c r="AD1230" s="9"/>
      <c r="AE1230" s="9"/>
      <c r="AF1230" s="9"/>
      <c r="AG1230" s="9"/>
      <c r="AH1230" s="9"/>
      <c r="AI1230" s="9"/>
      <c r="AJ1230" s="9"/>
      <c r="AK1230" s="9"/>
      <c r="AL1230" s="9"/>
    </row>
    <row r="1231" spans="1:38">
      <c r="A1231" s="9"/>
      <c r="B1231" s="9"/>
      <c r="C1231" s="9"/>
      <c r="D1231" s="9"/>
      <c r="E1231" s="9"/>
      <c r="F1231" s="9"/>
      <c r="G1231" s="9"/>
      <c r="H1231" s="9"/>
      <c r="I1231" s="9"/>
      <c r="J1231" s="9"/>
      <c r="K1231" s="9"/>
      <c r="L1231" s="9"/>
      <c r="M1231" s="9"/>
      <c r="N1231" s="9"/>
      <c r="O1231" s="9"/>
      <c r="P1231" s="9"/>
      <c r="Q1231" s="9"/>
      <c r="R1231" s="9"/>
      <c r="S1231" s="9"/>
      <c r="T1231" s="9"/>
      <c r="U1231" s="9"/>
      <c r="V1231" s="9"/>
      <c r="W1231" s="9"/>
      <c r="X1231" s="9"/>
      <c r="Y1231" s="9"/>
      <c r="Z1231" s="9"/>
      <c r="AA1231" s="9"/>
      <c r="AB1231" s="9"/>
      <c r="AC1231" s="9"/>
      <c r="AD1231" s="9"/>
      <c r="AE1231" s="9"/>
      <c r="AF1231" s="9"/>
      <c r="AG1231" s="9"/>
      <c r="AH1231" s="9"/>
      <c r="AI1231" s="9"/>
      <c r="AJ1231" s="9"/>
      <c r="AK1231" s="9"/>
      <c r="AL1231" s="9"/>
    </row>
    <row r="1232" spans="1:38">
      <c r="A1232" s="9"/>
      <c r="B1232" s="9"/>
      <c r="C1232" s="9"/>
      <c r="D1232" s="9"/>
      <c r="E1232" s="9"/>
      <c r="F1232" s="9"/>
      <c r="G1232" s="9"/>
      <c r="H1232" s="9"/>
      <c r="I1232" s="9"/>
      <c r="J1232" s="9"/>
      <c r="K1232" s="9"/>
      <c r="L1232" s="9"/>
      <c r="M1232" s="9"/>
      <c r="N1232" s="9"/>
      <c r="O1232" s="9"/>
      <c r="P1232" s="9"/>
      <c r="Q1232" s="9"/>
      <c r="R1232" s="9"/>
      <c r="S1232" s="9"/>
      <c r="T1232" s="9"/>
      <c r="U1232" s="9"/>
      <c r="V1232" s="9"/>
      <c r="W1232" s="9"/>
      <c r="X1232" s="9"/>
      <c r="Y1232" s="9"/>
      <c r="Z1232" s="9"/>
      <c r="AA1232" s="9"/>
      <c r="AB1232" s="9"/>
      <c r="AC1232" s="9"/>
      <c r="AD1232" s="9"/>
      <c r="AE1232" s="9"/>
      <c r="AF1232" s="9"/>
      <c r="AG1232" s="9"/>
      <c r="AH1232" s="9"/>
      <c r="AI1232" s="9"/>
      <c r="AJ1232" s="9"/>
      <c r="AK1232" s="9"/>
      <c r="AL1232" s="9"/>
    </row>
    <row r="1233" spans="1:38">
      <c r="A1233" s="9"/>
      <c r="B1233" s="9"/>
      <c r="C1233" s="9"/>
      <c r="D1233" s="9"/>
      <c r="E1233" s="9"/>
      <c r="F1233" s="9"/>
      <c r="G1233" s="9"/>
      <c r="H1233" s="9"/>
      <c r="I1233" s="9"/>
      <c r="J1233" s="9"/>
      <c r="K1233" s="9"/>
      <c r="L1233" s="9"/>
      <c r="M1233" s="9"/>
      <c r="N1233" s="9"/>
      <c r="O1233" s="9"/>
      <c r="P1233" s="9"/>
      <c r="Q1233" s="9"/>
      <c r="R1233" s="9"/>
      <c r="S1233" s="9"/>
      <c r="T1233" s="9"/>
      <c r="U1233" s="9"/>
      <c r="V1233" s="9"/>
      <c r="W1233" s="9"/>
      <c r="X1233" s="9"/>
      <c r="Y1233" s="9"/>
      <c r="Z1233" s="9"/>
      <c r="AA1233" s="9"/>
      <c r="AB1233" s="9"/>
      <c r="AC1233" s="9"/>
      <c r="AD1233" s="9"/>
      <c r="AE1233" s="9"/>
      <c r="AF1233" s="9"/>
      <c r="AG1233" s="9"/>
      <c r="AH1233" s="9"/>
      <c r="AI1233" s="9"/>
      <c r="AJ1233" s="9"/>
      <c r="AK1233" s="9"/>
      <c r="AL1233" s="9"/>
    </row>
    <row r="1234" spans="1:38">
      <c r="A1234" s="9"/>
      <c r="B1234" s="9"/>
      <c r="C1234" s="9"/>
      <c r="D1234" s="9"/>
      <c r="E1234" s="9"/>
      <c r="F1234" s="9"/>
      <c r="G1234" s="9"/>
      <c r="H1234" s="9"/>
      <c r="I1234" s="9"/>
      <c r="J1234" s="9"/>
      <c r="K1234" s="9"/>
      <c r="L1234" s="9"/>
      <c r="M1234" s="9"/>
      <c r="N1234" s="9"/>
      <c r="O1234" s="9"/>
      <c r="P1234" s="9"/>
      <c r="Q1234" s="9"/>
      <c r="R1234" s="9"/>
      <c r="S1234" s="9"/>
      <c r="T1234" s="9"/>
      <c r="U1234" s="9"/>
      <c r="V1234" s="9"/>
      <c r="W1234" s="9"/>
      <c r="X1234" s="9"/>
      <c r="Y1234" s="9"/>
      <c r="Z1234" s="9"/>
      <c r="AA1234" s="9"/>
      <c r="AB1234" s="9"/>
      <c r="AC1234" s="9"/>
      <c r="AD1234" s="9"/>
      <c r="AE1234" s="9"/>
      <c r="AF1234" s="9"/>
      <c r="AG1234" s="9"/>
      <c r="AH1234" s="9"/>
      <c r="AI1234" s="9"/>
      <c r="AJ1234" s="9"/>
      <c r="AK1234" s="9"/>
      <c r="AL1234" s="9"/>
    </row>
    <row r="1235" spans="1:38">
      <c r="A1235" s="9"/>
      <c r="B1235" s="9"/>
      <c r="C1235" s="9"/>
      <c r="D1235" s="9"/>
      <c r="E1235" s="9"/>
      <c r="F1235" s="9"/>
      <c r="G1235" s="9"/>
      <c r="H1235" s="9"/>
      <c r="I1235" s="9"/>
      <c r="J1235" s="9"/>
      <c r="K1235" s="9"/>
      <c r="L1235" s="9"/>
      <c r="M1235" s="9"/>
      <c r="N1235" s="9"/>
      <c r="O1235" s="9"/>
      <c r="P1235" s="9"/>
      <c r="Q1235" s="9"/>
      <c r="R1235" s="9"/>
      <c r="S1235" s="9"/>
      <c r="T1235" s="9"/>
      <c r="U1235" s="9"/>
      <c r="V1235" s="9"/>
      <c r="W1235" s="9"/>
      <c r="X1235" s="9"/>
      <c r="Y1235" s="9"/>
      <c r="Z1235" s="9"/>
      <c r="AA1235" s="9"/>
      <c r="AB1235" s="9"/>
      <c r="AC1235" s="9"/>
      <c r="AD1235" s="9"/>
      <c r="AE1235" s="9"/>
      <c r="AF1235" s="9"/>
      <c r="AG1235" s="9"/>
      <c r="AH1235" s="9"/>
      <c r="AI1235" s="9"/>
      <c r="AJ1235" s="9"/>
      <c r="AK1235" s="9"/>
      <c r="AL1235" s="9"/>
    </row>
    <row r="1236" spans="1:38">
      <c r="A1236" s="9"/>
      <c r="B1236" s="9"/>
      <c r="C1236" s="9"/>
      <c r="D1236" s="9"/>
      <c r="E1236" s="9"/>
      <c r="F1236" s="9"/>
      <c r="G1236" s="9"/>
      <c r="H1236" s="9"/>
      <c r="I1236" s="9"/>
      <c r="J1236" s="9"/>
      <c r="K1236" s="9"/>
      <c r="L1236" s="9"/>
      <c r="M1236" s="9"/>
      <c r="N1236" s="9"/>
      <c r="O1236" s="9"/>
      <c r="P1236" s="9"/>
      <c r="Q1236" s="9"/>
      <c r="R1236" s="9"/>
      <c r="S1236" s="9"/>
      <c r="T1236" s="9"/>
      <c r="U1236" s="9"/>
      <c r="V1236" s="9"/>
      <c r="W1236" s="9"/>
      <c r="X1236" s="9"/>
      <c r="Y1236" s="9"/>
      <c r="Z1236" s="9"/>
      <c r="AA1236" s="9"/>
      <c r="AB1236" s="9"/>
      <c r="AC1236" s="9"/>
      <c r="AD1236" s="9"/>
      <c r="AE1236" s="9"/>
      <c r="AF1236" s="9"/>
      <c r="AG1236" s="9"/>
      <c r="AH1236" s="9"/>
      <c r="AI1236" s="9"/>
      <c r="AJ1236" s="9"/>
      <c r="AK1236" s="9"/>
      <c r="AL1236" s="9"/>
    </row>
    <row r="1237" spans="1:38">
      <c r="A1237" s="9"/>
      <c r="B1237" s="9"/>
      <c r="C1237" s="9"/>
      <c r="D1237" s="9"/>
      <c r="E1237" s="9"/>
      <c r="F1237" s="9"/>
      <c r="G1237" s="9"/>
      <c r="H1237" s="9"/>
      <c r="I1237" s="9"/>
      <c r="J1237" s="9"/>
      <c r="K1237" s="9"/>
      <c r="L1237" s="9"/>
      <c r="M1237" s="9"/>
      <c r="N1237" s="9"/>
      <c r="O1237" s="9"/>
      <c r="P1237" s="9"/>
      <c r="Q1237" s="9"/>
      <c r="R1237" s="9"/>
      <c r="S1237" s="9"/>
      <c r="T1237" s="9"/>
      <c r="U1237" s="9"/>
      <c r="V1237" s="9"/>
      <c r="W1237" s="9"/>
      <c r="X1237" s="9"/>
      <c r="Y1237" s="9"/>
      <c r="Z1237" s="9"/>
      <c r="AA1237" s="9"/>
      <c r="AB1237" s="9"/>
      <c r="AC1237" s="9"/>
      <c r="AD1237" s="9"/>
      <c r="AE1237" s="9"/>
      <c r="AF1237" s="9"/>
      <c r="AG1237" s="9"/>
      <c r="AH1237" s="9"/>
      <c r="AI1237" s="9"/>
      <c r="AJ1237" s="9"/>
      <c r="AK1237" s="9"/>
      <c r="AL1237" s="9"/>
    </row>
    <row r="1238" spans="1:38">
      <c r="A1238" s="9"/>
      <c r="B1238" s="9"/>
      <c r="C1238" s="9"/>
      <c r="D1238" s="9"/>
      <c r="E1238" s="9"/>
      <c r="F1238" s="9"/>
      <c r="G1238" s="9"/>
      <c r="H1238" s="9"/>
      <c r="I1238" s="9"/>
      <c r="J1238" s="9"/>
      <c r="K1238" s="9"/>
      <c r="L1238" s="9"/>
      <c r="M1238" s="9"/>
      <c r="N1238" s="9"/>
      <c r="O1238" s="9"/>
      <c r="P1238" s="9"/>
      <c r="Q1238" s="9"/>
      <c r="R1238" s="9"/>
      <c r="S1238" s="9"/>
      <c r="T1238" s="9"/>
      <c r="U1238" s="9"/>
      <c r="V1238" s="9"/>
      <c r="W1238" s="9"/>
      <c r="X1238" s="9"/>
      <c r="Y1238" s="9"/>
      <c r="Z1238" s="9"/>
      <c r="AA1238" s="9"/>
      <c r="AB1238" s="9"/>
      <c r="AC1238" s="9"/>
      <c r="AD1238" s="9"/>
      <c r="AE1238" s="9"/>
      <c r="AF1238" s="9"/>
      <c r="AG1238" s="9"/>
      <c r="AH1238" s="9"/>
      <c r="AI1238" s="9"/>
      <c r="AJ1238" s="9"/>
      <c r="AK1238" s="9"/>
      <c r="AL1238" s="9"/>
    </row>
    <row r="1239" spans="1:38">
      <c r="A1239" s="9"/>
      <c r="B1239" s="9"/>
      <c r="C1239" s="9"/>
      <c r="D1239" s="9"/>
      <c r="E1239" s="9"/>
      <c r="F1239" s="9"/>
      <c r="G1239" s="9"/>
      <c r="H1239" s="9"/>
      <c r="I1239" s="9"/>
      <c r="J1239" s="9"/>
      <c r="K1239" s="9"/>
      <c r="L1239" s="9"/>
      <c r="M1239" s="9"/>
      <c r="N1239" s="9"/>
      <c r="O1239" s="9"/>
      <c r="P1239" s="9"/>
      <c r="Q1239" s="9"/>
      <c r="R1239" s="9"/>
      <c r="S1239" s="9"/>
      <c r="T1239" s="9"/>
      <c r="U1239" s="9"/>
      <c r="V1239" s="9"/>
      <c r="W1239" s="9"/>
      <c r="X1239" s="9"/>
      <c r="Y1239" s="9"/>
      <c r="Z1239" s="9"/>
      <c r="AA1239" s="9"/>
      <c r="AB1239" s="9"/>
      <c r="AC1239" s="9"/>
      <c r="AD1239" s="9"/>
      <c r="AE1239" s="9"/>
      <c r="AF1239" s="9"/>
      <c r="AG1239" s="9"/>
      <c r="AH1239" s="9"/>
      <c r="AI1239" s="9"/>
      <c r="AJ1239" s="9"/>
      <c r="AK1239" s="9"/>
      <c r="AL1239" s="9"/>
    </row>
    <row r="1240" spans="1:38">
      <c r="A1240" s="9"/>
      <c r="B1240" s="9"/>
      <c r="C1240" s="9"/>
      <c r="D1240" s="9"/>
      <c r="E1240" s="9"/>
      <c r="F1240" s="9"/>
      <c r="G1240" s="9"/>
      <c r="H1240" s="9"/>
      <c r="I1240" s="9"/>
      <c r="J1240" s="9"/>
      <c r="K1240" s="9"/>
      <c r="L1240" s="9"/>
      <c r="M1240" s="9"/>
      <c r="N1240" s="9"/>
      <c r="O1240" s="9"/>
      <c r="P1240" s="9"/>
      <c r="Q1240" s="9"/>
      <c r="R1240" s="9"/>
      <c r="S1240" s="9"/>
      <c r="T1240" s="9"/>
      <c r="U1240" s="9"/>
      <c r="V1240" s="9"/>
      <c r="W1240" s="9"/>
      <c r="X1240" s="9"/>
      <c r="Y1240" s="9"/>
      <c r="Z1240" s="9"/>
      <c r="AA1240" s="9"/>
      <c r="AB1240" s="9"/>
      <c r="AC1240" s="9"/>
      <c r="AD1240" s="9"/>
      <c r="AE1240" s="9"/>
      <c r="AF1240" s="9"/>
      <c r="AG1240" s="9"/>
      <c r="AH1240" s="9"/>
      <c r="AI1240" s="9"/>
      <c r="AJ1240" s="9"/>
      <c r="AK1240" s="9"/>
      <c r="AL1240" s="9"/>
    </row>
    <row r="1241" spans="1:38">
      <c r="A1241" s="9"/>
      <c r="B1241" s="9"/>
      <c r="C1241" s="9"/>
      <c r="D1241" s="9"/>
      <c r="E1241" s="9"/>
      <c r="F1241" s="9"/>
      <c r="G1241" s="9"/>
      <c r="H1241" s="9"/>
      <c r="I1241" s="9"/>
      <c r="J1241" s="9"/>
      <c r="K1241" s="9"/>
      <c r="L1241" s="9"/>
      <c r="M1241" s="9"/>
      <c r="N1241" s="9"/>
      <c r="O1241" s="9"/>
      <c r="P1241" s="9"/>
      <c r="Q1241" s="9"/>
      <c r="R1241" s="9"/>
      <c r="S1241" s="9"/>
      <c r="T1241" s="9"/>
      <c r="U1241" s="9"/>
      <c r="V1241" s="9"/>
      <c r="W1241" s="9"/>
      <c r="X1241" s="9"/>
      <c r="Y1241" s="9"/>
      <c r="Z1241" s="9"/>
      <c r="AA1241" s="9"/>
      <c r="AB1241" s="9"/>
      <c r="AC1241" s="9"/>
      <c r="AD1241" s="9"/>
      <c r="AE1241" s="9"/>
      <c r="AF1241" s="9"/>
      <c r="AG1241" s="9"/>
      <c r="AH1241" s="9"/>
      <c r="AI1241" s="9"/>
      <c r="AJ1241" s="9"/>
      <c r="AK1241" s="9"/>
      <c r="AL1241" s="9"/>
    </row>
    <row r="1242" spans="1:38">
      <c r="A1242" s="9"/>
      <c r="B1242" s="9"/>
      <c r="C1242" s="9"/>
      <c r="D1242" s="9"/>
      <c r="E1242" s="9"/>
      <c r="F1242" s="9"/>
      <c r="G1242" s="9"/>
      <c r="H1242" s="9"/>
      <c r="I1242" s="9"/>
      <c r="J1242" s="9"/>
      <c r="K1242" s="9"/>
      <c r="L1242" s="9"/>
      <c r="M1242" s="9"/>
      <c r="N1242" s="9"/>
      <c r="O1242" s="9"/>
      <c r="P1242" s="9"/>
      <c r="Q1242" s="9"/>
      <c r="R1242" s="9"/>
      <c r="S1242" s="9"/>
      <c r="T1242" s="9"/>
      <c r="U1242" s="9"/>
      <c r="V1242" s="9"/>
      <c r="W1242" s="9"/>
      <c r="X1242" s="9"/>
      <c r="Y1242" s="9"/>
      <c r="Z1242" s="9"/>
      <c r="AA1242" s="9"/>
      <c r="AB1242" s="9"/>
      <c r="AC1242" s="9"/>
      <c r="AD1242" s="9"/>
      <c r="AE1242" s="9"/>
      <c r="AF1242" s="9"/>
      <c r="AG1242" s="9"/>
      <c r="AH1242" s="9"/>
      <c r="AI1242" s="9"/>
      <c r="AJ1242" s="9"/>
      <c r="AK1242" s="9"/>
      <c r="AL1242" s="9"/>
    </row>
    <row r="1243" spans="1:38">
      <c r="A1243" s="9"/>
      <c r="B1243" s="9"/>
      <c r="C1243" s="9"/>
      <c r="D1243" s="9"/>
      <c r="E1243" s="9"/>
      <c r="F1243" s="9"/>
      <c r="G1243" s="9"/>
      <c r="H1243" s="9"/>
      <c r="I1243" s="9"/>
      <c r="J1243" s="9"/>
      <c r="K1243" s="9"/>
      <c r="L1243" s="9"/>
      <c r="M1243" s="9"/>
      <c r="N1243" s="9"/>
      <c r="O1243" s="9"/>
      <c r="P1243" s="9"/>
      <c r="Q1243" s="9"/>
      <c r="R1243" s="9"/>
      <c r="S1243" s="9"/>
      <c r="T1243" s="9"/>
      <c r="U1243" s="9"/>
      <c r="V1243" s="9"/>
      <c r="W1243" s="9"/>
      <c r="X1243" s="9"/>
      <c r="Y1243" s="9"/>
      <c r="Z1243" s="9"/>
      <c r="AA1243" s="9"/>
      <c r="AB1243" s="9"/>
      <c r="AC1243" s="9"/>
      <c r="AD1243" s="9"/>
      <c r="AE1243" s="9"/>
      <c r="AF1243" s="9"/>
      <c r="AG1243" s="9"/>
      <c r="AH1243" s="9"/>
      <c r="AI1243" s="9"/>
      <c r="AJ1243" s="9"/>
      <c r="AK1243" s="9"/>
      <c r="AL1243" s="9"/>
    </row>
    <row r="1244" spans="1:38">
      <c r="A1244" s="9"/>
      <c r="B1244" s="9"/>
      <c r="C1244" s="9"/>
      <c r="D1244" s="9"/>
      <c r="E1244" s="9"/>
      <c r="F1244" s="9"/>
      <c r="G1244" s="9"/>
      <c r="H1244" s="9"/>
      <c r="I1244" s="9"/>
      <c r="J1244" s="9"/>
      <c r="K1244" s="9"/>
      <c r="L1244" s="9"/>
      <c r="M1244" s="9"/>
      <c r="N1244" s="9"/>
      <c r="O1244" s="9"/>
      <c r="P1244" s="9"/>
      <c r="Q1244" s="9"/>
      <c r="R1244" s="9"/>
      <c r="S1244" s="9"/>
      <c r="T1244" s="9"/>
      <c r="U1244" s="9"/>
      <c r="V1244" s="9"/>
      <c r="W1244" s="9"/>
      <c r="X1244" s="9"/>
      <c r="Y1244" s="9"/>
      <c r="Z1244" s="9"/>
      <c r="AA1244" s="9"/>
      <c r="AB1244" s="9"/>
      <c r="AC1244" s="9"/>
      <c r="AD1244" s="9"/>
      <c r="AE1244" s="9"/>
      <c r="AF1244" s="9"/>
      <c r="AG1244" s="9"/>
      <c r="AH1244" s="9"/>
      <c r="AI1244" s="9"/>
      <c r="AJ1244" s="9"/>
      <c r="AK1244" s="9"/>
      <c r="AL1244" s="9"/>
    </row>
    <row r="1245" spans="1:38">
      <c r="A1245" s="9"/>
      <c r="B1245" s="9"/>
      <c r="C1245" s="9"/>
      <c r="D1245" s="9"/>
      <c r="E1245" s="9"/>
      <c r="F1245" s="9"/>
      <c r="G1245" s="9"/>
      <c r="H1245" s="9"/>
      <c r="I1245" s="9"/>
      <c r="J1245" s="9"/>
      <c r="K1245" s="9"/>
      <c r="L1245" s="9"/>
      <c r="M1245" s="9"/>
      <c r="N1245" s="9"/>
      <c r="O1245" s="9"/>
      <c r="P1245" s="9"/>
      <c r="Q1245" s="9"/>
      <c r="R1245" s="9"/>
      <c r="S1245" s="9"/>
      <c r="T1245" s="9"/>
      <c r="U1245" s="9"/>
      <c r="V1245" s="9"/>
      <c r="W1245" s="9"/>
      <c r="X1245" s="9"/>
      <c r="Y1245" s="9"/>
      <c r="Z1245" s="9"/>
      <c r="AA1245" s="9"/>
      <c r="AB1245" s="9"/>
      <c r="AC1245" s="9"/>
      <c r="AD1245" s="9"/>
      <c r="AE1245" s="9"/>
      <c r="AF1245" s="9"/>
      <c r="AG1245" s="9"/>
      <c r="AH1245" s="9"/>
      <c r="AI1245" s="9"/>
      <c r="AJ1245" s="9"/>
      <c r="AK1245" s="9"/>
      <c r="AL1245" s="9"/>
    </row>
    <row r="1246" spans="1:38">
      <c r="A1246" s="9"/>
      <c r="B1246" s="9"/>
      <c r="C1246" s="9"/>
      <c r="D1246" s="9"/>
      <c r="E1246" s="9"/>
      <c r="F1246" s="9"/>
      <c r="G1246" s="9"/>
      <c r="H1246" s="9"/>
      <c r="I1246" s="9"/>
      <c r="J1246" s="9"/>
      <c r="K1246" s="9"/>
      <c r="L1246" s="9"/>
      <c r="M1246" s="9"/>
      <c r="N1246" s="9"/>
      <c r="O1246" s="9"/>
      <c r="P1246" s="9"/>
      <c r="Q1246" s="9"/>
      <c r="R1246" s="9"/>
      <c r="S1246" s="9"/>
      <c r="T1246" s="9"/>
      <c r="U1246" s="9"/>
      <c r="V1246" s="9"/>
      <c r="W1246" s="9"/>
      <c r="X1246" s="9"/>
      <c r="Y1246" s="9"/>
      <c r="Z1246" s="9"/>
      <c r="AA1246" s="9"/>
      <c r="AB1246" s="9"/>
      <c r="AC1246" s="9"/>
      <c r="AD1246" s="9"/>
      <c r="AE1246" s="9"/>
      <c r="AF1246" s="9"/>
      <c r="AG1246" s="9"/>
      <c r="AH1246" s="9"/>
      <c r="AI1246" s="9"/>
      <c r="AJ1246" s="9"/>
      <c r="AK1246" s="9"/>
      <c r="AL1246" s="9"/>
    </row>
    <row r="1247" spans="1:38">
      <c r="A1247" s="9"/>
      <c r="B1247" s="9"/>
      <c r="C1247" s="9"/>
      <c r="D1247" s="9"/>
      <c r="E1247" s="9"/>
      <c r="F1247" s="9"/>
      <c r="G1247" s="9"/>
      <c r="H1247" s="9"/>
      <c r="I1247" s="9"/>
      <c r="J1247" s="9"/>
      <c r="K1247" s="9"/>
      <c r="L1247" s="9"/>
      <c r="M1247" s="9"/>
      <c r="N1247" s="9"/>
      <c r="O1247" s="9"/>
      <c r="P1247" s="9"/>
      <c r="Q1247" s="9"/>
      <c r="R1247" s="9"/>
      <c r="S1247" s="9"/>
      <c r="T1247" s="9"/>
      <c r="U1247" s="9"/>
      <c r="V1247" s="9"/>
      <c r="W1247" s="9"/>
      <c r="X1247" s="9"/>
      <c r="Y1247" s="9"/>
      <c r="Z1247" s="9"/>
      <c r="AA1247" s="9"/>
      <c r="AB1247" s="9"/>
      <c r="AC1247" s="9"/>
      <c r="AD1247" s="9"/>
      <c r="AE1247" s="9"/>
      <c r="AF1247" s="9"/>
      <c r="AG1247" s="9"/>
      <c r="AH1247" s="9"/>
      <c r="AI1247" s="9"/>
      <c r="AJ1247" s="9"/>
      <c r="AK1247" s="9"/>
      <c r="AL1247" s="9"/>
    </row>
    <row r="1248" spans="1:38">
      <c r="A1248" s="9"/>
      <c r="B1248" s="9"/>
      <c r="C1248" s="9"/>
      <c r="D1248" s="9"/>
      <c r="E1248" s="9"/>
      <c r="F1248" s="9"/>
      <c r="G1248" s="9"/>
      <c r="H1248" s="9"/>
      <c r="I1248" s="9"/>
      <c r="J1248" s="9"/>
      <c r="K1248" s="9"/>
      <c r="L1248" s="9"/>
      <c r="M1248" s="9"/>
      <c r="N1248" s="9"/>
      <c r="O1248" s="9"/>
      <c r="P1248" s="9"/>
      <c r="Q1248" s="9"/>
      <c r="R1248" s="9"/>
      <c r="S1248" s="9"/>
      <c r="T1248" s="9"/>
      <c r="U1248" s="9"/>
      <c r="V1248" s="9"/>
      <c r="W1248" s="9"/>
      <c r="X1248" s="9"/>
      <c r="Y1248" s="9"/>
      <c r="Z1248" s="9"/>
      <c r="AA1248" s="9"/>
      <c r="AB1248" s="9"/>
      <c r="AC1248" s="9"/>
      <c r="AD1248" s="9"/>
      <c r="AE1248" s="9"/>
      <c r="AF1248" s="9"/>
      <c r="AG1248" s="9"/>
      <c r="AH1248" s="9"/>
      <c r="AI1248" s="9"/>
      <c r="AJ1248" s="9"/>
      <c r="AK1248" s="9"/>
      <c r="AL1248" s="9"/>
    </row>
    <row r="1249" spans="1:38">
      <c r="A1249" s="9"/>
      <c r="B1249" s="9"/>
      <c r="C1249" s="9"/>
      <c r="D1249" s="9"/>
      <c r="E1249" s="9"/>
      <c r="F1249" s="9"/>
      <c r="G1249" s="9"/>
      <c r="H1249" s="9"/>
      <c r="I1249" s="9"/>
      <c r="J1249" s="9"/>
      <c r="K1249" s="9"/>
      <c r="L1249" s="9"/>
      <c r="M1249" s="9"/>
      <c r="N1249" s="9"/>
      <c r="O1249" s="9"/>
      <c r="P1249" s="9"/>
      <c r="Q1249" s="9"/>
      <c r="R1249" s="9"/>
      <c r="S1249" s="9"/>
      <c r="T1249" s="9"/>
      <c r="U1249" s="9"/>
      <c r="V1249" s="9"/>
      <c r="W1249" s="9"/>
      <c r="X1249" s="9"/>
      <c r="Y1249" s="9"/>
      <c r="Z1249" s="9"/>
      <c r="AA1249" s="9"/>
      <c r="AB1249" s="9"/>
      <c r="AC1249" s="9"/>
      <c r="AD1249" s="9"/>
      <c r="AE1249" s="9"/>
      <c r="AF1249" s="9"/>
      <c r="AG1249" s="9"/>
      <c r="AH1249" s="9"/>
      <c r="AI1249" s="9"/>
      <c r="AJ1249" s="9"/>
      <c r="AK1249" s="9"/>
      <c r="AL1249" s="9"/>
    </row>
    <row r="1250" spans="1:38">
      <c r="A1250" s="9"/>
      <c r="B1250" s="9"/>
      <c r="C1250" s="9"/>
      <c r="D1250" s="9"/>
      <c r="E1250" s="9"/>
      <c r="F1250" s="9"/>
      <c r="G1250" s="9"/>
      <c r="H1250" s="9"/>
      <c r="I1250" s="9"/>
      <c r="J1250" s="9"/>
      <c r="K1250" s="9"/>
      <c r="L1250" s="9"/>
      <c r="M1250" s="9"/>
      <c r="N1250" s="9"/>
      <c r="O1250" s="9"/>
      <c r="P1250" s="9"/>
      <c r="Q1250" s="9"/>
      <c r="R1250" s="9"/>
      <c r="S1250" s="9"/>
      <c r="T1250" s="9"/>
      <c r="U1250" s="9"/>
      <c r="V1250" s="9"/>
      <c r="W1250" s="9"/>
      <c r="X1250" s="9"/>
      <c r="Y1250" s="9"/>
      <c r="Z1250" s="9"/>
      <c r="AA1250" s="9"/>
      <c r="AB1250" s="9"/>
      <c r="AC1250" s="9"/>
      <c r="AD1250" s="9"/>
      <c r="AE1250" s="9"/>
      <c r="AF1250" s="9"/>
      <c r="AG1250" s="9"/>
      <c r="AH1250" s="9"/>
      <c r="AI1250" s="9"/>
      <c r="AJ1250" s="9"/>
      <c r="AK1250" s="9"/>
      <c r="AL1250" s="9"/>
    </row>
    <row r="1251" spans="1:38">
      <c r="A1251" s="9"/>
      <c r="B1251" s="9"/>
      <c r="C1251" s="9"/>
      <c r="D1251" s="9"/>
      <c r="E1251" s="9"/>
      <c r="F1251" s="9"/>
      <c r="G1251" s="9"/>
      <c r="H1251" s="9"/>
      <c r="I1251" s="9"/>
      <c r="J1251" s="9"/>
      <c r="K1251" s="9"/>
      <c r="L1251" s="9"/>
      <c r="M1251" s="9"/>
      <c r="N1251" s="9"/>
      <c r="O1251" s="9"/>
      <c r="P1251" s="9"/>
      <c r="Q1251" s="9"/>
      <c r="R1251" s="9"/>
      <c r="S1251" s="9"/>
      <c r="T1251" s="9"/>
      <c r="U1251" s="9"/>
      <c r="V1251" s="9"/>
      <c r="W1251" s="9"/>
      <c r="X1251" s="9"/>
      <c r="Y1251" s="9"/>
      <c r="Z1251" s="9"/>
      <c r="AA1251" s="9"/>
      <c r="AB1251" s="9"/>
      <c r="AC1251" s="9"/>
      <c r="AD1251" s="9"/>
      <c r="AE1251" s="9"/>
      <c r="AF1251" s="9"/>
      <c r="AG1251" s="9"/>
      <c r="AH1251" s="9"/>
      <c r="AI1251" s="9"/>
      <c r="AJ1251" s="9"/>
      <c r="AK1251" s="9"/>
      <c r="AL1251" s="9"/>
    </row>
    <row r="1252" spans="1:38">
      <c r="A1252" s="9"/>
      <c r="B1252" s="9"/>
      <c r="C1252" s="9"/>
      <c r="D1252" s="9"/>
      <c r="E1252" s="9"/>
      <c r="F1252" s="9"/>
      <c r="G1252" s="9"/>
      <c r="H1252" s="9"/>
      <c r="I1252" s="9"/>
      <c r="J1252" s="9"/>
      <c r="K1252" s="9"/>
      <c r="L1252" s="9"/>
      <c r="M1252" s="9"/>
      <c r="N1252" s="9"/>
      <c r="O1252" s="9"/>
      <c r="P1252" s="9"/>
      <c r="Q1252" s="9"/>
      <c r="R1252" s="9"/>
      <c r="S1252" s="9"/>
      <c r="T1252" s="9"/>
      <c r="U1252" s="9"/>
      <c r="V1252" s="9"/>
      <c r="W1252" s="9"/>
      <c r="X1252" s="9"/>
      <c r="Y1252" s="9"/>
      <c r="Z1252" s="9"/>
      <c r="AA1252" s="9"/>
      <c r="AB1252" s="9"/>
      <c r="AC1252" s="9"/>
      <c r="AD1252" s="9"/>
      <c r="AE1252" s="9"/>
      <c r="AF1252" s="9"/>
      <c r="AG1252" s="9"/>
      <c r="AH1252" s="9"/>
      <c r="AI1252" s="9"/>
      <c r="AJ1252" s="9"/>
      <c r="AK1252" s="9"/>
      <c r="AL1252" s="9"/>
    </row>
    <row r="1253" spans="1:38">
      <c r="A1253" s="9"/>
      <c r="B1253" s="9"/>
      <c r="C1253" s="9"/>
      <c r="D1253" s="9"/>
      <c r="E1253" s="9"/>
      <c r="F1253" s="9"/>
      <c r="G1253" s="9"/>
      <c r="H1253" s="9"/>
      <c r="I1253" s="9"/>
      <c r="J1253" s="9"/>
      <c r="K1253" s="9"/>
      <c r="L1253" s="9"/>
      <c r="M1253" s="9"/>
      <c r="N1253" s="9"/>
      <c r="O1253" s="9"/>
      <c r="P1253" s="9"/>
      <c r="Q1253" s="9"/>
      <c r="R1253" s="9"/>
      <c r="S1253" s="9"/>
      <c r="T1253" s="9"/>
      <c r="U1253" s="9"/>
      <c r="V1253" s="9"/>
      <c r="W1253" s="9"/>
      <c r="X1253" s="9"/>
      <c r="Y1253" s="9"/>
      <c r="Z1253" s="9"/>
      <c r="AA1253" s="9"/>
      <c r="AB1253" s="9"/>
      <c r="AC1253" s="9"/>
      <c r="AD1253" s="9"/>
      <c r="AE1253" s="9"/>
      <c r="AF1253" s="9"/>
      <c r="AG1253" s="9"/>
      <c r="AH1253" s="9"/>
      <c r="AI1253" s="9"/>
      <c r="AJ1253" s="9"/>
      <c r="AK1253" s="9"/>
      <c r="AL1253" s="9"/>
    </row>
    <row r="1254" spans="1:38">
      <c r="A1254" s="9"/>
      <c r="B1254" s="9"/>
      <c r="C1254" s="9"/>
      <c r="D1254" s="9"/>
      <c r="E1254" s="9"/>
      <c r="F1254" s="9"/>
      <c r="G1254" s="9"/>
      <c r="H1254" s="9"/>
      <c r="I1254" s="9"/>
      <c r="J1254" s="9"/>
      <c r="K1254" s="9"/>
      <c r="L1254" s="9"/>
      <c r="M1254" s="9"/>
      <c r="N1254" s="9"/>
      <c r="O1254" s="9"/>
      <c r="P1254" s="9"/>
      <c r="Q1254" s="9"/>
      <c r="R1254" s="9"/>
      <c r="S1254" s="9"/>
      <c r="T1254" s="9"/>
      <c r="U1254" s="9"/>
      <c r="V1254" s="9"/>
      <c r="W1254" s="9"/>
      <c r="X1254" s="9"/>
      <c r="Y1254" s="9"/>
      <c r="Z1254" s="9"/>
      <c r="AA1254" s="9"/>
      <c r="AB1254" s="9"/>
      <c r="AC1254" s="9"/>
      <c r="AD1254" s="9"/>
      <c r="AE1254" s="9"/>
      <c r="AF1254" s="9"/>
      <c r="AG1254" s="9"/>
      <c r="AH1254" s="9"/>
      <c r="AI1254" s="9"/>
      <c r="AJ1254" s="9"/>
      <c r="AK1254" s="9"/>
      <c r="AL1254" s="9"/>
    </row>
    <row r="1255" spans="1:38">
      <c r="A1255" s="9"/>
      <c r="B1255" s="9"/>
      <c r="C1255" s="9"/>
      <c r="D1255" s="9"/>
      <c r="E1255" s="9"/>
      <c r="F1255" s="9"/>
      <c r="G1255" s="9"/>
      <c r="H1255" s="9"/>
      <c r="I1255" s="9"/>
      <c r="J1255" s="9"/>
      <c r="K1255" s="9"/>
      <c r="L1255" s="9"/>
      <c r="M1255" s="9"/>
      <c r="N1255" s="9"/>
      <c r="O1255" s="9"/>
      <c r="P1255" s="9"/>
      <c r="Q1255" s="9"/>
      <c r="R1255" s="9"/>
      <c r="S1255" s="9"/>
      <c r="T1255" s="9"/>
      <c r="U1255" s="9"/>
      <c r="V1255" s="9"/>
      <c r="W1255" s="9"/>
      <c r="X1255" s="9"/>
      <c r="Y1255" s="9"/>
      <c r="Z1255" s="9"/>
      <c r="AA1255" s="9"/>
      <c r="AB1255" s="9"/>
      <c r="AC1255" s="9"/>
      <c r="AD1255" s="9"/>
      <c r="AE1255" s="9"/>
      <c r="AF1255" s="9"/>
      <c r="AG1255" s="9"/>
      <c r="AH1255" s="9"/>
      <c r="AI1255" s="9"/>
      <c r="AJ1255" s="9"/>
      <c r="AK1255" s="9"/>
      <c r="AL1255" s="9"/>
    </row>
    <row r="1256" spans="1:38">
      <c r="A1256" s="9"/>
      <c r="B1256" s="9"/>
      <c r="C1256" s="9"/>
      <c r="D1256" s="9"/>
      <c r="E1256" s="9"/>
      <c r="F1256" s="9"/>
      <c r="G1256" s="9"/>
      <c r="H1256" s="9"/>
      <c r="I1256" s="9"/>
      <c r="J1256" s="9"/>
      <c r="K1256" s="9"/>
      <c r="L1256" s="9"/>
      <c r="M1256" s="9"/>
      <c r="N1256" s="9"/>
      <c r="O1256" s="9"/>
      <c r="P1256" s="9"/>
      <c r="Q1256" s="9"/>
      <c r="R1256" s="9"/>
      <c r="S1256" s="9"/>
      <c r="T1256" s="9"/>
      <c r="U1256" s="9"/>
      <c r="V1256" s="9"/>
      <c r="W1256" s="9"/>
      <c r="X1256" s="9"/>
      <c r="Y1256" s="9"/>
      <c r="Z1256" s="9"/>
      <c r="AA1256" s="9"/>
      <c r="AB1256" s="9"/>
      <c r="AC1256" s="9"/>
      <c r="AD1256" s="9"/>
      <c r="AE1256" s="9"/>
      <c r="AF1256" s="9"/>
      <c r="AG1256" s="9"/>
      <c r="AH1256" s="9"/>
      <c r="AI1256" s="9"/>
      <c r="AJ1256" s="9"/>
      <c r="AK1256" s="9"/>
      <c r="AL1256" s="9"/>
    </row>
    <row r="1257" spans="1:38">
      <c r="A1257" s="9"/>
      <c r="B1257" s="9"/>
      <c r="C1257" s="9"/>
      <c r="D1257" s="9"/>
      <c r="E1257" s="9"/>
      <c r="F1257" s="9"/>
      <c r="G1257" s="9"/>
      <c r="H1257" s="9"/>
      <c r="I1257" s="9"/>
      <c r="J1257" s="9"/>
      <c r="K1257" s="9"/>
      <c r="L1257" s="9"/>
      <c r="M1257" s="9"/>
      <c r="N1257" s="9"/>
      <c r="O1257" s="9"/>
      <c r="P1257" s="9"/>
      <c r="Q1257" s="9"/>
      <c r="R1257" s="9"/>
      <c r="S1257" s="9"/>
      <c r="T1257" s="9"/>
      <c r="U1257" s="9"/>
      <c r="V1257" s="9"/>
      <c r="W1257" s="9"/>
      <c r="X1257" s="9"/>
      <c r="Y1257" s="9"/>
      <c r="Z1257" s="9"/>
      <c r="AA1257" s="9"/>
      <c r="AB1257" s="9"/>
      <c r="AC1257" s="9"/>
      <c r="AD1257" s="9"/>
      <c r="AE1257" s="9"/>
      <c r="AF1257" s="9"/>
      <c r="AG1257" s="9"/>
      <c r="AH1257" s="9"/>
      <c r="AI1257" s="9"/>
      <c r="AJ1257" s="9"/>
      <c r="AK1257" s="9"/>
      <c r="AL1257" s="9"/>
    </row>
    <row r="1258" spans="1:38">
      <c r="A1258" s="9"/>
      <c r="B1258" s="9"/>
      <c r="C1258" s="9"/>
      <c r="D1258" s="9"/>
      <c r="E1258" s="9"/>
      <c r="F1258" s="9"/>
      <c r="G1258" s="9"/>
      <c r="H1258" s="9"/>
      <c r="I1258" s="9"/>
      <c r="J1258" s="9"/>
      <c r="K1258" s="9"/>
      <c r="L1258" s="9"/>
      <c r="M1258" s="9"/>
      <c r="N1258" s="9"/>
      <c r="O1258" s="9"/>
      <c r="P1258" s="9"/>
      <c r="Q1258" s="9"/>
      <c r="R1258" s="9"/>
      <c r="S1258" s="9"/>
      <c r="T1258" s="9"/>
      <c r="U1258" s="9"/>
      <c r="V1258" s="9"/>
      <c r="W1258" s="9"/>
      <c r="X1258" s="9"/>
      <c r="Y1258" s="9"/>
      <c r="Z1258" s="9"/>
      <c r="AA1258" s="9"/>
      <c r="AB1258" s="9"/>
      <c r="AC1258" s="9"/>
      <c r="AD1258" s="9"/>
      <c r="AE1258" s="9"/>
      <c r="AF1258" s="9"/>
      <c r="AG1258" s="9"/>
      <c r="AH1258" s="9"/>
      <c r="AI1258" s="9"/>
      <c r="AJ1258" s="9"/>
      <c r="AK1258" s="9"/>
      <c r="AL1258" s="9"/>
    </row>
    <row r="1259" spans="1:38">
      <c r="A1259" s="9"/>
      <c r="B1259" s="9"/>
      <c r="C1259" s="9"/>
      <c r="D1259" s="9"/>
      <c r="E1259" s="9"/>
      <c r="F1259" s="9"/>
      <c r="G1259" s="9"/>
      <c r="H1259" s="9"/>
      <c r="I1259" s="9"/>
      <c r="J1259" s="9"/>
      <c r="K1259" s="9"/>
      <c r="L1259" s="9"/>
      <c r="M1259" s="9"/>
      <c r="N1259" s="9"/>
      <c r="O1259" s="9"/>
      <c r="P1259" s="9"/>
      <c r="Q1259" s="9"/>
      <c r="R1259" s="9"/>
      <c r="S1259" s="9"/>
      <c r="T1259" s="9"/>
      <c r="U1259" s="9"/>
      <c r="V1259" s="9"/>
      <c r="W1259" s="9"/>
      <c r="X1259" s="9"/>
      <c r="Y1259" s="9"/>
      <c r="Z1259" s="9"/>
      <c r="AA1259" s="9"/>
      <c r="AB1259" s="9"/>
      <c r="AC1259" s="9"/>
      <c r="AD1259" s="9"/>
      <c r="AE1259" s="9"/>
      <c r="AF1259" s="9"/>
      <c r="AG1259" s="9"/>
      <c r="AH1259" s="9"/>
      <c r="AI1259" s="9"/>
      <c r="AJ1259" s="9"/>
      <c r="AK1259" s="9"/>
      <c r="AL1259" s="9"/>
    </row>
    <row r="1260" spans="1:38">
      <c r="A1260" s="9"/>
      <c r="B1260" s="9"/>
      <c r="C1260" s="9"/>
      <c r="D1260" s="9"/>
      <c r="E1260" s="9"/>
      <c r="F1260" s="9"/>
      <c r="G1260" s="9"/>
      <c r="H1260" s="9"/>
      <c r="I1260" s="9"/>
      <c r="J1260" s="9"/>
      <c r="K1260" s="9"/>
      <c r="L1260" s="9"/>
      <c r="M1260" s="9"/>
      <c r="N1260" s="9"/>
      <c r="O1260" s="9"/>
      <c r="P1260" s="9"/>
      <c r="Q1260" s="9"/>
      <c r="R1260" s="9"/>
      <c r="S1260" s="9"/>
      <c r="T1260" s="9"/>
      <c r="U1260" s="9"/>
      <c r="V1260" s="9"/>
      <c r="W1260" s="9"/>
      <c r="X1260" s="9"/>
      <c r="Y1260" s="9"/>
      <c r="Z1260" s="9"/>
      <c r="AA1260" s="9"/>
      <c r="AB1260" s="9"/>
      <c r="AC1260" s="9"/>
      <c r="AD1260" s="9"/>
      <c r="AE1260" s="9"/>
      <c r="AF1260" s="9"/>
      <c r="AG1260" s="9"/>
      <c r="AH1260" s="9"/>
      <c r="AI1260" s="9"/>
      <c r="AJ1260" s="9"/>
      <c r="AK1260" s="9"/>
      <c r="AL1260" s="9"/>
    </row>
    <row r="1261" spans="1:38">
      <c r="A1261" s="9"/>
      <c r="B1261" s="9"/>
      <c r="C1261" s="9"/>
      <c r="D1261" s="9"/>
      <c r="E1261" s="9"/>
      <c r="F1261" s="9"/>
      <c r="G1261" s="9"/>
      <c r="H1261" s="9"/>
      <c r="I1261" s="9"/>
      <c r="J1261" s="9"/>
      <c r="K1261" s="9"/>
      <c r="L1261" s="9"/>
      <c r="M1261" s="9"/>
      <c r="N1261" s="9"/>
      <c r="O1261" s="9"/>
      <c r="P1261" s="9"/>
      <c r="Q1261" s="9"/>
      <c r="R1261" s="9"/>
      <c r="S1261" s="9"/>
      <c r="T1261" s="9"/>
      <c r="U1261" s="9"/>
      <c r="V1261" s="9"/>
      <c r="W1261" s="9"/>
      <c r="X1261" s="9"/>
      <c r="Y1261" s="9"/>
      <c r="Z1261" s="9"/>
      <c r="AA1261" s="9"/>
      <c r="AB1261" s="9"/>
      <c r="AC1261" s="9"/>
      <c r="AD1261" s="9"/>
      <c r="AE1261" s="9"/>
      <c r="AF1261" s="9"/>
      <c r="AG1261" s="9"/>
      <c r="AH1261" s="9"/>
      <c r="AI1261" s="9"/>
      <c r="AJ1261" s="9"/>
      <c r="AK1261" s="9"/>
      <c r="AL1261" s="9"/>
    </row>
    <row r="1262" spans="1:38">
      <c r="A1262" s="9"/>
      <c r="B1262" s="9"/>
      <c r="C1262" s="9"/>
      <c r="D1262" s="9"/>
      <c r="E1262" s="9"/>
      <c r="F1262" s="9"/>
      <c r="G1262" s="9"/>
      <c r="H1262" s="9"/>
      <c r="I1262" s="9"/>
      <c r="J1262" s="9"/>
      <c r="K1262" s="9"/>
      <c r="L1262" s="9"/>
      <c r="M1262" s="9"/>
      <c r="N1262" s="9"/>
      <c r="O1262" s="9"/>
      <c r="P1262" s="9"/>
      <c r="Q1262" s="9"/>
      <c r="R1262" s="9"/>
      <c r="S1262" s="9"/>
      <c r="T1262" s="9"/>
      <c r="U1262" s="9"/>
      <c r="V1262" s="9"/>
      <c r="W1262" s="9"/>
      <c r="X1262" s="9"/>
      <c r="Y1262" s="9"/>
      <c r="Z1262" s="9"/>
      <c r="AA1262" s="9"/>
      <c r="AB1262" s="9"/>
      <c r="AC1262" s="9"/>
      <c r="AD1262" s="9"/>
      <c r="AE1262" s="9"/>
      <c r="AF1262" s="9"/>
      <c r="AG1262" s="9"/>
      <c r="AH1262" s="9"/>
      <c r="AI1262" s="9"/>
      <c r="AJ1262" s="9"/>
      <c r="AK1262" s="9"/>
      <c r="AL1262" s="9"/>
    </row>
    <row r="1263" spans="1:38">
      <c r="A1263" s="9"/>
      <c r="B1263" s="9"/>
      <c r="C1263" s="9"/>
      <c r="D1263" s="9"/>
      <c r="E1263" s="9"/>
      <c r="F1263" s="9"/>
      <c r="G1263" s="9"/>
      <c r="H1263" s="9"/>
      <c r="I1263" s="9"/>
      <c r="J1263" s="9"/>
      <c r="K1263" s="9"/>
      <c r="L1263" s="9"/>
      <c r="M1263" s="9"/>
      <c r="N1263" s="9"/>
      <c r="O1263" s="9"/>
      <c r="P1263" s="9"/>
      <c r="Q1263" s="9"/>
      <c r="R1263" s="9"/>
      <c r="S1263" s="9"/>
      <c r="T1263" s="9"/>
      <c r="U1263" s="9"/>
      <c r="V1263" s="9"/>
      <c r="W1263" s="9"/>
      <c r="X1263" s="9"/>
      <c r="Y1263" s="9"/>
      <c r="Z1263" s="9"/>
      <c r="AA1263" s="9"/>
      <c r="AB1263" s="9"/>
      <c r="AC1263" s="9"/>
      <c r="AD1263" s="9"/>
      <c r="AE1263" s="9"/>
      <c r="AF1263" s="9"/>
      <c r="AG1263" s="9"/>
      <c r="AH1263" s="9"/>
      <c r="AI1263" s="9"/>
      <c r="AJ1263" s="9"/>
      <c r="AK1263" s="9"/>
      <c r="AL1263" s="9"/>
    </row>
    <row r="1264" spans="1:38">
      <c r="A1264" s="9"/>
      <c r="B1264" s="9"/>
      <c r="C1264" s="9"/>
      <c r="D1264" s="9"/>
      <c r="E1264" s="9"/>
      <c r="F1264" s="9"/>
      <c r="G1264" s="9"/>
      <c r="H1264" s="9"/>
      <c r="I1264" s="9"/>
      <c r="J1264" s="9"/>
      <c r="K1264" s="9"/>
      <c r="L1264" s="9"/>
      <c r="M1264" s="9"/>
      <c r="N1264" s="9"/>
      <c r="O1264" s="9"/>
      <c r="P1264" s="9"/>
      <c r="Q1264" s="9"/>
      <c r="R1264" s="9"/>
      <c r="S1264" s="9"/>
      <c r="T1264" s="9"/>
      <c r="U1264" s="9"/>
      <c r="V1264" s="9"/>
      <c r="W1264" s="9"/>
      <c r="X1264" s="9"/>
      <c r="Y1264" s="9"/>
      <c r="Z1264" s="9"/>
      <c r="AA1264" s="9"/>
      <c r="AB1264" s="9"/>
      <c r="AC1264" s="9"/>
      <c r="AD1264" s="9"/>
      <c r="AE1264" s="9"/>
      <c r="AF1264" s="9"/>
      <c r="AG1264" s="9"/>
      <c r="AH1264" s="9"/>
      <c r="AI1264" s="9"/>
      <c r="AJ1264" s="9"/>
      <c r="AK1264" s="9"/>
      <c r="AL1264" s="9"/>
    </row>
    <row r="1265" spans="1:38">
      <c r="A1265" s="9"/>
      <c r="B1265" s="9"/>
      <c r="C1265" s="9"/>
      <c r="D1265" s="9"/>
      <c r="E1265" s="9"/>
      <c r="F1265" s="9"/>
      <c r="G1265" s="9"/>
      <c r="H1265" s="9"/>
      <c r="I1265" s="9"/>
      <c r="J1265" s="9"/>
      <c r="K1265" s="9"/>
      <c r="L1265" s="9"/>
      <c r="M1265" s="9"/>
      <c r="N1265" s="9"/>
      <c r="O1265" s="9"/>
      <c r="P1265" s="9"/>
      <c r="Q1265" s="9"/>
      <c r="R1265" s="9"/>
      <c r="S1265" s="9"/>
      <c r="T1265" s="9"/>
      <c r="U1265" s="9"/>
      <c r="V1265" s="9"/>
      <c r="W1265" s="9"/>
      <c r="X1265" s="9"/>
      <c r="Y1265" s="9"/>
      <c r="Z1265" s="9"/>
      <c r="AA1265" s="9"/>
      <c r="AB1265" s="9"/>
      <c r="AC1265" s="9"/>
      <c r="AD1265" s="9"/>
      <c r="AE1265" s="9"/>
      <c r="AF1265" s="9"/>
      <c r="AG1265" s="9"/>
      <c r="AH1265" s="9"/>
      <c r="AI1265" s="9"/>
      <c r="AJ1265" s="9"/>
      <c r="AK1265" s="9"/>
      <c r="AL1265" s="9"/>
    </row>
    <row r="1266" spans="1:38">
      <c r="A1266" s="9"/>
      <c r="B1266" s="9"/>
      <c r="C1266" s="9"/>
      <c r="D1266" s="9"/>
      <c r="E1266" s="9"/>
      <c r="F1266" s="9"/>
      <c r="G1266" s="9"/>
      <c r="H1266" s="9"/>
      <c r="I1266" s="9"/>
      <c r="J1266" s="9"/>
      <c r="K1266" s="9"/>
      <c r="L1266" s="9"/>
      <c r="M1266" s="9"/>
      <c r="N1266" s="9"/>
      <c r="O1266" s="9"/>
      <c r="P1266" s="9"/>
      <c r="Q1266" s="9"/>
      <c r="R1266" s="9"/>
      <c r="S1266" s="9"/>
      <c r="T1266" s="9"/>
      <c r="U1266" s="9"/>
      <c r="V1266" s="9"/>
      <c r="W1266" s="9"/>
      <c r="X1266" s="9"/>
      <c r="Y1266" s="9"/>
      <c r="Z1266" s="9"/>
      <c r="AA1266" s="9"/>
      <c r="AB1266" s="9"/>
      <c r="AC1266" s="9"/>
      <c r="AD1266" s="9"/>
      <c r="AE1266" s="9"/>
      <c r="AF1266" s="9"/>
      <c r="AG1266" s="9"/>
      <c r="AH1266" s="9"/>
      <c r="AI1266" s="9"/>
      <c r="AJ1266" s="9"/>
      <c r="AK1266" s="9"/>
      <c r="AL1266" s="9"/>
    </row>
    <row r="1267" spans="1:38">
      <c r="A1267" s="9"/>
      <c r="B1267" s="9"/>
      <c r="C1267" s="9"/>
      <c r="D1267" s="9"/>
      <c r="E1267" s="9"/>
      <c r="F1267" s="9"/>
      <c r="G1267" s="9"/>
      <c r="H1267" s="9"/>
      <c r="I1267" s="9"/>
      <c r="J1267" s="9"/>
      <c r="K1267" s="9"/>
      <c r="L1267" s="9"/>
      <c r="M1267" s="9"/>
      <c r="N1267" s="9"/>
      <c r="O1267" s="9"/>
      <c r="P1267" s="9"/>
      <c r="Q1267" s="9"/>
      <c r="R1267" s="9"/>
      <c r="S1267" s="9"/>
      <c r="T1267" s="9"/>
      <c r="U1267" s="9"/>
      <c r="V1267" s="9"/>
      <c r="W1267" s="9"/>
      <c r="X1267" s="9"/>
      <c r="Y1267" s="9"/>
      <c r="Z1267" s="9"/>
      <c r="AA1267" s="9"/>
      <c r="AB1267" s="9"/>
      <c r="AC1267" s="9"/>
      <c r="AD1267" s="9"/>
      <c r="AE1267" s="9"/>
      <c r="AF1267" s="9"/>
      <c r="AG1267" s="9"/>
      <c r="AH1267" s="9"/>
      <c r="AI1267" s="9"/>
      <c r="AJ1267" s="9"/>
      <c r="AK1267" s="9"/>
      <c r="AL1267" s="9"/>
    </row>
    <row r="1268" spans="1:38">
      <c r="A1268" s="9"/>
      <c r="B1268" s="9"/>
      <c r="C1268" s="9"/>
      <c r="D1268" s="9"/>
      <c r="E1268" s="9"/>
      <c r="F1268" s="9"/>
      <c r="G1268" s="9"/>
      <c r="H1268" s="9"/>
      <c r="I1268" s="9"/>
      <c r="J1268" s="9"/>
      <c r="K1268" s="9"/>
      <c r="L1268" s="9"/>
      <c r="M1268" s="9"/>
      <c r="N1268" s="9"/>
      <c r="O1268" s="9"/>
      <c r="P1268" s="9"/>
      <c r="Q1268" s="9"/>
      <c r="R1268" s="9"/>
      <c r="S1268" s="9"/>
      <c r="T1268" s="9"/>
      <c r="U1268" s="9"/>
      <c r="V1268" s="9"/>
      <c r="W1268" s="9"/>
      <c r="X1268" s="9"/>
      <c r="Y1268" s="9"/>
      <c r="Z1268" s="9"/>
      <c r="AA1268" s="9"/>
      <c r="AB1268" s="9"/>
      <c r="AC1268" s="9"/>
      <c r="AD1268" s="9"/>
      <c r="AE1268" s="9"/>
      <c r="AF1268" s="9"/>
      <c r="AG1268" s="9"/>
      <c r="AH1268" s="9"/>
      <c r="AI1268" s="9"/>
      <c r="AJ1268" s="9"/>
      <c r="AK1268" s="9"/>
      <c r="AL1268" s="9"/>
    </row>
    <row r="1269" spans="1:38">
      <c r="A1269" s="9"/>
      <c r="B1269" s="9"/>
      <c r="C1269" s="9"/>
      <c r="D1269" s="9"/>
      <c r="E1269" s="9"/>
      <c r="F1269" s="9"/>
      <c r="G1269" s="9"/>
      <c r="H1269" s="9"/>
      <c r="I1269" s="9"/>
      <c r="J1269" s="9"/>
      <c r="K1269" s="9"/>
      <c r="L1269" s="9"/>
      <c r="M1269" s="9"/>
      <c r="N1269" s="9"/>
      <c r="O1269" s="9"/>
      <c r="P1269" s="9"/>
      <c r="Q1269" s="9"/>
      <c r="R1269" s="9"/>
      <c r="S1269" s="9"/>
      <c r="T1269" s="9"/>
      <c r="U1269" s="9"/>
      <c r="V1269" s="9"/>
      <c r="W1269" s="9"/>
      <c r="X1269" s="9"/>
      <c r="Y1269" s="9"/>
      <c r="Z1269" s="9"/>
      <c r="AA1269" s="9"/>
      <c r="AB1269" s="9"/>
      <c r="AC1269" s="9"/>
      <c r="AD1269" s="9"/>
      <c r="AE1269" s="9"/>
      <c r="AF1269" s="9"/>
      <c r="AG1269" s="9"/>
      <c r="AH1269" s="9"/>
      <c r="AI1269" s="9"/>
      <c r="AJ1269" s="9"/>
      <c r="AK1269" s="9"/>
      <c r="AL1269" s="9"/>
    </row>
    <row r="1270" spans="1:38">
      <c r="A1270" s="9"/>
      <c r="B1270" s="9"/>
      <c r="C1270" s="9"/>
      <c r="D1270" s="9"/>
      <c r="E1270" s="9"/>
      <c r="F1270" s="9"/>
      <c r="G1270" s="9"/>
      <c r="H1270" s="9"/>
      <c r="I1270" s="9"/>
      <c r="J1270" s="9"/>
      <c r="K1270" s="9"/>
      <c r="L1270" s="9"/>
      <c r="M1270" s="9"/>
      <c r="N1270" s="9"/>
      <c r="O1270" s="9"/>
      <c r="P1270" s="9"/>
      <c r="Q1270" s="9"/>
      <c r="R1270" s="9"/>
      <c r="S1270" s="9"/>
      <c r="T1270" s="9"/>
      <c r="U1270" s="9"/>
      <c r="V1270" s="9"/>
      <c r="W1270" s="9"/>
      <c r="X1270" s="9"/>
      <c r="Y1270" s="9"/>
      <c r="Z1270" s="9"/>
      <c r="AA1270" s="9"/>
      <c r="AB1270" s="9"/>
      <c r="AC1270" s="9"/>
      <c r="AD1270" s="9"/>
      <c r="AE1270" s="9"/>
      <c r="AF1270" s="9"/>
      <c r="AG1270" s="9"/>
      <c r="AH1270" s="9"/>
      <c r="AI1270" s="9"/>
      <c r="AJ1270" s="9"/>
      <c r="AK1270" s="9"/>
      <c r="AL1270" s="9"/>
    </row>
    <row r="1271" spans="1:38">
      <c r="A1271" s="9"/>
      <c r="B1271" s="9"/>
      <c r="C1271" s="9"/>
      <c r="D1271" s="9"/>
      <c r="E1271" s="9"/>
      <c r="F1271" s="9"/>
      <c r="G1271" s="9"/>
      <c r="H1271" s="9"/>
      <c r="I1271" s="9"/>
      <c r="J1271" s="9"/>
      <c r="K1271" s="9"/>
      <c r="L1271" s="9"/>
      <c r="M1271" s="9"/>
      <c r="N1271" s="9"/>
      <c r="O1271" s="9"/>
      <c r="P1271" s="9"/>
      <c r="Q1271" s="9"/>
      <c r="R1271" s="9"/>
      <c r="S1271" s="9"/>
      <c r="T1271" s="9"/>
      <c r="U1271" s="9"/>
      <c r="V1271" s="9"/>
      <c r="W1271" s="9"/>
      <c r="X1271" s="9"/>
      <c r="Y1271" s="9"/>
      <c r="Z1271" s="9"/>
      <c r="AA1271" s="9"/>
      <c r="AB1271" s="9"/>
      <c r="AC1271" s="9"/>
      <c r="AD1271" s="9"/>
      <c r="AE1271" s="9"/>
      <c r="AF1271" s="9"/>
      <c r="AG1271" s="9"/>
      <c r="AH1271" s="9"/>
      <c r="AI1271" s="9"/>
      <c r="AJ1271" s="9"/>
      <c r="AK1271" s="9"/>
      <c r="AL1271" s="9"/>
    </row>
    <row r="1272" spans="1:38">
      <c r="A1272" s="9"/>
      <c r="B1272" s="9"/>
      <c r="C1272" s="9"/>
      <c r="D1272" s="9"/>
      <c r="E1272" s="9"/>
      <c r="F1272" s="9"/>
      <c r="G1272" s="9"/>
      <c r="H1272" s="9"/>
      <c r="I1272" s="9"/>
      <c r="J1272" s="9"/>
      <c r="K1272" s="9"/>
      <c r="L1272" s="9"/>
      <c r="M1272" s="9"/>
      <c r="N1272" s="9"/>
      <c r="O1272" s="9"/>
      <c r="P1272" s="9"/>
      <c r="Q1272" s="9"/>
      <c r="R1272" s="9"/>
      <c r="S1272" s="9"/>
      <c r="T1272" s="9"/>
      <c r="U1272" s="9"/>
      <c r="V1272" s="9"/>
      <c r="W1272" s="9"/>
      <c r="X1272" s="9"/>
      <c r="Y1272" s="9"/>
      <c r="Z1272" s="9"/>
      <c r="AA1272" s="9"/>
      <c r="AB1272" s="9"/>
      <c r="AC1272" s="9"/>
      <c r="AD1272" s="9"/>
      <c r="AE1272" s="9"/>
      <c r="AF1272" s="9"/>
      <c r="AG1272" s="9"/>
      <c r="AH1272" s="9"/>
      <c r="AI1272" s="9"/>
      <c r="AJ1272" s="9"/>
      <c r="AK1272" s="9"/>
      <c r="AL1272" s="9"/>
    </row>
    <row r="1273" spans="1:38">
      <c r="A1273" s="9"/>
      <c r="B1273" s="9"/>
      <c r="C1273" s="9"/>
      <c r="D1273" s="9"/>
      <c r="E1273" s="9"/>
      <c r="F1273" s="9"/>
      <c r="G1273" s="9"/>
      <c r="H1273" s="9"/>
      <c r="I1273" s="9"/>
      <c r="J1273" s="9"/>
      <c r="K1273" s="9"/>
      <c r="L1273" s="9"/>
      <c r="M1273" s="9"/>
      <c r="N1273" s="9"/>
      <c r="O1273" s="9"/>
      <c r="P1273" s="9"/>
      <c r="Q1273" s="9"/>
      <c r="R1273" s="9"/>
      <c r="S1273" s="9"/>
      <c r="T1273" s="9"/>
      <c r="U1273" s="9"/>
      <c r="V1273" s="9"/>
      <c r="W1273" s="9"/>
      <c r="X1273" s="9"/>
      <c r="Y1273" s="9"/>
      <c r="Z1273" s="9"/>
      <c r="AA1273" s="9"/>
      <c r="AB1273" s="9"/>
      <c r="AC1273" s="9"/>
      <c r="AD1273" s="9"/>
      <c r="AE1273" s="9"/>
      <c r="AF1273" s="9"/>
      <c r="AG1273" s="9"/>
      <c r="AH1273" s="9"/>
      <c r="AI1273" s="9"/>
      <c r="AJ1273" s="9"/>
      <c r="AK1273" s="9"/>
      <c r="AL1273" s="9"/>
    </row>
    <row r="1274" spans="1:38">
      <c r="A1274" s="9"/>
      <c r="B1274" s="9"/>
      <c r="C1274" s="9"/>
      <c r="D1274" s="9"/>
      <c r="E1274" s="9"/>
      <c r="F1274" s="9"/>
      <c r="G1274" s="9"/>
      <c r="H1274" s="9"/>
      <c r="I1274" s="9"/>
      <c r="J1274" s="9"/>
      <c r="K1274" s="9"/>
      <c r="L1274" s="9"/>
      <c r="M1274" s="9"/>
      <c r="N1274" s="9"/>
      <c r="O1274" s="9"/>
      <c r="P1274" s="9"/>
      <c r="Q1274" s="9"/>
      <c r="R1274" s="9"/>
      <c r="S1274" s="9"/>
      <c r="T1274" s="9"/>
      <c r="U1274" s="9"/>
      <c r="V1274" s="9"/>
      <c r="W1274" s="9"/>
      <c r="X1274" s="9"/>
      <c r="Y1274" s="9"/>
      <c r="Z1274" s="9"/>
      <c r="AA1274" s="9"/>
      <c r="AB1274" s="9"/>
      <c r="AC1274" s="9"/>
      <c r="AD1274" s="9"/>
      <c r="AE1274" s="9"/>
      <c r="AF1274" s="9"/>
      <c r="AG1274" s="9"/>
      <c r="AH1274" s="9"/>
      <c r="AI1274" s="9"/>
      <c r="AJ1274" s="9"/>
      <c r="AK1274" s="9"/>
      <c r="AL1274" s="9"/>
    </row>
    <row r="1275" spans="1:38">
      <c r="A1275" s="9"/>
      <c r="B1275" s="9"/>
      <c r="C1275" s="9"/>
      <c r="D1275" s="9"/>
      <c r="E1275" s="9"/>
      <c r="F1275" s="9"/>
      <c r="G1275" s="9"/>
      <c r="H1275" s="9"/>
      <c r="I1275" s="9"/>
      <c r="J1275" s="9"/>
      <c r="K1275" s="9"/>
      <c r="L1275" s="9"/>
      <c r="M1275" s="9"/>
      <c r="N1275" s="9"/>
      <c r="O1275" s="9"/>
      <c r="P1275" s="9"/>
      <c r="Q1275" s="9"/>
      <c r="R1275" s="9"/>
      <c r="S1275" s="9"/>
      <c r="T1275" s="9"/>
      <c r="U1275" s="9"/>
      <c r="V1275" s="9"/>
      <c r="W1275" s="9"/>
      <c r="X1275" s="9"/>
      <c r="Y1275" s="9"/>
      <c r="Z1275" s="9"/>
      <c r="AA1275" s="9"/>
      <c r="AB1275" s="9"/>
      <c r="AC1275" s="9"/>
      <c r="AD1275" s="9"/>
      <c r="AE1275" s="9"/>
      <c r="AF1275" s="9"/>
      <c r="AG1275" s="9"/>
      <c r="AH1275" s="9"/>
      <c r="AI1275" s="9"/>
      <c r="AJ1275" s="9"/>
      <c r="AK1275" s="9"/>
      <c r="AL1275" s="9"/>
    </row>
    <row r="1276" spans="1:38">
      <c r="A1276" s="9"/>
      <c r="B1276" s="9"/>
      <c r="C1276" s="9"/>
      <c r="D1276" s="9"/>
      <c r="E1276" s="9"/>
      <c r="F1276" s="9"/>
      <c r="G1276" s="9"/>
      <c r="H1276" s="9"/>
      <c r="I1276" s="9"/>
      <c r="J1276" s="9"/>
      <c r="K1276" s="9"/>
      <c r="L1276" s="9"/>
      <c r="M1276" s="9"/>
      <c r="N1276" s="9"/>
      <c r="O1276" s="9"/>
      <c r="P1276" s="9"/>
      <c r="Q1276" s="9"/>
      <c r="R1276" s="9"/>
      <c r="S1276" s="9"/>
      <c r="T1276" s="9"/>
      <c r="U1276" s="9"/>
      <c r="V1276" s="9"/>
      <c r="W1276" s="9"/>
      <c r="X1276" s="9"/>
      <c r="Y1276" s="9"/>
      <c r="Z1276" s="9"/>
      <c r="AA1276" s="9"/>
      <c r="AB1276" s="9"/>
      <c r="AC1276" s="9"/>
      <c r="AD1276" s="9"/>
      <c r="AE1276" s="9"/>
      <c r="AF1276" s="9"/>
      <c r="AG1276" s="9"/>
      <c r="AH1276" s="9"/>
      <c r="AI1276" s="9"/>
      <c r="AJ1276" s="9"/>
      <c r="AK1276" s="9"/>
      <c r="AL1276" s="9"/>
    </row>
    <row r="1277" spans="1:38">
      <c r="A1277" s="9"/>
      <c r="B1277" s="9"/>
      <c r="C1277" s="9"/>
      <c r="D1277" s="9"/>
      <c r="E1277" s="9"/>
      <c r="F1277" s="9"/>
      <c r="G1277" s="9"/>
      <c r="H1277" s="9"/>
      <c r="I1277" s="9"/>
      <c r="J1277" s="9"/>
      <c r="K1277" s="9"/>
      <c r="L1277" s="9"/>
      <c r="M1277" s="9"/>
      <c r="N1277" s="9"/>
      <c r="O1277" s="9"/>
      <c r="P1277" s="9"/>
      <c r="Q1277" s="9"/>
      <c r="R1277" s="9"/>
      <c r="S1277" s="9"/>
      <c r="T1277" s="9"/>
      <c r="U1277" s="9"/>
      <c r="V1277" s="9"/>
      <c r="W1277" s="9"/>
      <c r="X1277" s="9"/>
      <c r="Y1277" s="9"/>
      <c r="Z1277" s="9"/>
      <c r="AA1277" s="9"/>
      <c r="AB1277" s="9"/>
      <c r="AC1277" s="9"/>
      <c r="AD1277" s="9"/>
      <c r="AE1277" s="9"/>
      <c r="AF1277" s="9"/>
      <c r="AG1277" s="9"/>
      <c r="AH1277" s="9"/>
      <c r="AI1277" s="9"/>
      <c r="AJ1277" s="9"/>
      <c r="AK1277" s="9"/>
      <c r="AL1277" s="9"/>
    </row>
    <row r="1278" spans="1:38">
      <c r="A1278" s="9"/>
      <c r="B1278" s="9"/>
      <c r="C1278" s="9"/>
      <c r="D1278" s="9"/>
      <c r="E1278" s="9"/>
      <c r="F1278" s="9"/>
      <c r="G1278" s="9"/>
      <c r="H1278" s="9"/>
      <c r="I1278" s="9"/>
      <c r="J1278" s="9"/>
      <c r="K1278" s="9"/>
      <c r="L1278" s="9"/>
      <c r="M1278" s="9"/>
      <c r="N1278" s="9"/>
      <c r="O1278" s="9"/>
      <c r="P1278" s="9"/>
      <c r="Q1278" s="9"/>
      <c r="R1278" s="9"/>
      <c r="S1278" s="9"/>
      <c r="T1278" s="9"/>
      <c r="U1278" s="9"/>
      <c r="V1278" s="9"/>
      <c r="W1278" s="9"/>
      <c r="X1278" s="9"/>
      <c r="Y1278" s="9"/>
      <c r="Z1278" s="9"/>
      <c r="AA1278" s="9"/>
      <c r="AB1278" s="9"/>
      <c r="AC1278" s="9"/>
      <c r="AD1278" s="9"/>
      <c r="AE1278" s="9"/>
      <c r="AF1278" s="9"/>
      <c r="AG1278" s="9"/>
      <c r="AH1278" s="9"/>
      <c r="AI1278" s="9"/>
      <c r="AJ1278" s="9"/>
      <c r="AK1278" s="9"/>
      <c r="AL1278" s="9"/>
    </row>
    <row r="1279" spans="1:38">
      <c r="A1279" s="9"/>
      <c r="B1279" s="9"/>
      <c r="C1279" s="9"/>
      <c r="D1279" s="9"/>
      <c r="E1279" s="9"/>
      <c r="F1279" s="9"/>
      <c r="G1279" s="9"/>
      <c r="H1279" s="9"/>
      <c r="I1279" s="9"/>
      <c r="J1279" s="9"/>
      <c r="K1279" s="9"/>
      <c r="L1279" s="9"/>
      <c r="M1279" s="9"/>
      <c r="N1279" s="9"/>
      <c r="O1279" s="9"/>
      <c r="P1279" s="9"/>
      <c r="Q1279" s="9"/>
      <c r="R1279" s="9"/>
      <c r="S1279" s="9"/>
      <c r="T1279" s="9"/>
      <c r="U1279" s="9"/>
      <c r="V1279" s="9"/>
      <c r="W1279" s="9"/>
      <c r="X1279" s="9"/>
      <c r="Y1279" s="9"/>
      <c r="Z1279" s="9"/>
      <c r="AA1279" s="9"/>
      <c r="AB1279" s="9"/>
      <c r="AC1279" s="9"/>
      <c r="AD1279" s="9"/>
      <c r="AE1279" s="9"/>
      <c r="AF1279" s="9"/>
      <c r="AG1279" s="9"/>
      <c r="AH1279" s="9"/>
      <c r="AI1279" s="9"/>
      <c r="AJ1279" s="9"/>
      <c r="AK1279" s="9"/>
      <c r="AL1279" s="9"/>
    </row>
    <row r="1280" spans="1:38">
      <c r="A1280" s="9"/>
      <c r="B1280" s="9"/>
      <c r="C1280" s="9"/>
      <c r="D1280" s="9"/>
      <c r="E1280" s="9"/>
      <c r="F1280" s="9"/>
      <c r="G1280" s="9"/>
      <c r="H1280" s="9"/>
      <c r="I1280" s="9"/>
      <c r="J1280" s="9"/>
      <c r="K1280" s="9"/>
      <c r="L1280" s="9"/>
      <c r="M1280" s="9"/>
      <c r="N1280" s="9"/>
      <c r="O1280" s="9"/>
      <c r="P1280" s="9"/>
      <c r="Q1280" s="9"/>
      <c r="R1280" s="9"/>
      <c r="S1280" s="9"/>
      <c r="T1280" s="9"/>
      <c r="U1280" s="9"/>
      <c r="V1280" s="9"/>
      <c r="W1280" s="9"/>
      <c r="X1280" s="9"/>
      <c r="Y1280" s="9"/>
      <c r="Z1280" s="9"/>
      <c r="AA1280" s="9"/>
      <c r="AB1280" s="9"/>
      <c r="AC1280" s="9"/>
      <c r="AD1280" s="9"/>
      <c r="AE1280" s="9"/>
      <c r="AF1280" s="9"/>
      <c r="AG1280" s="9"/>
      <c r="AH1280" s="9"/>
      <c r="AI1280" s="9"/>
      <c r="AJ1280" s="9"/>
      <c r="AK1280" s="9"/>
      <c r="AL1280" s="9"/>
    </row>
    <row r="1281" spans="1:38">
      <c r="A1281" s="9"/>
      <c r="B1281" s="9"/>
      <c r="C1281" s="9"/>
      <c r="D1281" s="9"/>
      <c r="E1281" s="9"/>
      <c r="F1281" s="9"/>
      <c r="G1281" s="9"/>
      <c r="H1281" s="9"/>
      <c r="I1281" s="9"/>
      <c r="J1281" s="9"/>
      <c r="K1281" s="9"/>
      <c r="L1281" s="9"/>
      <c r="M1281" s="9"/>
      <c r="N1281" s="9"/>
      <c r="O1281" s="9"/>
      <c r="P1281" s="9"/>
      <c r="Q1281" s="9"/>
      <c r="R1281" s="9"/>
      <c r="S1281" s="9"/>
      <c r="T1281" s="9"/>
      <c r="U1281" s="9"/>
      <c r="V1281" s="9"/>
      <c r="W1281" s="9"/>
      <c r="X1281" s="9"/>
      <c r="Y1281" s="9"/>
      <c r="Z1281" s="9"/>
      <c r="AA1281" s="9"/>
      <c r="AB1281" s="9"/>
      <c r="AC1281" s="9"/>
      <c r="AD1281" s="9"/>
      <c r="AE1281" s="9"/>
      <c r="AF1281" s="9"/>
      <c r="AG1281" s="9"/>
      <c r="AH1281" s="9"/>
      <c r="AI1281" s="9"/>
      <c r="AJ1281" s="9"/>
      <c r="AK1281" s="9"/>
      <c r="AL1281" s="9"/>
    </row>
    <row r="1282" spans="1:38">
      <c r="A1282" s="9"/>
      <c r="B1282" s="9"/>
      <c r="C1282" s="9"/>
      <c r="D1282" s="9"/>
      <c r="E1282" s="9"/>
      <c r="F1282" s="9"/>
      <c r="G1282" s="9"/>
      <c r="H1282" s="9"/>
      <c r="I1282" s="9"/>
      <c r="J1282" s="9"/>
      <c r="K1282" s="9"/>
      <c r="L1282" s="9"/>
      <c r="M1282" s="9"/>
      <c r="N1282" s="9"/>
      <c r="O1282" s="9"/>
      <c r="P1282" s="9"/>
      <c r="Q1282" s="9"/>
      <c r="R1282" s="9"/>
      <c r="S1282" s="9"/>
      <c r="T1282" s="9"/>
      <c r="U1282" s="9"/>
      <c r="V1282" s="9"/>
      <c r="W1282" s="9"/>
      <c r="X1282" s="9"/>
      <c r="Y1282" s="9"/>
      <c r="Z1282" s="9"/>
      <c r="AA1282" s="9"/>
      <c r="AB1282" s="9"/>
      <c r="AC1282" s="9"/>
      <c r="AD1282" s="9"/>
      <c r="AE1282" s="9"/>
      <c r="AF1282" s="9"/>
      <c r="AG1282" s="9"/>
      <c r="AH1282" s="9"/>
      <c r="AI1282" s="9"/>
      <c r="AJ1282" s="9"/>
      <c r="AK1282" s="9"/>
      <c r="AL1282" s="9"/>
    </row>
    <row r="1283" spans="1:38">
      <c r="A1283" s="9"/>
      <c r="B1283" s="9"/>
      <c r="C1283" s="9"/>
      <c r="D1283" s="9"/>
      <c r="E1283" s="9"/>
      <c r="F1283" s="9"/>
      <c r="G1283" s="9"/>
      <c r="H1283" s="9"/>
      <c r="I1283" s="9"/>
      <c r="J1283" s="9"/>
      <c r="K1283" s="9"/>
      <c r="L1283" s="9"/>
      <c r="M1283" s="9"/>
      <c r="N1283" s="9"/>
      <c r="O1283" s="9"/>
      <c r="P1283" s="9"/>
      <c r="Q1283" s="9"/>
      <c r="R1283" s="9"/>
      <c r="S1283" s="9"/>
      <c r="T1283" s="9"/>
      <c r="U1283" s="9"/>
      <c r="V1283" s="9"/>
      <c r="W1283" s="9"/>
      <c r="X1283" s="9"/>
      <c r="Y1283" s="9"/>
      <c r="Z1283" s="9"/>
      <c r="AA1283" s="9"/>
      <c r="AB1283" s="9"/>
      <c r="AC1283" s="9"/>
      <c r="AD1283" s="9"/>
      <c r="AE1283" s="9"/>
      <c r="AF1283" s="9"/>
      <c r="AG1283" s="9"/>
      <c r="AH1283" s="9"/>
      <c r="AI1283" s="9"/>
      <c r="AJ1283" s="9"/>
      <c r="AK1283" s="9"/>
      <c r="AL1283" s="9"/>
    </row>
    <row r="1284" spans="1:38">
      <c r="A1284" s="9"/>
      <c r="B1284" s="9"/>
      <c r="C1284" s="9"/>
      <c r="D1284" s="9"/>
      <c r="E1284" s="9"/>
      <c r="F1284" s="9"/>
      <c r="G1284" s="9"/>
      <c r="H1284" s="9"/>
      <c r="I1284" s="9"/>
      <c r="J1284" s="9"/>
      <c r="K1284" s="9"/>
      <c r="L1284" s="9"/>
      <c r="M1284" s="9"/>
      <c r="N1284" s="9"/>
      <c r="O1284" s="9"/>
      <c r="P1284" s="9"/>
      <c r="Q1284" s="9"/>
      <c r="R1284" s="9"/>
      <c r="S1284" s="9"/>
      <c r="T1284" s="9"/>
      <c r="U1284" s="9"/>
      <c r="V1284" s="9"/>
      <c r="W1284" s="9"/>
      <c r="X1284" s="9"/>
      <c r="Y1284" s="9"/>
      <c r="Z1284" s="9"/>
      <c r="AA1284" s="9"/>
      <c r="AB1284" s="9"/>
      <c r="AC1284" s="9"/>
      <c r="AD1284" s="9"/>
      <c r="AE1284" s="9"/>
      <c r="AF1284" s="9"/>
      <c r="AG1284" s="9"/>
      <c r="AH1284" s="9"/>
      <c r="AI1284" s="9"/>
      <c r="AJ1284" s="9"/>
      <c r="AK1284" s="9"/>
      <c r="AL1284" s="9"/>
    </row>
    <row r="1285" spans="1:38">
      <c r="A1285" s="9"/>
      <c r="B1285" s="9"/>
      <c r="C1285" s="9"/>
      <c r="D1285" s="9"/>
      <c r="E1285" s="9"/>
      <c r="F1285" s="9"/>
      <c r="G1285" s="9"/>
      <c r="H1285" s="9"/>
      <c r="I1285" s="9"/>
      <c r="J1285" s="9"/>
      <c r="K1285" s="9"/>
      <c r="L1285" s="9"/>
      <c r="M1285" s="9"/>
      <c r="N1285" s="9"/>
      <c r="O1285" s="9"/>
      <c r="P1285" s="9"/>
      <c r="Q1285" s="9"/>
      <c r="R1285" s="9"/>
      <c r="S1285" s="9"/>
      <c r="T1285" s="9"/>
      <c r="U1285" s="9"/>
      <c r="V1285" s="9"/>
      <c r="W1285" s="9"/>
      <c r="X1285" s="9"/>
      <c r="Y1285" s="9"/>
      <c r="Z1285" s="9"/>
      <c r="AA1285" s="9"/>
      <c r="AB1285" s="9"/>
      <c r="AC1285" s="9"/>
      <c r="AD1285" s="9"/>
      <c r="AE1285" s="9"/>
      <c r="AF1285" s="9"/>
      <c r="AG1285" s="9"/>
      <c r="AH1285" s="9"/>
      <c r="AI1285" s="9"/>
      <c r="AJ1285" s="9"/>
      <c r="AK1285" s="9"/>
      <c r="AL1285" s="9"/>
    </row>
    <row r="1286" spans="1:38">
      <c r="A1286" s="9"/>
      <c r="B1286" s="9"/>
      <c r="C1286" s="9"/>
      <c r="D1286" s="9"/>
      <c r="E1286" s="9"/>
      <c r="F1286" s="9"/>
      <c r="G1286" s="9"/>
      <c r="H1286" s="9"/>
      <c r="I1286" s="9"/>
      <c r="J1286" s="9"/>
      <c r="K1286" s="9"/>
      <c r="L1286" s="9"/>
      <c r="M1286" s="9"/>
      <c r="N1286" s="9"/>
      <c r="O1286" s="9"/>
      <c r="P1286" s="9"/>
      <c r="Q1286" s="9"/>
      <c r="R1286" s="9"/>
      <c r="S1286" s="9"/>
      <c r="T1286" s="9"/>
      <c r="U1286" s="9"/>
      <c r="V1286" s="9"/>
      <c r="W1286" s="9"/>
      <c r="X1286" s="9"/>
      <c r="Y1286" s="9"/>
      <c r="Z1286" s="9"/>
      <c r="AA1286" s="9"/>
      <c r="AB1286" s="9"/>
      <c r="AC1286" s="9"/>
      <c r="AD1286" s="9"/>
      <c r="AE1286" s="9"/>
      <c r="AF1286" s="9"/>
      <c r="AG1286" s="9"/>
      <c r="AH1286" s="9"/>
      <c r="AI1286" s="9"/>
      <c r="AJ1286" s="9"/>
      <c r="AK1286" s="9"/>
      <c r="AL1286" s="9"/>
    </row>
    <row r="1287" spans="1:38">
      <c r="A1287" s="9"/>
      <c r="B1287" s="9"/>
      <c r="C1287" s="9"/>
      <c r="D1287" s="9"/>
      <c r="E1287" s="9"/>
      <c r="F1287" s="9"/>
      <c r="G1287" s="9"/>
      <c r="H1287" s="9"/>
      <c r="I1287" s="9"/>
      <c r="J1287" s="9"/>
      <c r="K1287" s="9"/>
      <c r="L1287" s="9"/>
      <c r="M1287" s="9"/>
      <c r="N1287" s="9"/>
      <c r="O1287" s="9"/>
      <c r="P1287" s="9"/>
      <c r="Q1287" s="9"/>
      <c r="R1287" s="9"/>
      <c r="S1287" s="9"/>
      <c r="T1287" s="9"/>
      <c r="U1287" s="9"/>
      <c r="V1287" s="9"/>
      <c r="W1287" s="9"/>
      <c r="X1287" s="9"/>
      <c r="Y1287" s="9"/>
      <c r="Z1287" s="9"/>
      <c r="AA1287" s="9"/>
      <c r="AB1287" s="9"/>
      <c r="AC1287" s="9"/>
      <c r="AD1287" s="9"/>
      <c r="AE1287" s="9"/>
      <c r="AF1287" s="9"/>
      <c r="AG1287" s="9"/>
      <c r="AH1287" s="9"/>
      <c r="AI1287" s="9"/>
      <c r="AJ1287" s="9"/>
      <c r="AK1287" s="9"/>
      <c r="AL1287" s="9"/>
    </row>
    <row r="1288" spans="1:38">
      <c r="A1288" s="9"/>
      <c r="B1288" s="9"/>
      <c r="C1288" s="9"/>
      <c r="D1288" s="9"/>
      <c r="E1288" s="9"/>
      <c r="F1288" s="9"/>
      <c r="G1288" s="9"/>
      <c r="H1288" s="9"/>
      <c r="I1288" s="9"/>
      <c r="J1288" s="9"/>
      <c r="K1288" s="9"/>
      <c r="L1288" s="9"/>
      <c r="M1288" s="9"/>
      <c r="N1288" s="9"/>
      <c r="O1288" s="9"/>
      <c r="P1288" s="9"/>
      <c r="Q1288" s="9"/>
      <c r="R1288" s="9"/>
      <c r="S1288" s="9"/>
      <c r="T1288" s="9"/>
      <c r="U1288" s="9"/>
      <c r="V1288" s="9"/>
      <c r="W1288" s="9"/>
      <c r="X1288" s="9"/>
      <c r="Y1288" s="9"/>
      <c r="Z1288" s="9"/>
      <c r="AA1288" s="9"/>
      <c r="AB1288" s="9"/>
      <c r="AC1288" s="9"/>
      <c r="AD1288" s="9"/>
      <c r="AE1288" s="9"/>
      <c r="AF1288" s="9"/>
      <c r="AG1288" s="9"/>
      <c r="AH1288" s="9"/>
      <c r="AI1288" s="9"/>
      <c r="AJ1288" s="9"/>
      <c r="AK1288" s="9"/>
      <c r="AL1288" s="9"/>
    </row>
    <row r="1289" spans="1:38">
      <c r="A1289" s="9"/>
      <c r="B1289" s="9"/>
      <c r="C1289" s="9"/>
      <c r="D1289" s="9"/>
      <c r="E1289" s="9"/>
      <c r="F1289" s="9"/>
      <c r="G1289" s="9"/>
      <c r="H1289" s="9"/>
      <c r="I1289" s="9"/>
      <c r="J1289" s="9"/>
      <c r="K1289" s="9"/>
      <c r="L1289" s="9"/>
      <c r="M1289" s="9"/>
      <c r="N1289" s="9"/>
      <c r="O1289" s="9"/>
      <c r="P1289" s="9"/>
      <c r="Q1289" s="9"/>
      <c r="R1289" s="9"/>
      <c r="S1289" s="9"/>
      <c r="T1289" s="9"/>
      <c r="U1289" s="9"/>
      <c r="V1289" s="9"/>
      <c r="W1289" s="9"/>
      <c r="X1289" s="9"/>
      <c r="Y1289" s="9"/>
      <c r="Z1289" s="9"/>
      <c r="AA1289" s="9"/>
      <c r="AB1289" s="9"/>
      <c r="AC1289" s="9"/>
      <c r="AD1289" s="9"/>
      <c r="AE1289" s="9"/>
      <c r="AF1289" s="9"/>
      <c r="AG1289" s="9"/>
      <c r="AH1289" s="9"/>
      <c r="AI1289" s="9"/>
      <c r="AJ1289" s="9"/>
      <c r="AK1289" s="9"/>
      <c r="AL1289" s="9"/>
    </row>
    <row r="1290" spans="1:38">
      <c r="A1290" s="9"/>
      <c r="B1290" s="9"/>
      <c r="C1290" s="9"/>
      <c r="D1290" s="9"/>
      <c r="E1290" s="9"/>
      <c r="F1290" s="9"/>
      <c r="G1290" s="9"/>
      <c r="H1290" s="9"/>
      <c r="I1290" s="9"/>
      <c r="J1290" s="9"/>
      <c r="K1290" s="9"/>
      <c r="L1290" s="9"/>
      <c r="M1290" s="9"/>
      <c r="N1290" s="9"/>
      <c r="O1290" s="9"/>
      <c r="P1290" s="9"/>
      <c r="Q1290" s="9"/>
      <c r="R1290" s="9"/>
      <c r="S1290" s="9"/>
      <c r="T1290" s="9"/>
      <c r="U1290" s="9"/>
      <c r="V1290" s="9"/>
      <c r="W1290" s="9"/>
      <c r="X1290" s="9"/>
      <c r="Y1290" s="9"/>
      <c r="Z1290" s="9"/>
      <c r="AA1290" s="9"/>
      <c r="AB1290" s="9"/>
      <c r="AC1290" s="9"/>
      <c r="AD1290" s="9"/>
      <c r="AE1290" s="9"/>
      <c r="AF1290" s="9"/>
      <c r="AG1290" s="9"/>
      <c r="AH1290" s="9"/>
      <c r="AI1290" s="9"/>
      <c r="AJ1290" s="9"/>
      <c r="AK1290" s="9"/>
      <c r="AL1290" s="9"/>
    </row>
    <row r="1291" spans="1:38">
      <c r="A1291" s="9"/>
      <c r="B1291" s="9"/>
      <c r="C1291" s="9"/>
      <c r="D1291" s="9"/>
      <c r="E1291" s="9"/>
      <c r="F1291" s="9"/>
      <c r="G1291" s="9"/>
      <c r="H1291" s="9"/>
      <c r="I1291" s="9"/>
      <c r="J1291" s="9"/>
      <c r="K1291" s="9"/>
      <c r="L1291" s="9"/>
      <c r="M1291" s="9"/>
      <c r="N1291" s="9"/>
      <c r="O1291" s="9"/>
      <c r="P1291" s="9"/>
      <c r="Q1291" s="9"/>
      <c r="R1291" s="9"/>
      <c r="S1291" s="9"/>
      <c r="T1291" s="9"/>
      <c r="U1291" s="9"/>
      <c r="V1291" s="9"/>
      <c r="W1291" s="9"/>
      <c r="X1291" s="9"/>
      <c r="Y1291" s="9"/>
      <c r="Z1291" s="9"/>
      <c r="AA1291" s="9"/>
      <c r="AB1291" s="9"/>
      <c r="AC1291" s="9"/>
      <c r="AD1291" s="9"/>
      <c r="AE1291" s="9"/>
      <c r="AF1291" s="9"/>
      <c r="AG1291" s="9"/>
      <c r="AH1291" s="9"/>
      <c r="AI1291" s="9"/>
      <c r="AJ1291" s="9"/>
      <c r="AK1291" s="9"/>
      <c r="AL1291" s="9"/>
    </row>
    <row r="1292" spans="1:38">
      <c r="A1292" s="9"/>
      <c r="B1292" s="9"/>
      <c r="C1292" s="9"/>
      <c r="D1292" s="9"/>
      <c r="E1292" s="9"/>
      <c r="F1292" s="9"/>
      <c r="G1292" s="9"/>
      <c r="H1292" s="9"/>
      <c r="I1292" s="9"/>
      <c r="J1292" s="9"/>
      <c r="K1292" s="9"/>
      <c r="L1292" s="9"/>
      <c r="M1292" s="9"/>
      <c r="N1292" s="9"/>
      <c r="O1292" s="9"/>
      <c r="P1292" s="9"/>
      <c r="Q1292" s="9"/>
      <c r="R1292" s="9"/>
      <c r="S1292" s="9"/>
      <c r="T1292" s="9"/>
      <c r="U1292" s="9"/>
      <c r="V1292" s="9"/>
      <c r="W1292" s="9"/>
      <c r="X1292" s="9"/>
      <c r="Y1292" s="9"/>
      <c r="Z1292" s="9"/>
      <c r="AA1292" s="9"/>
      <c r="AB1292" s="9"/>
      <c r="AC1292" s="9"/>
      <c r="AD1292" s="9"/>
      <c r="AE1292" s="9"/>
      <c r="AF1292" s="9"/>
      <c r="AG1292" s="9"/>
      <c r="AH1292" s="9"/>
      <c r="AI1292" s="9"/>
      <c r="AJ1292" s="9"/>
      <c r="AK1292" s="9"/>
      <c r="AL1292" s="9"/>
    </row>
    <row r="1293" spans="1:38">
      <c r="A1293" s="9"/>
      <c r="B1293" s="9"/>
      <c r="C1293" s="9"/>
      <c r="D1293" s="9"/>
      <c r="E1293" s="9"/>
      <c r="F1293" s="9"/>
      <c r="G1293" s="9"/>
      <c r="H1293" s="9"/>
      <c r="I1293" s="9"/>
      <c r="J1293" s="9"/>
      <c r="K1293" s="9"/>
      <c r="L1293" s="9"/>
      <c r="M1293" s="9"/>
      <c r="N1293" s="9"/>
      <c r="O1293" s="9"/>
      <c r="P1293" s="9"/>
      <c r="Q1293" s="9"/>
      <c r="R1293" s="9"/>
      <c r="S1293" s="9"/>
      <c r="T1293" s="9"/>
      <c r="U1293" s="9"/>
      <c r="V1293" s="9"/>
      <c r="W1293" s="9"/>
      <c r="X1293" s="9"/>
      <c r="Y1293" s="9"/>
      <c r="Z1293" s="9"/>
      <c r="AA1293" s="9"/>
      <c r="AB1293" s="9"/>
      <c r="AC1293" s="9"/>
      <c r="AD1293" s="9"/>
      <c r="AE1293" s="9"/>
      <c r="AF1293" s="9"/>
      <c r="AG1293" s="9"/>
      <c r="AH1293" s="9"/>
      <c r="AI1293" s="9"/>
      <c r="AJ1293" s="9"/>
      <c r="AK1293" s="9"/>
      <c r="AL1293" s="9"/>
    </row>
    <row r="1294" spans="1:38">
      <c r="A1294" s="9"/>
      <c r="B1294" s="9"/>
      <c r="C1294" s="9"/>
      <c r="D1294" s="9"/>
      <c r="E1294" s="9"/>
      <c r="F1294" s="9"/>
      <c r="G1294" s="9"/>
      <c r="H1294" s="9"/>
      <c r="I1294" s="9"/>
      <c r="J1294" s="9"/>
      <c r="K1294" s="9"/>
      <c r="L1294" s="9"/>
      <c r="M1294" s="9"/>
      <c r="N1294" s="9"/>
      <c r="O1294" s="9"/>
      <c r="P1294" s="9"/>
      <c r="Q1294" s="9"/>
      <c r="R1294" s="9"/>
      <c r="S1294" s="9"/>
      <c r="T1294" s="9"/>
      <c r="U1294" s="9"/>
      <c r="V1294" s="9"/>
      <c r="W1294" s="9"/>
      <c r="X1294" s="9"/>
      <c r="Y1294" s="9"/>
      <c r="Z1294" s="9"/>
      <c r="AA1294" s="9"/>
      <c r="AB1294" s="9"/>
      <c r="AC1294" s="9"/>
      <c r="AD1294" s="9"/>
      <c r="AE1294" s="9"/>
      <c r="AF1294" s="9"/>
      <c r="AG1294" s="9"/>
      <c r="AH1294" s="9"/>
      <c r="AI1294" s="9"/>
      <c r="AJ1294" s="9"/>
      <c r="AK1294" s="9"/>
      <c r="AL1294" s="9"/>
    </row>
    <row r="1295" spans="1:38">
      <c r="A1295" s="9"/>
      <c r="B1295" s="9"/>
      <c r="C1295" s="9"/>
      <c r="D1295" s="9"/>
      <c r="E1295" s="9"/>
      <c r="F1295" s="9"/>
      <c r="G1295" s="9"/>
      <c r="H1295" s="9"/>
      <c r="I1295" s="9"/>
      <c r="J1295" s="9"/>
      <c r="K1295" s="9"/>
      <c r="L1295" s="9"/>
      <c r="M1295" s="9"/>
      <c r="N1295" s="9"/>
      <c r="O1295" s="9"/>
      <c r="P1295" s="9"/>
      <c r="Q1295" s="9"/>
      <c r="R1295" s="9"/>
      <c r="S1295" s="9"/>
      <c r="T1295" s="9"/>
      <c r="U1295" s="9"/>
      <c r="V1295" s="9"/>
      <c r="W1295" s="9"/>
      <c r="X1295" s="9"/>
      <c r="Y1295" s="9"/>
      <c r="Z1295" s="9"/>
      <c r="AA1295" s="9"/>
      <c r="AB1295" s="9"/>
      <c r="AC1295" s="9"/>
      <c r="AD1295" s="9"/>
      <c r="AE1295" s="9"/>
      <c r="AF1295" s="9"/>
      <c r="AG1295" s="9"/>
      <c r="AH1295" s="9"/>
      <c r="AI1295" s="9"/>
      <c r="AJ1295" s="9"/>
      <c r="AK1295" s="9"/>
      <c r="AL1295" s="9"/>
    </row>
    <row r="1296" spans="1:38">
      <c r="A1296" s="9"/>
      <c r="B1296" s="9"/>
      <c r="C1296" s="9"/>
      <c r="D1296" s="9"/>
      <c r="E1296" s="9"/>
      <c r="F1296" s="9"/>
      <c r="G1296" s="9"/>
      <c r="H1296" s="9"/>
      <c r="I1296" s="9"/>
      <c r="J1296" s="9"/>
      <c r="K1296" s="9"/>
      <c r="L1296" s="9"/>
      <c r="M1296" s="9"/>
      <c r="N1296" s="9"/>
      <c r="O1296" s="9"/>
      <c r="P1296" s="9"/>
      <c r="Q1296" s="9"/>
      <c r="R1296" s="9"/>
      <c r="S1296" s="9"/>
      <c r="T1296" s="9"/>
      <c r="U1296" s="9"/>
      <c r="V1296" s="9"/>
      <c r="W1296" s="9"/>
      <c r="X1296" s="9"/>
      <c r="Y1296" s="9"/>
      <c r="Z1296" s="9"/>
      <c r="AA1296" s="9"/>
      <c r="AB1296" s="9"/>
      <c r="AC1296" s="9"/>
      <c r="AD1296" s="9"/>
      <c r="AE1296" s="9"/>
      <c r="AF1296" s="9"/>
      <c r="AG1296" s="9"/>
      <c r="AH1296" s="9"/>
      <c r="AI1296" s="9"/>
      <c r="AJ1296" s="9"/>
      <c r="AK1296" s="9"/>
      <c r="AL1296" s="9"/>
    </row>
    <row r="1297" spans="1:38">
      <c r="A1297" s="9"/>
      <c r="B1297" s="9"/>
      <c r="C1297" s="9"/>
      <c r="D1297" s="9"/>
      <c r="E1297" s="9"/>
      <c r="F1297" s="9"/>
      <c r="G1297" s="9"/>
      <c r="H1297" s="9"/>
      <c r="I1297" s="9"/>
      <c r="J1297" s="9"/>
      <c r="K1297" s="9"/>
      <c r="L1297" s="9"/>
      <c r="M1297" s="9"/>
      <c r="N1297" s="9"/>
      <c r="O1297" s="9"/>
      <c r="P1297" s="9"/>
      <c r="Q1297" s="9"/>
      <c r="R1297" s="9"/>
      <c r="S1297" s="9"/>
      <c r="T1297" s="9"/>
      <c r="U1297" s="9"/>
      <c r="V1297" s="9"/>
      <c r="W1297" s="9"/>
      <c r="X1297" s="9"/>
      <c r="Y1297" s="9"/>
      <c r="Z1297" s="9"/>
      <c r="AA1297" s="9"/>
      <c r="AB1297" s="9"/>
      <c r="AC1297" s="9"/>
      <c r="AD1297" s="9"/>
      <c r="AE1297" s="9"/>
      <c r="AF1297" s="9"/>
      <c r="AG1297" s="9"/>
      <c r="AH1297" s="9"/>
      <c r="AI1297" s="9"/>
      <c r="AJ1297" s="9"/>
      <c r="AK1297" s="9"/>
      <c r="AL1297" s="9"/>
    </row>
    <row r="1298" spans="1:38">
      <c r="A1298" s="9"/>
      <c r="B1298" s="9"/>
      <c r="C1298" s="9"/>
      <c r="D1298" s="9"/>
      <c r="E1298" s="9"/>
      <c r="F1298" s="9"/>
      <c r="G1298" s="9"/>
      <c r="H1298" s="9"/>
      <c r="I1298" s="9"/>
      <c r="J1298" s="9"/>
      <c r="K1298" s="9"/>
      <c r="L1298" s="9"/>
      <c r="M1298" s="9"/>
      <c r="N1298" s="9"/>
      <c r="O1298" s="9"/>
      <c r="P1298" s="9"/>
      <c r="Q1298" s="9"/>
      <c r="R1298" s="9"/>
      <c r="S1298" s="9"/>
      <c r="T1298" s="9"/>
      <c r="U1298" s="9"/>
      <c r="V1298" s="9"/>
      <c r="W1298" s="9"/>
      <c r="X1298" s="9"/>
      <c r="Y1298" s="9"/>
      <c r="Z1298" s="9"/>
      <c r="AA1298" s="9"/>
      <c r="AB1298" s="9"/>
      <c r="AC1298" s="9"/>
      <c r="AD1298" s="9"/>
      <c r="AE1298" s="9"/>
      <c r="AF1298" s="9"/>
      <c r="AG1298" s="9"/>
      <c r="AH1298" s="9"/>
      <c r="AI1298" s="9"/>
      <c r="AJ1298" s="9"/>
      <c r="AK1298" s="9"/>
      <c r="AL1298" s="9"/>
    </row>
    <row r="1299" spans="1:38">
      <c r="A1299" s="9"/>
      <c r="B1299" s="9"/>
      <c r="C1299" s="9"/>
      <c r="D1299" s="9"/>
      <c r="E1299" s="9"/>
      <c r="F1299" s="9"/>
      <c r="G1299" s="9"/>
      <c r="H1299" s="9"/>
      <c r="I1299" s="9"/>
      <c r="J1299" s="9"/>
      <c r="K1299" s="9"/>
      <c r="L1299" s="9"/>
      <c r="M1299" s="9"/>
      <c r="N1299" s="9"/>
      <c r="O1299" s="9"/>
      <c r="P1299" s="9"/>
      <c r="Q1299" s="9"/>
      <c r="R1299" s="9"/>
      <c r="S1299" s="9"/>
      <c r="T1299" s="9"/>
      <c r="U1299" s="9"/>
      <c r="V1299" s="9"/>
      <c r="W1299" s="9"/>
      <c r="X1299" s="9"/>
      <c r="Y1299" s="9"/>
      <c r="Z1299" s="9"/>
      <c r="AA1299" s="9"/>
      <c r="AB1299" s="9"/>
      <c r="AC1299" s="9"/>
      <c r="AD1299" s="9"/>
      <c r="AE1299" s="9"/>
      <c r="AF1299" s="9"/>
      <c r="AG1299" s="9"/>
      <c r="AH1299" s="9"/>
      <c r="AI1299" s="9"/>
      <c r="AJ1299" s="9"/>
      <c r="AK1299" s="9"/>
      <c r="AL1299" s="9"/>
    </row>
    <row r="1300" spans="1:38">
      <c r="A1300" s="9"/>
      <c r="B1300" s="9"/>
      <c r="C1300" s="9"/>
      <c r="D1300" s="9"/>
      <c r="E1300" s="9"/>
      <c r="F1300" s="9"/>
      <c r="G1300" s="9"/>
      <c r="H1300" s="9"/>
      <c r="I1300" s="9"/>
      <c r="J1300" s="9"/>
      <c r="K1300" s="9"/>
      <c r="L1300" s="9"/>
      <c r="M1300" s="9"/>
      <c r="N1300" s="9"/>
      <c r="O1300" s="9"/>
      <c r="P1300" s="9"/>
      <c r="Q1300" s="9"/>
      <c r="R1300" s="9"/>
      <c r="S1300" s="9"/>
      <c r="T1300" s="9"/>
      <c r="U1300" s="9"/>
      <c r="V1300" s="9"/>
      <c r="W1300" s="9"/>
      <c r="X1300" s="9"/>
      <c r="Y1300" s="9"/>
      <c r="Z1300" s="9"/>
      <c r="AA1300" s="9"/>
      <c r="AB1300" s="9"/>
      <c r="AC1300" s="9"/>
      <c r="AD1300" s="9"/>
      <c r="AE1300" s="9"/>
      <c r="AF1300" s="9"/>
      <c r="AG1300" s="9"/>
      <c r="AH1300" s="9"/>
      <c r="AI1300" s="9"/>
      <c r="AJ1300" s="9"/>
      <c r="AK1300" s="9"/>
      <c r="AL1300" s="9"/>
    </row>
    <row r="1301" spans="1:38">
      <c r="A1301" s="9"/>
      <c r="B1301" s="9"/>
      <c r="C1301" s="9"/>
      <c r="D1301" s="9"/>
      <c r="E1301" s="9"/>
      <c r="F1301" s="9"/>
      <c r="G1301" s="9"/>
      <c r="H1301" s="9"/>
      <c r="I1301" s="9"/>
      <c r="J1301" s="9"/>
      <c r="K1301" s="9"/>
      <c r="L1301" s="9"/>
      <c r="M1301" s="9"/>
      <c r="N1301" s="9"/>
      <c r="O1301" s="9"/>
      <c r="P1301" s="9"/>
      <c r="Q1301" s="9"/>
      <c r="R1301" s="9"/>
      <c r="S1301" s="9"/>
      <c r="T1301" s="9"/>
      <c r="U1301" s="9"/>
      <c r="V1301" s="9"/>
      <c r="W1301" s="9"/>
      <c r="X1301" s="9"/>
      <c r="Y1301" s="9"/>
      <c r="Z1301" s="9"/>
      <c r="AA1301" s="9"/>
      <c r="AB1301" s="9"/>
      <c r="AC1301" s="9"/>
      <c r="AD1301" s="9"/>
      <c r="AE1301" s="9"/>
      <c r="AF1301" s="9"/>
      <c r="AG1301" s="9"/>
      <c r="AH1301" s="9"/>
      <c r="AI1301" s="9"/>
      <c r="AJ1301" s="9"/>
      <c r="AK1301" s="9"/>
      <c r="AL1301" s="9"/>
    </row>
    <row r="1302" spans="1:38">
      <c r="A1302" s="9"/>
      <c r="B1302" s="9"/>
      <c r="C1302" s="9"/>
      <c r="D1302" s="9"/>
      <c r="E1302" s="9"/>
      <c r="F1302" s="9"/>
      <c r="G1302" s="9"/>
      <c r="H1302" s="9"/>
      <c r="I1302" s="9"/>
      <c r="J1302" s="9"/>
      <c r="K1302" s="9"/>
      <c r="L1302" s="9"/>
      <c r="M1302" s="9"/>
      <c r="N1302" s="9"/>
      <c r="O1302" s="9"/>
      <c r="P1302" s="9"/>
      <c r="Q1302" s="9"/>
      <c r="R1302" s="9"/>
      <c r="S1302" s="9"/>
      <c r="T1302" s="9"/>
      <c r="U1302" s="9"/>
      <c r="V1302" s="9"/>
      <c r="W1302" s="9"/>
      <c r="X1302" s="9"/>
      <c r="Y1302" s="9"/>
      <c r="Z1302" s="9"/>
      <c r="AA1302" s="9"/>
      <c r="AB1302" s="9"/>
      <c r="AC1302" s="9"/>
      <c r="AD1302" s="9"/>
      <c r="AE1302" s="9"/>
      <c r="AF1302" s="9"/>
      <c r="AG1302" s="9"/>
      <c r="AH1302" s="9"/>
      <c r="AI1302" s="9"/>
      <c r="AJ1302" s="9"/>
      <c r="AK1302" s="9"/>
      <c r="AL1302" s="9"/>
    </row>
    <row r="1303" spans="1:38">
      <c r="A1303" s="9"/>
      <c r="B1303" s="9"/>
      <c r="C1303" s="9"/>
      <c r="D1303" s="9"/>
      <c r="E1303" s="9"/>
      <c r="F1303" s="9"/>
      <c r="G1303" s="9"/>
      <c r="H1303" s="9"/>
      <c r="I1303" s="9"/>
      <c r="J1303" s="9"/>
      <c r="K1303" s="9"/>
      <c r="L1303" s="9"/>
      <c r="M1303" s="9"/>
      <c r="N1303" s="9"/>
      <c r="O1303" s="9"/>
      <c r="P1303" s="9"/>
      <c r="Q1303" s="9"/>
      <c r="R1303" s="9"/>
      <c r="S1303" s="9"/>
      <c r="T1303" s="9"/>
      <c r="U1303" s="9"/>
      <c r="V1303" s="9"/>
      <c r="W1303" s="9"/>
      <c r="X1303" s="9"/>
      <c r="Y1303" s="9"/>
      <c r="Z1303" s="9"/>
      <c r="AA1303" s="9"/>
      <c r="AB1303" s="9"/>
      <c r="AC1303" s="9"/>
      <c r="AD1303" s="9"/>
      <c r="AE1303" s="9"/>
      <c r="AF1303" s="9"/>
      <c r="AG1303" s="9"/>
      <c r="AH1303" s="9"/>
      <c r="AI1303" s="9"/>
      <c r="AJ1303" s="9"/>
      <c r="AK1303" s="9"/>
      <c r="AL1303" s="9"/>
    </row>
    <row r="1304" spans="1:38">
      <c r="A1304" s="9"/>
      <c r="B1304" s="9"/>
      <c r="C1304" s="9"/>
      <c r="D1304" s="9"/>
      <c r="E1304" s="9"/>
      <c r="F1304" s="9"/>
      <c r="G1304" s="9"/>
      <c r="H1304" s="9"/>
      <c r="I1304" s="9"/>
      <c r="J1304" s="9"/>
      <c r="K1304" s="9"/>
      <c r="L1304" s="9"/>
      <c r="M1304" s="9"/>
      <c r="N1304" s="9"/>
      <c r="O1304" s="9"/>
      <c r="P1304" s="9"/>
      <c r="Q1304" s="9"/>
      <c r="R1304" s="9"/>
      <c r="S1304" s="9"/>
      <c r="T1304" s="9"/>
      <c r="U1304" s="9"/>
      <c r="V1304" s="9"/>
      <c r="W1304" s="9"/>
      <c r="X1304" s="9"/>
      <c r="Y1304" s="9"/>
      <c r="Z1304" s="9"/>
      <c r="AA1304" s="9"/>
      <c r="AB1304" s="9"/>
      <c r="AC1304" s="9"/>
      <c r="AD1304" s="9"/>
      <c r="AE1304" s="9"/>
      <c r="AF1304" s="9"/>
      <c r="AG1304" s="9"/>
      <c r="AH1304" s="9"/>
      <c r="AI1304" s="9"/>
      <c r="AJ1304" s="9"/>
      <c r="AK1304" s="9"/>
      <c r="AL1304" s="9"/>
    </row>
    <row r="1305" spans="1:38">
      <c r="A1305" s="9"/>
      <c r="B1305" s="9"/>
      <c r="C1305" s="9"/>
      <c r="D1305" s="9"/>
      <c r="E1305" s="9"/>
      <c r="F1305" s="9"/>
      <c r="G1305" s="9"/>
      <c r="H1305" s="9"/>
      <c r="I1305" s="9"/>
      <c r="J1305" s="9"/>
      <c r="K1305" s="9"/>
      <c r="L1305" s="9"/>
      <c r="M1305" s="9"/>
      <c r="N1305" s="9"/>
      <c r="O1305" s="9"/>
      <c r="P1305" s="9"/>
      <c r="Q1305" s="9"/>
      <c r="R1305" s="9"/>
      <c r="S1305" s="9"/>
      <c r="T1305" s="9"/>
      <c r="U1305" s="9"/>
      <c r="V1305" s="9"/>
      <c r="W1305" s="9"/>
      <c r="X1305" s="9"/>
      <c r="Y1305" s="9"/>
      <c r="Z1305" s="9"/>
      <c r="AA1305" s="9"/>
      <c r="AB1305" s="9"/>
      <c r="AC1305" s="9"/>
      <c r="AD1305" s="9"/>
      <c r="AE1305" s="9"/>
      <c r="AF1305" s="9"/>
      <c r="AG1305" s="9"/>
      <c r="AH1305" s="9"/>
      <c r="AI1305" s="9"/>
      <c r="AJ1305" s="9"/>
      <c r="AK1305" s="9"/>
      <c r="AL1305" s="9"/>
    </row>
    <row r="1306" spans="1:38">
      <c r="A1306" s="9"/>
      <c r="B1306" s="9"/>
      <c r="C1306" s="9"/>
      <c r="D1306" s="9"/>
      <c r="E1306" s="9"/>
      <c r="F1306" s="9"/>
      <c r="G1306" s="9"/>
      <c r="H1306" s="9"/>
      <c r="I1306" s="9"/>
      <c r="J1306" s="9"/>
      <c r="K1306" s="9"/>
      <c r="L1306" s="9"/>
      <c r="M1306" s="9"/>
      <c r="N1306" s="9"/>
      <c r="O1306" s="9"/>
      <c r="P1306" s="9"/>
      <c r="Q1306" s="9"/>
      <c r="R1306" s="9"/>
      <c r="S1306" s="9"/>
      <c r="T1306" s="9"/>
      <c r="U1306" s="9"/>
      <c r="V1306" s="9"/>
      <c r="W1306" s="9"/>
      <c r="X1306" s="9"/>
      <c r="Y1306" s="9"/>
      <c r="Z1306" s="9"/>
      <c r="AA1306" s="9"/>
      <c r="AB1306" s="9"/>
      <c r="AC1306" s="9"/>
      <c r="AD1306" s="9"/>
      <c r="AE1306" s="9"/>
      <c r="AF1306" s="9"/>
      <c r="AG1306" s="9"/>
      <c r="AH1306" s="9"/>
      <c r="AI1306" s="9"/>
      <c r="AJ1306" s="9"/>
      <c r="AK1306" s="9"/>
      <c r="AL1306" s="9"/>
    </row>
    <row r="1307" spans="1:38">
      <c r="A1307" s="11"/>
      <c r="B1307" s="11"/>
      <c r="C1307" s="11"/>
      <c r="D1307" s="11"/>
      <c r="E1307" s="11"/>
      <c r="F1307" s="11"/>
      <c r="G1307" s="11"/>
      <c r="H1307" s="11"/>
      <c r="I1307" s="11"/>
      <c r="J1307" s="11"/>
      <c r="K1307" s="11"/>
      <c r="L1307" s="11"/>
      <c r="M1307" s="11"/>
      <c r="N1307" s="11"/>
      <c r="O1307" s="11"/>
      <c r="P1307" s="11"/>
      <c r="Q1307" s="11"/>
      <c r="R1307" s="11"/>
      <c r="S1307" s="11"/>
      <c r="T1307" s="11"/>
      <c r="U1307" s="11"/>
      <c r="V1307" s="11"/>
      <c r="W1307" s="11"/>
      <c r="X1307" s="11"/>
      <c r="Y1307" s="11"/>
      <c r="Z1307" s="11"/>
      <c r="AA1307" s="11"/>
      <c r="AB1307" s="11"/>
      <c r="AC1307" s="11"/>
      <c r="AD1307" s="11"/>
      <c r="AE1307" s="11"/>
      <c r="AF1307" s="11"/>
      <c r="AG1307" s="11"/>
      <c r="AH1307" s="11"/>
      <c r="AI1307" s="11"/>
      <c r="AJ1307" s="11"/>
      <c r="AK1307" s="11"/>
      <c r="AL1307" s="11"/>
    </row>
    <row r="1320" spans="1:38">
      <c r="A1320" s="9"/>
      <c r="B1320" s="9"/>
      <c r="C1320" s="9"/>
      <c r="D1320" s="9"/>
      <c r="E1320" s="9"/>
      <c r="F1320" s="9"/>
      <c r="G1320" s="9"/>
      <c r="H1320" s="9"/>
      <c r="I1320" s="9"/>
      <c r="J1320" s="9"/>
      <c r="K1320" s="9"/>
      <c r="L1320" s="9"/>
      <c r="M1320" s="9"/>
      <c r="N1320" s="9"/>
      <c r="O1320" s="9"/>
      <c r="P1320" s="9"/>
      <c r="Q1320" s="9"/>
      <c r="R1320" s="9"/>
      <c r="S1320" s="9"/>
      <c r="T1320" s="9"/>
      <c r="U1320" s="9"/>
      <c r="V1320" s="9"/>
      <c r="W1320" s="9"/>
      <c r="X1320" s="9"/>
      <c r="Y1320" s="9"/>
      <c r="Z1320" s="9"/>
      <c r="AA1320" s="9"/>
      <c r="AB1320" s="9"/>
      <c r="AC1320" s="9"/>
      <c r="AD1320" s="9"/>
      <c r="AE1320" s="9"/>
      <c r="AF1320" s="9"/>
      <c r="AG1320" s="9"/>
      <c r="AH1320" s="9"/>
      <c r="AI1320" s="9"/>
      <c r="AJ1320" s="9"/>
      <c r="AK1320" s="9"/>
      <c r="AL1320" s="9"/>
    </row>
    <row r="1322" spans="1:38">
      <c r="A1322" s="9"/>
      <c r="B1322" s="9"/>
      <c r="C1322" s="9"/>
      <c r="D1322" s="9"/>
      <c r="E1322" s="9"/>
      <c r="F1322" s="9"/>
      <c r="G1322" s="9"/>
      <c r="H1322" s="9"/>
      <c r="I1322" s="9"/>
      <c r="J1322" s="9"/>
      <c r="K1322" s="9"/>
      <c r="L1322" s="9"/>
      <c r="M1322" s="9"/>
      <c r="N1322" s="9"/>
      <c r="O1322" s="9"/>
      <c r="P1322" s="9"/>
      <c r="Q1322" s="9"/>
      <c r="R1322" s="9"/>
      <c r="S1322" s="9"/>
      <c r="T1322" s="9"/>
      <c r="U1322" s="9"/>
      <c r="V1322" s="9"/>
      <c r="W1322" s="9"/>
      <c r="X1322" s="9"/>
      <c r="Y1322" s="9"/>
      <c r="Z1322" s="9"/>
      <c r="AA1322" s="9"/>
      <c r="AB1322" s="9"/>
      <c r="AC1322" s="9"/>
      <c r="AD1322" s="9"/>
      <c r="AE1322" s="9"/>
      <c r="AF1322" s="9"/>
      <c r="AG1322" s="9"/>
      <c r="AH1322" s="9"/>
      <c r="AI1322" s="9"/>
      <c r="AJ1322" s="9"/>
      <c r="AK1322" s="9"/>
      <c r="AL1322" s="9"/>
    </row>
    <row r="1323" spans="1:38">
      <c r="A1323" s="9"/>
      <c r="B1323" s="9"/>
      <c r="C1323" s="9"/>
      <c r="D1323" s="9"/>
      <c r="E1323" s="9"/>
      <c r="F1323" s="9"/>
      <c r="G1323" s="9"/>
      <c r="H1323" s="9"/>
      <c r="I1323" s="9"/>
      <c r="J1323" s="9"/>
      <c r="K1323" s="9"/>
      <c r="L1323" s="9"/>
      <c r="M1323" s="9"/>
      <c r="N1323" s="9"/>
      <c r="O1323" s="9"/>
      <c r="P1323" s="9"/>
      <c r="Q1323" s="9"/>
      <c r="R1323" s="9"/>
      <c r="S1323" s="9"/>
      <c r="T1323" s="9"/>
      <c r="U1323" s="9"/>
      <c r="V1323" s="9"/>
      <c r="W1323" s="9"/>
      <c r="X1323" s="9"/>
      <c r="Y1323" s="9"/>
      <c r="Z1323" s="9"/>
      <c r="AA1323" s="9"/>
      <c r="AB1323" s="9"/>
      <c r="AC1323" s="9"/>
      <c r="AD1323" s="9"/>
      <c r="AE1323" s="9"/>
      <c r="AF1323" s="9"/>
      <c r="AG1323" s="9"/>
      <c r="AH1323" s="9"/>
      <c r="AI1323" s="9"/>
      <c r="AJ1323" s="9"/>
      <c r="AK1323" s="9"/>
      <c r="AL1323" s="9"/>
    </row>
    <row r="1324" spans="1:38">
      <c r="A1324" s="9"/>
      <c r="B1324" s="9"/>
      <c r="C1324" s="9"/>
      <c r="D1324" s="9"/>
      <c r="E1324" s="9"/>
      <c r="F1324" s="9"/>
      <c r="G1324" s="9"/>
      <c r="H1324" s="9"/>
      <c r="I1324" s="9"/>
      <c r="J1324" s="9"/>
      <c r="K1324" s="9"/>
      <c r="L1324" s="9"/>
      <c r="M1324" s="9"/>
      <c r="N1324" s="9"/>
      <c r="O1324" s="9"/>
      <c r="P1324" s="9"/>
      <c r="Q1324" s="9"/>
      <c r="R1324" s="9"/>
      <c r="S1324" s="9"/>
      <c r="T1324" s="9"/>
      <c r="U1324" s="9"/>
      <c r="V1324" s="9"/>
      <c r="W1324" s="9"/>
      <c r="X1324" s="9"/>
      <c r="Y1324" s="9"/>
      <c r="Z1324" s="9"/>
      <c r="AA1324" s="9"/>
      <c r="AB1324" s="9"/>
      <c r="AC1324" s="9"/>
      <c r="AD1324" s="9"/>
      <c r="AE1324" s="9"/>
      <c r="AF1324" s="9"/>
      <c r="AG1324" s="9"/>
      <c r="AH1324" s="9"/>
      <c r="AI1324" s="9"/>
      <c r="AJ1324" s="9"/>
      <c r="AK1324" s="9"/>
      <c r="AL1324" s="9"/>
    </row>
    <row r="1325" spans="1:38">
      <c r="A1325" s="9"/>
      <c r="B1325" s="9"/>
      <c r="C1325" s="9"/>
      <c r="D1325" s="9"/>
      <c r="E1325" s="9"/>
      <c r="F1325" s="9"/>
      <c r="G1325" s="9"/>
      <c r="H1325" s="9"/>
      <c r="I1325" s="9"/>
      <c r="J1325" s="9"/>
      <c r="K1325" s="9"/>
      <c r="L1325" s="9"/>
      <c r="M1325" s="9"/>
      <c r="N1325" s="9"/>
      <c r="O1325" s="9"/>
      <c r="P1325" s="9"/>
      <c r="Q1325" s="9"/>
      <c r="R1325" s="9"/>
      <c r="S1325" s="9"/>
      <c r="T1325" s="9"/>
      <c r="U1325" s="9"/>
      <c r="V1325" s="9"/>
      <c r="W1325" s="9"/>
      <c r="X1325" s="9"/>
      <c r="Y1325" s="9"/>
      <c r="Z1325" s="9"/>
      <c r="AA1325" s="9"/>
      <c r="AB1325" s="9"/>
      <c r="AC1325" s="9"/>
      <c r="AD1325" s="9"/>
      <c r="AE1325" s="9"/>
      <c r="AF1325" s="9"/>
      <c r="AG1325" s="9"/>
      <c r="AH1325" s="9"/>
      <c r="AI1325" s="9"/>
      <c r="AJ1325" s="9"/>
      <c r="AK1325" s="9"/>
      <c r="AL1325" s="9"/>
    </row>
    <row r="1326" spans="1:38">
      <c r="A1326" s="9"/>
      <c r="B1326" s="9"/>
      <c r="C1326" s="9"/>
      <c r="D1326" s="9"/>
      <c r="E1326" s="9"/>
      <c r="F1326" s="9"/>
      <c r="G1326" s="9"/>
      <c r="H1326" s="9"/>
      <c r="I1326" s="9"/>
      <c r="J1326" s="9"/>
      <c r="K1326" s="9"/>
      <c r="L1326" s="9"/>
      <c r="M1326" s="9"/>
      <c r="N1326" s="9"/>
      <c r="O1326" s="9"/>
      <c r="P1326" s="9"/>
      <c r="Q1326" s="9"/>
      <c r="R1326" s="9"/>
      <c r="S1326" s="9"/>
      <c r="T1326" s="9"/>
      <c r="U1326" s="9"/>
      <c r="V1326" s="9"/>
      <c r="W1326" s="9"/>
      <c r="X1326" s="9"/>
      <c r="Y1326" s="9"/>
      <c r="Z1326" s="9"/>
      <c r="AA1326" s="9"/>
      <c r="AB1326" s="9"/>
      <c r="AC1326" s="9"/>
      <c r="AD1326" s="9"/>
      <c r="AE1326" s="9"/>
      <c r="AF1326" s="9"/>
      <c r="AG1326" s="9"/>
      <c r="AH1326" s="9"/>
      <c r="AI1326" s="9"/>
      <c r="AJ1326" s="9"/>
      <c r="AK1326" s="9"/>
      <c r="AL1326" s="9"/>
    </row>
    <row r="1330" spans="1:38">
      <c r="A1330" s="9"/>
      <c r="B1330" s="9"/>
      <c r="C1330" s="9"/>
      <c r="D1330" s="9"/>
      <c r="E1330" s="9"/>
      <c r="F1330" s="9"/>
      <c r="G1330" s="9"/>
      <c r="H1330" s="9"/>
      <c r="I1330" s="9"/>
      <c r="J1330" s="9"/>
      <c r="K1330" s="9"/>
      <c r="L1330" s="9"/>
      <c r="M1330" s="9"/>
      <c r="N1330" s="9"/>
      <c r="O1330" s="9"/>
      <c r="P1330" s="9"/>
      <c r="Q1330" s="9"/>
      <c r="R1330" s="9"/>
      <c r="S1330" s="9"/>
      <c r="T1330" s="9"/>
      <c r="U1330" s="9"/>
      <c r="V1330" s="9"/>
      <c r="W1330" s="9"/>
      <c r="X1330" s="9"/>
      <c r="Y1330" s="9"/>
      <c r="Z1330" s="9"/>
      <c r="AA1330" s="9"/>
      <c r="AB1330" s="9"/>
      <c r="AC1330" s="9"/>
      <c r="AD1330" s="9"/>
      <c r="AE1330" s="9"/>
      <c r="AF1330" s="9"/>
      <c r="AG1330" s="9"/>
      <c r="AH1330" s="9"/>
      <c r="AI1330" s="9"/>
      <c r="AJ1330" s="9"/>
      <c r="AK1330" s="9"/>
      <c r="AL1330" s="9"/>
    </row>
    <row r="1334" spans="1:38">
      <c r="A1334" s="14"/>
      <c r="B1334" s="14"/>
      <c r="C1334" s="14"/>
      <c r="D1334" s="14"/>
      <c r="E1334" s="14"/>
      <c r="F1334" s="14"/>
      <c r="G1334" s="14"/>
      <c r="H1334" s="14"/>
      <c r="I1334" s="14"/>
      <c r="J1334" s="14"/>
      <c r="K1334" s="14"/>
      <c r="L1334" s="14"/>
      <c r="M1334" s="14"/>
      <c r="N1334" s="14"/>
      <c r="O1334" s="14"/>
      <c r="P1334" s="14"/>
      <c r="Q1334" s="14"/>
      <c r="R1334" s="14"/>
      <c r="S1334" s="14"/>
      <c r="T1334" s="14"/>
      <c r="U1334" s="14"/>
      <c r="V1334" s="14"/>
      <c r="W1334" s="14"/>
      <c r="X1334" s="14"/>
      <c r="Y1334" s="14"/>
      <c r="Z1334" s="14"/>
      <c r="AA1334" s="14"/>
      <c r="AB1334" s="14"/>
      <c r="AC1334" s="14"/>
      <c r="AD1334" s="14"/>
      <c r="AE1334" s="14"/>
      <c r="AF1334" s="14"/>
      <c r="AG1334" s="14"/>
      <c r="AH1334" s="14"/>
      <c r="AI1334" s="14"/>
      <c r="AJ1334" s="14"/>
      <c r="AK1334" s="14"/>
      <c r="AL1334" s="14"/>
    </row>
    <row r="1335" spans="1:38">
      <c r="A1335" s="9"/>
      <c r="B1335" s="9"/>
      <c r="C1335" s="9"/>
      <c r="D1335" s="9"/>
      <c r="E1335" s="9"/>
      <c r="F1335" s="9"/>
      <c r="G1335" s="9"/>
      <c r="H1335" s="9"/>
      <c r="I1335" s="9"/>
      <c r="J1335" s="9"/>
      <c r="K1335" s="9"/>
      <c r="L1335" s="9"/>
      <c r="M1335" s="9"/>
      <c r="N1335" s="9"/>
      <c r="O1335" s="9"/>
      <c r="P1335" s="9"/>
      <c r="Q1335" s="9"/>
      <c r="R1335" s="9"/>
      <c r="S1335" s="9"/>
      <c r="T1335" s="9"/>
      <c r="U1335" s="9"/>
      <c r="V1335" s="9"/>
      <c r="W1335" s="9"/>
      <c r="X1335" s="9"/>
      <c r="Y1335" s="9"/>
      <c r="Z1335" s="9"/>
      <c r="AA1335" s="9"/>
      <c r="AB1335" s="9"/>
      <c r="AC1335" s="9"/>
      <c r="AD1335" s="9"/>
      <c r="AE1335" s="9"/>
      <c r="AF1335" s="9"/>
      <c r="AG1335" s="9"/>
      <c r="AH1335" s="9"/>
      <c r="AI1335" s="9"/>
      <c r="AJ1335" s="9"/>
      <c r="AK1335" s="9"/>
      <c r="AL1335" s="9"/>
    </row>
    <row r="1336" spans="1:38">
      <c r="A1336" s="10"/>
      <c r="B1336" s="10"/>
      <c r="C1336" s="10"/>
      <c r="D1336" s="10"/>
      <c r="E1336" s="10"/>
      <c r="F1336" s="10"/>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0"/>
      <c r="AH1336" s="10"/>
      <c r="AI1336" s="10"/>
      <c r="AJ1336" s="10"/>
      <c r="AK1336" s="10"/>
      <c r="AL1336" s="10"/>
    </row>
    <row r="1337" spans="1:38">
      <c r="A1337" s="10"/>
      <c r="B1337" s="10"/>
      <c r="C1337" s="10"/>
      <c r="D1337" s="10"/>
      <c r="E1337" s="10"/>
      <c r="F1337" s="10"/>
      <c r="G1337" s="10"/>
      <c r="H1337" s="10"/>
      <c r="I1337" s="10"/>
      <c r="J1337" s="10"/>
      <c r="K1337" s="10"/>
      <c r="L1337" s="10"/>
      <c r="M1337" s="10"/>
      <c r="N1337" s="10"/>
      <c r="O1337" s="10"/>
      <c r="P1337" s="10"/>
      <c r="Q1337" s="10"/>
      <c r="R1337" s="10"/>
      <c r="S1337" s="10"/>
      <c r="T1337" s="10"/>
      <c r="U1337" s="10"/>
      <c r="V1337" s="10"/>
      <c r="W1337" s="10"/>
      <c r="X1337" s="10"/>
      <c r="Y1337" s="10"/>
      <c r="Z1337" s="10"/>
      <c r="AA1337" s="10"/>
      <c r="AB1337" s="10"/>
      <c r="AC1337" s="10"/>
      <c r="AD1337" s="10"/>
      <c r="AE1337" s="10"/>
      <c r="AF1337" s="10"/>
      <c r="AG1337" s="10"/>
      <c r="AH1337" s="10"/>
      <c r="AI1337" s="10"/>
      <c r="AJ1337" s="10"/>
      <c r="AK1337" s="10"/>
      <c r="AL1337" s="10"/>
    </row>
    <row r="1338" spans="1:38">
      <c r="A1338" s="10"/>
      <c r="B1338" s="10"/>
      <c r="C1338" s="10"/>
      <c r="D1338" s="10"/>
      <c r="E1338" s="10"/>
      <c r="F1338" s="10"/>
      <c r="G1338" s="10"/>
      <c r="H1338" s="10"/>
      <c r="I1338" s="10"/>
      <c r="J1338" s="10"/>
      <c r="K1338" s="10"/>
      <c r="L1338" s="10"/>
      <c r="M1338" s="10"/>
      <c r="N1338" s="10"/>
      <c r="O1338" s="10"/>
      <c r="P1338" s="10"/>
      <c r="Q1338" s="10"/>
      <c r="R1338" s="10"/>
      <c r="S1338" s="10"/>
      <c r="T1338" s="10"/>
      <c r="U1338" s="10"/>
      <c r="V1338" s="10"/>
      <c r="W1338" s="10"/>
      <c r="X1338" s="10"/>
      <c r="Y1338" s="10"/>
      <c r="Z1338" s="10"/>
      <c r="AA1338" s="10"/>
      <c r="AB1338" s="10"/>
      <c r="AC1338" s="10"/>
      <c r="AD1338" s="10"/>
      <c r="AE1338" s="10"/>
      <c r="AF1338" s="10"/>
      <c r="AG1338" s="10"/>
      <c r="AH1338" s="10"/>
      <c r="AI1338" s="10"/>
      <c r="AJ1338" s="10"/>
      <c r="AK1338" s="10"/>
      <c r="AL1338" s="10"/>
    </row>
    <row r="1339" spans="1:38">
      <c r="A1339" s="10"/>
      <c r="B1339" s="10"/>
      <c r="C1339" s="10"/>
      <c r="D1339" s="10"/>
      <c r="E1339" s="10"/>
      <c r="F1339" s="10"/>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0"/>
      <c r="AH1339" s="10"/>
      <c r="AI1339" s="10"/>
      <c r="AJ1339" s="10"/>
      <c r="AK1339" s="10"/>
      <c r="AL1339" s="10"/>
    </row>
    <row r="1340" spans="1:38">
      <c r="A1340" s="10"/>
      <c r="B1340" s="10"/>
      <c r="C1340" s="10"/>
      <c r="D1340" s="10"/>
      <c r="E1340" s="10"/>
      <c r="F1340" s="10"/>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0"/>
      <c r="AH1340" s="10"/>
      <c r="AI1340" s="10"/>
      <c r="AJ1340" s="10"/>
      <c r="AK1340" s="10"/>
      <c r="AL1340" s="10"/>
    </row>
    <row r="1341" spans="1:38">
      <c r="A1341" s="10"/>
      <c r="B1341" s="10"/>
      <c r="C1341" s="10"/>
      <c r="D1341" s="10"/>
      <c r="E1341" s="10"/>
      <c r="F1341" s="10"/>
      <c r="G1341" s="10"/>
      <c r="H1341" s="10"/>
      <c r="I1341" s="10"/>
      <c r="J1341" s="10"/>
      <c r="K1341" s="10"/>
      <c r="L1341" s="10"/>
      <c r="M1341" s="10"/>
      <c r="N1341" s="10"/>
      <c r="O1341" s="10"/>
      <c r="P1341" s="10"/>
      <c r="Q1341" s="10"/>
      <c r="R1341" s="10"/>
      <c r="S1341" s="10"/>
      <c r="T1341" s="10"/>
      <c r="U1341" s="10"/>
      <c r="V1341" s="10"/>
      <c r="W1341" s="10"/>
      <c r="X1341" s="10"/>
      <c r="Y1341" s="10"/>
      <c r="Z1341" s="10"/>
      <c r="AA1341" s="10"/>
      <c r="AB1341" s="10"/>
      <c r="AC1341" s="10"/>
      <c r="AD1341" s="10"/>
      <c r="AE1341" s="10"/>
      <c r="AF1341" s="10"/>
      <c r="AG1341" s="10"/>
      <c r="AH1341" s="10"/>
      <c r="AI1341" s="10"/>
      <c r="AJ1341" s="10"/>
      <c r="AK1341" s="10"/>
      <c r="AL1341" s="10"/>
    </row>
    <row r="1342" spans="1:38">
      <c r="A1342" s="10"/>
      <c r="B1342" s="10"/>
      <c r="C1342" s="10"/>
      <c r="D1342" s="10"/>
      <c r="E1342" s="10"/>
      <c r="F1342" s="10"/>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0"/>
      <c r="AH1342" s="10"/>
      <c r="AI1342" s="10"/>
      <c r="AJ1342" s="10"/>
      <c r="AK1342" s="10"/>
      <c r="AL1342" s="10"/>
    </row>
    <row r="1343" spans="1:38">
      <c r="A1343" s="10"/>
      <c r="B1343" s="10"/>
      <c r="C1343" s="10"/>
      <c r="D1343" s="10"/>
      <c r="E1343" s="10"/>
      <c r="F1343" s="10"/>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0"/>
      <c r="AH1343" s="10"/>
      <c r="AI1343" s="10"/>
      <c r="AJ1343" s="10"/>
      <c r="AK1343" s="10"/>
      <c r="AL1343" s="10"/>
    </row>
    <row r="1344" spans="1:38">
      <c r="A1344" s="10"/>
      <c r="B1344" s="10"/>
      <c r="C1344" s="10"/>
      <c r="D1344" s="10"/>
      <c r="E1344" s="10"/>
      <c r="F1344" s="10"/>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0"/>
      <c r="AH1344" s="10"/>
      <c r="AI1344" s="10"/>
      <c r="AJ1344" s="10"/>
      <c r="AK1344" s="10"/>
      <c r="AL1344" s="10"/>
    </row>
    <row r="1345" spans="1:38">
      <c r="A1345" s="10"/>
      <c r="B1345" s="10"/>
      <c r="C1345" s="10"/>
      <c r="D1345" s="10"/>
      <c r="E1345" s="10"/>
      <c r="F1345" s="10"/>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0"/>
      <c r="AH1345" s="10"/>
      <c r="AI1345" s="10"/>
      <c r="AJ1345" s="10"/>
      <c r="AK1345" s="10"/>
      <c r="AL1345" s="10"/>
    </row>
    <row r="1346" spans="1:38">
      <c r="A1346" s="9"/>
      <c r="B1346" s="9"/>
      <c r="C1346" s="9"/>
      <c r="D1346" s="9"/>
      <c r="E1346" s="9"/>
      <c r="F1346" s="9"/>
      <c r="G1346" s="9"/>
      <c r="H1346" s="9"/>
      <c r="I1346" s="9"/>
      <c r="J1346" s="9"/>
      <c r="K1346" s="9"/>
      <c r="L1346" s="9"/>
      <c r="M1346" s="9"/>
      <c r="N1346" s="9"/>
      <c r="O1346" s="9"/>
      <c r="P1346" s="9"/>
      <c r="Q1346" s="9"/>
      <c r="R1346" s="9"/>
      <c r="S1346" s="9"/>
      <c r="T1346" s="9"/>
      <c r="U1346" s="9"/>
      <c r="V1346" s="9"/>
      <c r="W1346" s="9"/>
      <c r="X1346" s="9"/>
      <c r="Y1346" s="9"/>
      <c r="Z1346" s="9"/>
      <c r="AA1346" s="9"/>
      <c r="AB1346" s="9"/>
      <c r="AC1346" s="9"/>
      <c r="AD1346" s="9"/>
      <c r="AE1346" s="9"/>
      <c r="AF1346" s="9"/>
      <c r="AG1346" s="9"/>
      <c r="AH1346" s="9"/>
      <c r="AI1346" s="9"/>
      <c r="AJ1346" s="9"/>
      <c r="AK1346" s="9"/>
      <c r="AL1346" s="9"/>
    </row>
    <row r="1347" spans="1:38">
      <c r="A1347" s="9"/>
      <c r="B1347" s="9"/>
      <c r="C1347" s="9"/>
      <c r="D1347" s="9"/>
      <c r="E1347" s="9"/>
      <c r="F1347" s="9"/>
      <c r="G1347" s="9"/>
      <c r="H1347" s="9"/>
      <c r="I1347" s="9"/>
      <c r="J1347" s="9"/>
      <c r="K1347" s="9"/>
      <c r="L1347" s="9"/>
      <c r="M1347" s="9"/>
      <c r="N1347" s="9"/>
      <c r="O1347" s="9"/>
      <c r="P1347" s="9"/>
      <c r="Q1347" s="9"/>
      <c r="R1347" s="9"/>
      <c r="S1347" s="9"/>
      <c r="T1347" s="9"/>
      <c r="U1347" s="9"/>
      <c r="V1347" s="9"/>
      <c r="W1347" s="9"/>
      <c r="X1347" s="9"/>
      <c r="Y1347" s="9"/>
      <c r="Z1347" s="9"/>
      <c r="AA1347" s="9"/>
      <c r="AB1347" s="9"/>
      <c r="AC1347" s="9"/>
      <c r="AD1347" s="9"/>
      <c r="AE1347" s="9"/>
      <c r="AF1347" s="9"/>
      <c r="AG1347" s="9"/>
      <c r="AH1347" s="9"/>
      <c r="AI1347" s="9"/>
      <c r="AJ1347" s="9"/>
      <c r="AK1347" s="9"/>
      <c r="AL1347" s="9"/>
    </row>
    <row r="1348" spans="1:38">
      <c r="A1348" s="9"/>
      <c r="B1348" s="9"/>
      <c r="C1348" s="9"/>
      <c r="D1348" s="9"/>
      <c r="E1348" s="9"/>
      <c r="F1348" s="9"/>
      <c r="G1348" s="9"/>
      <c r="H1348" s="9"/>
      <c r="I1348" s="9"/>
      <c r="J1348" s="9"/>
      <c r="K1348" s="9"/>
      <c r="L1348" s="9"/>
      <c r="M1348" s="9"/>
      <c r="N1348" s="9"/>
      <c r="O1348" s="9"/>
      <c r="P1348" s="9"/>
      <c r="Q1348" s="9"/>
      <c r="R1348" s="9"/>
      <c r="S1348" s="9"/>
      <c r="T1348" s="9"/>
      <c r="U1348" s="9"/>
      <c r="V1348" s="9"/>
      <c r="W1348" s="9"/>
      <c r="X1348" s="9"/>
      <c r="Y1348" s="9"/>
      <c r="Z1348" s="9"/>
      <c r="AA1348" s="9"/>
      <c r="AB1348" s="9"/>
      <c r="AC1348" s="9"/>
      <c r="AD1348" s="9"/>
      <c r="AE1348" s="9"/>
      <c r="AF1348" s="9"/>
      <c r="AG1348" s="9"/>
      <c r="AH1348" s="9"/>
      <c r="AI1348" s="9"/>
      <c r="AJ1348" s="9"/>
      <c r="AK1348" s="9"/>
      <c r="AL1348" s="9"/>
    </row>
    <row r="1349" spans="1:38">
      <c r="A1349" s="9"/>
      <c r="B1349" s="9"/>
      <c r="C1349" s="9"/>
      <c r="D1349" s="9"/>
      <c r="E1349" s="9"/>
      <c r="F1349" s="9"/>
      <c r="G1349" s="9"/>
      <c r="H1349" s="9"/>
      <c r="I1349" s="9"/>
      <c r="J1349" s="9"/>
      <c r="K1349" s="9"/>
      <c r="L1349" s="9"/>
      <c r="M1349" s="9"/>
      <c r="N1349" s="9"/>
      <c r="O1349" s="9"/>
      <c r="P1349" s="9"/>
      <c r="Q1349" s="9"/>
      <c r="R1349" s="9"/>
      <c r="S1349" s="9"/>
      <c r="T1349" s="9"/>
      <c r="U1349" s="9"/>
      <c r="V1349" s="9"/>
      <c r="W1349" s="9"/>
      <c r="X1349" s="9"/>
      <c r="Y1349" s="9"/>
      <c r="Z1349" s="9"/>
      <c r="AA1349" s="9"/>
      <c r="AB1349" s="9"/>
      <c r="AC1349" s="9"/>
      <c r="AD1349" s="9"/>
      <c r="AE1349" s="9"/>
      <c r="AF1349" s="9"/>
      <c r="AG1349" s="9"/>
      <c r="AH1349" s="9"/>
      <c r="AI1349" s="9"/>
      <c r="AJ1349" s="9"/>
      <c r="AK1349" s="9"/>
      <c r="AL1349" s="9"/>
    </row>
    <row r="1350" spans="1:38">
      <c r="A1350" s="9"/>
      <c r="B1350" s="9"/>
      <c r="C1350" s="9"/>
      <c r="D1350" s="9"/>
      <c r="E1350" s="9"/>
      <c r="F1350" s="9"/>
      <c r="G1350" s="9"/>
      <c r="H1350" s="9"/>
      <c r="I1350" s="9"/>
      <c r="J1350" s="9"/>
      <c r="K1350" s="9"/>
      <c r="L1350" s="9"/>
      <c r="M1350" s="9"/>
      <c r="N1350" s="9"/>
      <c r="O1350" s="9"/>
      <c r="P1350" s="9"/>
      <c r="Q1350" s="9"/>
      <c r="R1350" s="9"/>
      <c r="S1350" s="9"/>
      <c r="T1350" s="9"/>
      <c r="U1350" s="9"/>
      <c r="V1350" s="9"/>
      <c r="W1350" s="9"/>
      <c r="X1350" s="9"/>
      <c r="Y1350" s="9"/>
      <c r="Z1350" s="9"/>
      <c r="AA1350" s="9"/>
      <c r="AB1350" s="9"/>
      <c r="AC1350" s="9"/>
      <c r="AD1350" s="9"/>
      <c r="AE1350" s="9"/>
      <c r="AF1350" s="9"/>
      <c r="AG1350" s="9"/>
      <c r="AH1350" s="9"/>
      <c r="AI1350" s="9"/>
      <c r="AJ1350" s="9"/>
      <c r="AK1350" s="9"/>
      <c r="AL1350" s="9"/>
    </row>
    <row r="1351" spans="1:38">
      <c r="A1351" s="9"/>
      <c r="B1351" s="9"/>
      <c r="C1351" s="9"/>
      <c r="D1351" s="9"/>
      <c r="E1351" s="9"/>
      <c r="F1351" s="9"/>
      <c r="G1351" s="9"/>
      <c r="H1351" s="9"/>
      <c r="I1351" s="9"/>
      <c r="J1351" s="9"/>
      <c r="K1351" s="9"/>
      <c r="L1351" s="9"/>
      <c r="M1351" s="9"/>
      <c r="N1351" s="9"/>
      <c r="O1351" s="9"/>
      <c r="P1351" s="9"/>
      <c r="Q1351" s="9"/>
      <c r="R1351" s="9"/>
      <c r="S1351" s="9"/>
      <c r="T1351" s="9"/>
      <c r="U1351" s="9"/>
      <c r="V1351" s="9"/>
      <c r="W1351" s="9"/>
      <c r="X1351" s="9"/>
      <c r="Y1351" s="9"/>
      <c r="Z1351" s="9"/>
      <c r="AA1351" s="9"/>
      <c r="AB1351" s="9"/>
      <c r="AC1351" s="9"/>
      <c r="AD1351" s="9"/>
      <c r="AE1351" s="9"/>
      <c r="AF1351" s="9"/>
      <c r="AG1351" s="9"/>
      <c r="AH1351" s="9"/>
      <c r="AI1351" s="9"/>
      <c r="AJ1351" s="9"/>
      <c r="AK1351" s="9"/>
      <c r="AL1351" s="9"/>
    </row>
    <row r="1352" spans="1:38">
      <c r="A1352" s="9"/>
      <c r="B1352" s="9"/>
      <c r="C1352" s="9"/>
      <c r="D1352" s="9"/>
      <c r="E1352" s="9"/>
      <c r="F1352" s="9"/>
      <c r="G1352" s="9"/>
      <c r="H1352" s="9"/>
      <c r="I1352" s="9"/>
      <c r="J1352" s="9"/>
      <c r="K1352" s="9"/>
      <c r="L1352" s="9"/>
      <c r="M1352" s="9"/>
      <c r="N1352" s="9"/>
      <c r="O1352" s="9"/>
      <c r="P1352" s="9"/>
      <c r="Q1352" s="9"/>
      <c r="R1352" s="9"/>
      <c r="S1352" s="9"/>
      <c r="T1352" s="9"/>
      <c r="U1352" s="9"/>
      <c r="V1352" s="9"/>
      <c r="W1352" s="9"/>
      <c r="X1352" s="9"/>
      <c r="Y1352" s="9"/>
      <c r="Z1352" s="9"/>
      <c r="AA1352" s="9"/>
      <c r="AB1352" s="9"/>
      <c r="AC1352" s="9"/>
      <c r="AD1352" s="9"/>
      <c r="AE1352" s="9"/>
      <c r="AF1352" s="9"/>
      <c r="AG1352" s="9"/>
      <c r="AH1352" s="9"/>
      <c r="AI1352" s="9"/>
      <c r="AJ1352" s="9"/>
      <c r="AK1352" s="9"/>
      <c r="AL1352" s="9"/>
    </row>
    <row r="1353" spans="1:38">
      <c r="A1353" s="9"/>
      <c r="B1353" s="9"/>
      <c r="C1353" s="9"/>
      <c r="D1353" s="9"/>
      <c r="E1353" s="9"/>
      <c r="F1353" s="9"/>
      <c r="G1353" s="9"/>
      <c r="H1353" s="9"/>
      <c r="I1353" s="9"/>
      <c r="J1353" s="9"/>
      <c r="K1353" s="9"/>
      <c r="L1353" s="9"/>
      <c r="M1353" s="9"/>
      <c r="N1353" s="9"/>
      <c r="O1353" s="9"/>
      <c r="P1353" s="9"/>
      <c r="Q1353" s="9"/>
      <c r="R1353" s="9"/>
      <c r="S1353" s="9"/>
      <c r="T1353" s="9"/>
      <c r="U1353" s="9"/>
      <c r="V1353" s="9"/>
      <c r="W1353" s="9"/>
      <c r="X1353" s="9"/>
      <c r="Y1353" s="9"/>
      <c r="Z1353" s="9"/>
      <c r="AA1353" s="9"/>
      <c r="AB1353" s="9"/>
      <c r="AC1353" s="9"/>
      <c r="AD1353" s="9"/>
      <c r="AE1353" s="9"/>
      <c r="AF1353" s="9"/>
      <c r="AG1353" s="9"/>
      <c r="AH1353" s="9"/>
      <c r="AI1353" s="9"/>
      <c r="AJ1353" s="9"/>
      <c r="AK1353" s="9"/>
      <c r="AL1353" s="9"/>
    </row>
    <row r="1354" spans="1:38">
      <c r="A1354" s="9"/>
      <c r="B1354" s="9"/>
      <c r="C1354" s="9"/>
      <c r="D1354" s="9"/>
      <c r="E1354" s="9"/>
      <c r="F1354" s="9"/>
      <c r="G1354" s="9"/>
      <c r="H1354" s="9"/>
      <c r="I1354" s="9"/>
      <c r="J1354" s="9"/>
      <c r="K1354" s="9"/>
      <c r="L1354" s="9"/>
      <c r="M1354" s="9"/>
      <c r="N1354" s="9"/>
      <c r="O1354" s="9"/>
      <c r="P1354" s="9"/>
      <c r="Q1354" s="9"/>
      <c r="R1354" s="9"/>
      <c r="S1354" s="9"/>
      <c r="T1354" s="9"/>
      <c r="U1354" s="9"/>
      <c r="V1354" s="9"/>
      <c r="W1354" s="9"/>
      <c r="X1354" s="9"/>
      <c r="Y1354" s="9"/>
      <c r="Z1354" s="9"/>
      <c r="AA1354" s="9"/>
      <c r="AB1354" s="9"/>
      <c r="AC1354" s="9"/>
      <c r="AD1354" s="9"/>
      <c r="AE1354" s="9"/>
      <c r="AF1354" s="9"/>
      <c r="AG1354" s="9"/>
      <c r="AH1354" s="9"/>
      <c r="AI1354" s="9"/>
      <c r="AJ1354" s="9"/>
      <c r="AK1354" s="9"/>
      <c r="AL1354" s="9"/>
    </row>
    <row r="1355" spans="1:38">
      <c r="A1355" s="9"/>
      <c r="B1355" s="9"/>
      <c r="C1355" s="9"/>
      <c r="D1355" s="9"/>
      <c r="E1355" s="9"/>
      <c r="F1355" s="9"/>
      <c r="G1355" s="9"/>
      <c r="H1355" s="9"/>
      <c r="I1355" s="9"/>
      <c r="J1355" s="9"/>
      <c r="K1355" s="9"/>
      <c r="L1355" s="9"/>
      <c r="M1355" s="9"/>
      <c r="N1355" s="9"/>
      <c r="O1355" s="9"/>
      <c r="P1355" s="9"/>
      <c r="Q1355" s="9"/>
      <c r="R1355" s="9"/>
      <c r="S1355" s="9"/>
      <c r="T1355" s="9"/>
      <c r="U1355" s="9"/>
      <c r="V1355" s="9"/>
      <c r="W1355" s="9"/>
      <c r="X1355" s="9"/>
      <c r="Y1355" s="9"/>
      <c r="Z1355" s="9"/>
      <c r="AA1355" s="9"/>
      <c r="AB1355" s="9"/>
      <c r="AC1355" s="9"/>
      <c r="AD1355" s="9"/>
      <c r="AE1355" s="9"/>
      <c r="AF1355" s="9"/>
      <c r="AG1355" s="9"/>
      <c r="AH1355" s="9"/>
      <c r="AI1355" s="9"/>
      <c r="AJ1355" s="9"/>
      <c r="AK1355" s="9"/>
      <c r="AL1355" s="9"/>
    </row>
    <row r="1356" spans="1:38">
      <c r="A1356" s="9"/>
      <c r="B1356" s="9"/>
      <c r="C1356" s="9"/>
      <c r="D1356" s="9"/>
      <c r="E1356" s="9"/>
      <c r="F1356" s="9"/>
      <c r="G1356" s="9"/>
      <c r="H1356" s="9"/>
      <c r="I1356" s="9"/>
      <c r="J1356" s="9"/>
      <c r="K1356" s="9"/>
      <c r="L1356" s="9"/>
      <c r="M1356" s="9"/>
      <c r="N1356" s="9"/>
      <c r="O1356" s="9"/>
      <c r="P1356" s="9"/>
      <c r="Q1356" s="9"/>
      <c r="R1356" s="9"/>
      <c r="S1356" s="9"/>
      <c r="T1356" s="9"/>
      <c r="U1356" s="9"/>
      <c r="V1356" s="9"/>
      <c r="W1356" s="9"/>
      <c r="X1356" s="9"/>
      <c r="Y1356" s="9"/>
      <c r="Z1356" s="9"/>
      <c r="AA1356" s="9"/>
      <c r="AB1356" s="9"/>
      <c r="AC1356" s="9"/>
      <c r="AD1356" s="9"/>
      <c r="AE1356" s="9"/>
      <c r="AF1356" s="9"/>
      <c r="AG1356" s="9"/>
      <c r="AH1356" s="9"/>
      <c r="AI1356" s="9"/>
      <c r="AJ1356" s="9"/>
      <c r="AK1356" s="9"/>
      <c r="AL1356" s="9"/>
    </row>
    <row r="1357" spans="1:38">
      <c r="A1357" s="9"/>
      <c r="B1357" s="9"/>
      <c r="C1357" s="9"/>
      <c r="D1357" s="9"/>
      <c r="E1357" s="9"/>
      <c r="F1357" s="9"/>
      <c r="G1357" s="9"/>
      <c r="H1357" s="9"/>
      <c r="I1357" s="9"/>
      <c r="J1357" s="9"/>
      <c r="K1357" s="9"/>
      <c r="L1357" s="9"/>
      <c r="M1357" s="9"/>
      <c r="N1357" s="9"/>
      <c r="O1357" s="9"/>
      <c r="P1357" s="9"/>
      <c r="Q1357" s="9"/>
      <c r="R1357" s="9"/>
      <c r="S1357" s="9"/>
      <c r="T1357" s="9"/>
      <c r="U1357" s="9"/>
      <c r="V1357" s="9"/>
      <c r="W1357" s="9"/>
      <c r="X1357" s="9"/>
      <c r="Y1357" s="9"/>
      <c r="Z1357" s="9"/>
      <c r="AA1357" s="9"/>
      <c r="AB1357" s="9"/>
      <c r="AC1357" s="9"/>
      <c r="AD1357" s="9"/>
      <c r="AE1357" s="9"/>
      <c r="AF1357" s="9"/>
      <c r="AG1357" s="9"/>
      <c r="AH1357" s="9"/>
      <c r="AI1357" s="9"/>
      <c r="AJ1357" s="9"/>
      <c r="AK1357" s="9"/>
      <c r="AL1357" s="9"/>
    </row>
    <row r="1358" spans="1:38">
      <c r="A1358" s="9"/>
      <c r="B1358" s="9"/>
      <c r="C1358" s="9"/>
      <c r="D1358" s="9"/>
      <c r="E1358" s="9"/>
      <c r="F1358" s="9"/>
      <c r="G1358" s="9"/>
      <c r="H1358" s="9"/>
      <c r="I1358" s="9"/>
      <c r="J1358" s="9"/>
      <c r="K1358" s="9"/>
      <c r="L1358" s="9"/>
      <c r="M1358" s="9"/>
      <c r="N1358" s="9"/>
      <c r="O1358" s="9"/>
      <c r="P1358" s="9"/>
      <c r="Q1358" s="9"/>
      <c r="R1358" s="9"/>
      <c r="S1358" s="9"/>
      <c r="T1358" s="9"/>
      <c r="U1358" s="9"/>
      <c r="V1358" s="9"/>
      <c r="W1358" s="9"/>
      <c r="X1358" s="9"/>
      <c r="Y1358" s="9"/>
      <c r="Z1358" s="9"/>
      <c r="AA1358" s="9"/>
      <c r="AB1358" s="9"/>
      <c r="AC1358" s="9"/>
      <c r="AD1358" s="9"/>
      <c r="AE1358" s="9"/>
      <c r="AF1358" s="9"/>
      <c r="AG1358" s="9"/>
      <c r="AH1358" s="9"/>
      <c r="AI1358" s="9"/>
      <c r="AJ1358" s="9"/>
      <c r="AK1358" s="9"/>
      <c r="AL1358" s="9"/>
    </row>
    <row r="1359" spans="1:38">
      <c r="A1359" s="9"/>
      <c r="B1359" s="9"/>
      <c r="C1359" s="9"/>
      <c r="D1359" s="9"/>
      <c r="E1359" s="9"/>
      <c r="F1359" s="9"/>
      <c r="G1359" s="9"/>
      <c r="H1359" s="9"/>
      <c r="I1359" s="9"/>
      <c r="J1359" s="9"/>
      <c r="K1359" s="9"/>
      <c r="L1359" s="9"/>
      <c r="M1359" s="9"/>
      <c r="N1359" s="9"/>
      <c r="O1359" s="9"/>
      <c r="P1359" s="9"/>
      <c r="Q1359" s="9"/>
      <c r="R1359" s="9"/>
      <c r="S1359" s="9"/>
      <c r="T1359" s="9"/>
      <c r="U1359" s="9"/>
      <c r="V1359" s="9"/>
      <c r="W1359" s="9"/>
      <c r="X1359" s="9"/>
      <c r="Y1359" s="9"/>
      <c r="Z1359" s="9"/>
      <c r="AA1359" s="9"/>
      <c r="AB1359" s="9"/>
      <c r="AC1359" s="9"/>
      <c r="AD1359" s="9"/>
      <c r="AE1359" s="9"/>
      <c r="AF1359" s="9"/>
      <c r="AG1359" s="9"/>
      <c r="AH1359" s="9"/>
      <c r="AI1359" s="9"/>
      <c r="AJ1359" s="9"/>
      <c r="AK1359" s="9"/>
      <c r="AL1359" s="9"/>
    </row>
    <row r="1360" spans="1:38">
      <c r="A1360" s="9"/>
      <c r="B1360" s="9"/>
      <c r="C1360" s="9"/>
      <c r="D1360" s="9"/>
      <c r="E1360" s="9"/>
      <c r="F1360" s="9"/>
      <c r="G1360" s="9"/>
      <c r="H1360" s="9"/>
      <c r="I1360" s="9"/>
      <c r="J1360" s="9"/>
      <c r="K1360" s="9"/>
      <c r="L1360" s="9"/>
      <c r="M1360" s="9"/>
      <c r="N1360" s="9"/>
      <c r="O1360" s="9"/>
      <c r="P1360" s="9"/>
      <c r="Q1360" s="9"/>
      <c r="R1360" s="9"/>
      <c r="S1360" s="9"/>
      <c r="T1360" s="9"/>
      <c r="U1360" s="9"/>
      <c r="V1360" s="9"/>
      <c r="W1360" s="9"/>
      <c r="X1360" s="9"/>
      <c r="Y1360" s="9"/>
      <c r="Z1360" s="9"/>
      <c r="AA1360" s="9"/>
      <c r="AB1360" s="9"/>
      <c r="AC1360" s="9"/>
      <c r="AD1360" s="9"/>
      <c r="AE1360" s="9"/>
      <c r="AF1360" s="9"/>
      <c r="AG1360" s="9"/>
      <c r="AH1360" s="9"/>
      <c r="AI1360" s="9"/>
      <c r="AJ1360" s="9"/>
      <c r="AK1360" s="9"/>
      <c r="AL1360" s="9"/>
    </row>
    <row r="1361" spans="1:38">
      <c r="A1361" s="9"/>
      <c r="B1361" s="9"/>
      <c r="C1361" s="9"/>
      <c r="D1361" s="9"/>
      <c r="E1361" s="9"/>
      <c r="F1361" s="9"/>
      <c r="G1361" s="9"/>
      <c r="H1361" s="9"/>
      <c r="I1361" s="9"/>
      <c r="J1361" s="9"/>
      <c r="K1361" s="9"/>
      <c r="L1361" s="9"/>
      <c r="M1361" s="9"/>
      <c r="N1361" s="9"/>
      <c r="O1361" s="9"/>
      <c r="P1361" s="9"/>
      <c r="Q1361" s="9"/>
      <c r="R1361" s="9"/>
      <c r="S1361" s="9"/>
      <c r="T1361" s="9"/>
      <c r="U1361" s="9"/>
      <c r="V1361" s="9"/>
      <c r="W1361" s="9"/>
      <c r="X1361" s="9"/>
      <c r="Y1361" s="9"/>
      <c r="Z1361" s="9"/>
      <c r="AA1361" s="9"/>
      <c r="AB1361" s="9"/>
      <c r="AC1361" s="9"/>
      <c r="AD1361" s="9"/>
      <c r="AE1361" s="9"/>
      <c r="AF1361" s="9"/>
      <c r="AG1361" s="9"/>
      <c r="AH1361" s="9"/>
      <c r="AI1361" s="9"/>
      <c r="AJ1361" s="9"/>
      <c r="AK1361" s="9"/>
      <c r="AL1361" s="9"/>
    </row>
    <row r="1362" spans="1:38">
      <c r="A1362" s="9"/>
      <c r="B1362" s="9"/>
      <c r="C1362" s="9"/>
      <c r="D1362" s="9"/>
      <c r="E1362" s="9"/>
      <c r="F1362" s="9"/>
      <c r="G1362" s="9"/>
      <c r="H1362" s="9"/>
      <c r="I1362" s="9"/>
      <c r="J1362" s="9"/>
      <c r="K1362" s="9"/>
      <c r="L1362" s="9"/>
      <c r="M1362" s="9"/>
      <c r="N1362" s="9"/>
      <c r="O1362" s="9"/>
      <c r="P1362" s="9"/>
      <c r="Q1362" s="9"/>
      <c r="R1362" s="9"/>
      <c r="S1362" s="9"/>
      <c r="T1362" s="9"/>
      <c r="U1362" s="9"/>
      <c r="V1362" s="9"/>
      <c r="W1362" s="9"/>
      <c r="X1362" s="9"/>
      <c r="Y1362" s="9"/>
      <c r="Z1362" s="9"/>
      <c r="AA1362" s="9"/>
      <c r="AB1362" s="9"/>
      <c r="AC1362" s="9"/>
      <c r="AD1362" s="9"/>
      <c r="AE1362" s="9"/>
      <c r="AF1362" s="9"/>
      <c r="AG1362" s="9"/>
      <c r="AH1362" s="9"/>
      <c r="AI1362" s="9"/>
      <c r="AJ1362" s="9"/>
      <c r="AK1362" s="9"/>
      <c r="AL1362" s="9"/>
    </row>
    <row r="1363" spans="1:38">
      <c r="A1363" s="9"/>
      <c r="B1363" s="9"/>
      <c r="C1363" s="9"/>
      <c r="D1363" s="9"/>
      <c r="E1363" s="9"/>
      <c r="F1363" s="9"/>
      <c r="G1363" s="9"/>
      <c r="H1363" s="9"/>
      <c r="I1363" s="9"/>
      <c r="J1363" s="9"/>
      <c r="K1363" s="9"/>
      <c r="L1363" s="9"/>
      <c r="M1363" s="9"/>
      <c r="N1363" s="9"/>
      <c r="O1363" s="9"/>
      <c r="P1363" s="9"/>
      <c r="Q1363" s="9"/>
      <c r="R1363" s="9"/>
      <c r="S1363" s="9"/>
      <c r="T1363" s="9"/>
      <c r="U1363" s="9"/>
      <c r="V1363" s="9"/>
      <c r="W1363" s="9"/>
      <c r="X1363" s="9"/>
      <c r="Y1363" s="9"/>
      <c r="Z1363" s="9"/>
      <c r="AA1363" s="9"/>
      <c r="AB1363" s="9"/>
      <c r="AC1363" s="9"/>
      <c r="AD1363" s="9"/>
      <c r="AE1363" s="9"/>
      <c r="AF1363" s="9"/>
      <c r="AG1363" s="9"/>
      <c r="AH1363" s="9"/>
      <c r="AI1363" s="9"/>
      <c r="AJ1363" s="9"/>
      <c r="AK1363" s="9"/>
      <c r="AL1363" s="9"/>
    </row>
    <row r="1364" spans="1:38">
      <c r="A1364" s="9"/>
      <c r="B1364" s="9"/>
      <c r="C1364" s="9"/>
      <c r="D1364" s="9"/>
      <c r="E1364" s="9"/>
      <c r="F1364" s="9"/>
      <c r="G1364" s="9"/>
      <c r="H1364" s="9"/>
      <c r="I1364" s="9"/>
      <c r="J1364" s="9"/>
      <c r="K1364" s="9"/>
      <c r="L1364" s="9"/>
      <c r="M1364" s="9"/>
      <c r="N1364" s="9"/>
      <c r="O1364" s="9"/>
      <c r="P1364" s="9"/>
      <c r="Q1364" s="9"/>
      <c r="R1364" s="9"/>
      <c r="S1364" s="9"/>
      <c r="T1364" s="9"/>
      <c r="U1364" s="9"/>
      <c r="V1364" s="9"/>
      <c r="W1364" s="9"/>
      <c r="X1364" s="9"/>
      <c r="Y1364" s="9"/>
      <c r="Z1364" s="9"/>
      <c r="AA1364" s="9"/>
      <c r="AB1364" s="9"/>
      <c r="AC1364" s="9"/>
      <c r="AD1364" s="9"/>
      <c r="AE1364" s="9"/>
      <c r="AF1364" s="9"/>
      <c r="AG1364" s="9"/>
      <c r="AH1364" s="9"/>
      <c r="AI1364" s="9"/>
      <c r="AJ1364" s="9"/>
      <c r="AK1364" s="9"/>
      <c r="AL1364" s="9"/>
    </row>
    <row r="1365" spans="1:38">
      <c r="A1365" s="9"/>
      <c r="B1365" s="9"/>
      <c r="C1365" s="9"/>
      <c r="D1365" s="9"/>
      <c r="E1365" s="9"/>
      <c r="F1365" s="9"/>
      <c r="G1365" s="9"/>
      <c r="H1365" s="9"/>
      <c r="I1365" s="9"/>
      <c r="J1365" s="9"/>
      <c r="K1365" s="9"/>
      <c r="L1365" s="9"/>
      <c r="M1365" s="9"/>
      <c r="N1365" s="9"/>
      <c r="O1365" s="9"/>
      <c r="P1365" s="9"/>
      <c r="Q1365" s="9"/>
      <c r="R1365" s="9"/>
      <c r="S1365" s="9"/>
      <c r="T1365" s="9"/>
      <c r="U1365" s="9"/>
      <c r="V1365" s="9"/>
      <c r="W1365" s="9"/>
      <c r="X1365" s="9"/>
      <c r="Y1365" s="9"/>
      <c r="Z1365" s="9"/>
      <c r="AA1365" s="9"/>
      <c r="AB1365" s="9"/>
      <c r="AC1365" s="9"/>
      <c r="AD1365" s="9"/>
      <c r="AE1365" s="9"/>
      <c r="AF1365" s="9"/>
      <c r="AG1365" s="9"/>
      <c r="AH1365" s="9"/>
      <c r="AI1365" s="9"/>
      <c r="AJ1365" s="9"/>
      <c r="AK1365" s="9"/>
      <c r="AL1365" s="9"/>
    </row>
    <row r="1366" spans="1:38">
      <c r="A1366" s="9"/>
      <c r="B1366" s="9"/>
      <c r="C1366" s="9"/>
      <c r="D1366" s="9"/>
      <c r="E1366" s="9"/>
      <c r="F1366" s="9"/>
      <c r="G1366" s="9"/>
      <c r="H1366" s="9"/>
      <c r="I1366" s="9"/>
      <c r="J1366" s="9"/>
      <c r="K1366" s="9"/>
      <c r="L1366" s="9"/>
      <c r="M1366" s="9"/>
      <c r="N1366" s="9"/>
      <c r="O1366" s="9"/>
      <c r="P1366" s="9"/>
      <c r="Q1366" s="9"/>
      <c r="R1366" s="9"/>
      <c r="S1366" s="9"/>
      <c r="T1366" s="9"/>
      <c r="U1366" s="9"/>
      <c r="V1366" s="9"/>
      <c r="W1366" s="9"/>
      <c r="X1366" s="9"/>
      <c r="Y1366" s="9"/>
      <c r="Z1366" s="9"/>
      <c r="AA1366" s="9"/>
      <c r="AB1366" s="9"/>
      <c r="AC1366" s="9"/>
      <c r="AD1366" s="9"/>
      <c r="AE1366" s="9"/>
      <c r="AF1366" s="9"/>
      <c r="AG1366" s="9"/>
      <c r="AH1366" s="9"/>
      <c r="AI1366" s="9"/>
      <c r="AJ1366" s="9"/>
      <c r="AK1366" s="9"/>
      <c r="AL1366" s="9"/>
    </row>
    <row r="1367" spans="1:38">
      <c r="A1367" s="9"/>
      <c r="B1367" s="9"/>
      <c r="C1367" s="9"/>
      <c r="D1367" s="9"/>
      <c r="E1367" s="9"/>
      <c r="F1367" s="9"/>
      <c r="G1367" s="9"/>
      <c r="H1367" s="9"/>
      <c r="I1367" s="9"/>
      <c r="J1367" s="9"/>
      <c r="K1367" s="9"/>
      <c r="L1367" s="9"/>
      <c r="M1367" s="9"/>
      <c r="N1367" s="9"/>
      <c r="O1367" s="9"/>
      <c r="P1367" s="9"/>
      <c r="Q1367" s="9"/>
      <c r="R1367" s="9"/>
      <c r="S1367" s="9"/>
      <c r="T1367" s="9"/>
      <c r="U1367" s="9"/>
      <c r="V1367" s="9"/>
      <c r="W1367" s="9"/>
      <c r="X1367" s="9"/>
      <c r="Y1367" s="9"/>
      <c r="Z1367" s="9"/>
      <c r="AA1367" s="9"/>
      <c r="AB1367" s="9"/>
      <c r="AC1367" s="9"/>
      <c r="AD1367" s="9"/>
      <c r="AE1367" s="9"/>
      <c r="AF1367" s="9"/>
      <c r="AG1367" s="9"/>
      <c r="AH1367" s="9"/>
      <c r="AI1367" s="9"/>
      <c r="AJ1367" s="9"/>
      <c r="AK1367" s="9"/>
      <c r="AL1367" s="9"/>
    </row>
    <row r="1368" spans="1:38">
      <c r="A1368" s="9"/>
      <c r="B1368" s="9"/>
      <c r="C1368" s="9"/>
      <c r="D1368" s="9"/>
      <c r="E1368" s="9"/>
      <c r="F1368" s="9"/>
      <c r="G1368" s="9"/>
      <c r="H1368" s="9"/>
      <c r="I1368" s="9"/>
      <c r="J1368" s="9"/>
      <c r="K1368" s="9"/>
      <c r="L1368" s="9"/>
      <c r="M1368" s="9"/>
      <c r="N1368" s="9"/>
      <c r="O1368" s="9"/>
      <c r="P1368" s="9"/>
      <c r="Q1368" s="9"/>
      <c r="R1368" s="9"/>
      <c r="S1368" s="9"/>
      <c r="T1368" s="9"/>
      <c r="U1368" s="9"/>
      <c r="V1368" s="9"/>
      <c r="W1368" s="9"/>
      <c r="X1368" s="9"/>
      <c r="Y1368" s="9"/>
      <c r="Z1368" s="9"/>
      <c r="AA1368" s="9"/>
      <c r="AB1368" s="9"/>
      <c r="AC1368" s="9"/>
      <c r="AD1368" s="9"/>
      <c r="AE1368" s="9"/>
      <c r="AF1368" s="9"/>
      <c r="AG1368" s="9"/>
      <c r="AH1368" s="9"/>
      <c r="AI1368" s="9"/>
      <c r="AJ1368" s="9"/>
      <c r="AK1368" s="9"/>
      <c r="AL1368" s="9"/>
    </row>
    <row r="1369" spans="1:38">
      <c r="A1369" s="9"/>
      <c r="B1369" s="9"/>
      <c r="C1369" s="9"/>
      <c r="D1369" s="9"/>
      <c r="E1369" s="9"/>
      <c r="F1369" s="9"/>
      <c r="G1369" s="9"/>
      <c r="H1369" s="9"/>
      <c r="I1369" s="9"/>
      <c r="J1369" s="9"/>
      <c r="K1369" s="9"/>
      <c r="L1369" s="9"/>
      <c r="M1369" s="9"/>
      <c r="N1369" s="9"/>
      <c r="O1369" s="9"/>
      <c r="P1369" s="9"/>
      <c r="Q1369" s="9"/>
      <c r="R1369" s="9"/>
      <c r="S1369" s="9"/>
      <c r="T1369" s="9"/>
      <c r="U1369" s="9"/>
      <c r="V1369" s="9"/>
      <c r="W1369" s="9"/>
      <c r="X1369" s="9"/>
      <c r="Y1369" s="9"/>
      <c r="Z1369" s="9"/>
      <c r="AA1369" s="9"/>
      <c r="AB1369" s="9"/>
      <c r="AC1369" s="9"/>
      <c r="AD1369" s="9"/>
      <c r="AE1369" s="9"/>
      <c r="AF1369" s="9"/>
      <c r="AG1369" s="9"/>
      <c r="AH1369" s="9"/>
      <c r="AI1369" s="9"/>
      <c r="AJ1369" s="9"/>
      <c r="AK1369" s="9"/>
      <c r="AL1369" s="9"/>
    </row>
    <row r="1370" spans="1:38">
      <c r="A1370" s="9"/>
      <c r="B1370" s="9"/>
      <c r="C1370" s="9"/>
      <c r="D1370" s="9"/>
      <c r="E1370" s="9"/>
      <c r="F1370" s="9"/>
      <c r="G1370" s="9"/>
      <c r="H1370" s="9"/>
      <c r="I1370" s="9"/>
      <c r="J1370" s="9"/>
      <c r="K1370" s="9"/>
      <c r="L1370" s="9"/>
      <c r="M1370" s="9"/>
      <c r="N1370" s="9"/>
      <c r="O1370" s="9"/>
      <c r="P1370" s="9"/>
      <c r="Q1370" s="9"/>
      <c r="R1370" s="9"/>
      <c r="S1370" s="9"/>
      <c r="T1370" s="9"/>
      <c r="U1370" s="9"/>
      <c r="V1370" s="9"/>
      <c r="W1370" s="9"/>
      <c r="X1370" s="9"/>
      <c r="Y1370" s="9"/>
      <c r="Z1370" s="9"/>
      <c r="AA1370" s="9"/>
      <c r="AB1370" s="9"/>
      <c r="AC1370" s="9"/>
      <c r="AD1370" s="9"/>
      <c r="AE1370" s="9"/>
      <c r="AF1370" s="9"/>
      <c r="AG1370" s="9"/>
      <c r="AH1370" s="9"/>
      <c r="AI1370" s="9"/>
      <c r="AJ1370" s="9"/>
      <c r="AK1370" s="9"/>
      <c r="AL1370" s="9"/>
    </row>
    <row r="1371" spans="1:38">
      <c r="A1371" s="9"/>
      <c r="B1371" s="9"/>
      <c r="C1371" s="9"/>
      <c r="D1371" s="9"/>
      <c r="E1371" s="9"/>
      <c r="F1371" s="9"/>
      <c r="G1371" s="9"/>
      <c r="H1371" s="9"/>
      <c r="I1371" s="9"/>
      <c r="J1371" s="9"/>
      <c r="K1371" s="9"/>
      <c r="L1371" s="9"/>
      <c r="M1371" s="9"/>
      <c r="N1371" s="9"/>
      <c r="O1371" s="9"/>
      <c r="P1371" s="9"/>
      <c r="Q1371" s="9"/>
      <c r="R1371" s="9"/>
      <c r="S1371" s="9"/>
      <c r="T1371" s="9"/>
      <c r="U1371" s="9"/>
      <c r="V1371" s="9"/>
      <c r="W1371" s="9"/>
      <c r="X1371" s="9"/>
      <c r="Y1371" s="9"/>
      <c r="Z1371" s="9"/>
      <c r="AA1371" s="9"/>
      <c r="AB1371" s="9"/>
      <c r="AC1371" s="9"/>
      <c r="AD1371" s="9"/>
      <c r="AE1371" s="9"/>
      <c r="AF1371" s="9"/>
      <c r="AG1371" s="9"/>
      <c r="AH1371" s="9"/>
      <c r="AI1371" s="9"/>
      <c r="AJ1371" s="9"/>
      <c r="AK1371" s="9"/>
      <c r="AL1371" s="9"/>
    </row>
    <row r="1372" spans="1:38">
      <c r="A1372" s="9"/>
      <c r="B1372" s="9"/>
      <c r="C1372" s="9"/>
      <c r="D1372" s="9"/>
      <c r="E1372" s="9"/>
      <c r="F1372" s="9"/>
      <c r="G1372" s="9"/>
      <c r="H1372" s="9"/>
      <c r="I1372" s="9"/>
      <c r="J1372" s="9"/>
      <c r="K1372" s="9"/>
      <c r="L1372" s="9"/>
      <c r="M1372" s="9"/>
      <c r="N1372" s="9"/>
      <c r="O1372" s="9"/>
      <c r="P1372" s="9"/>
      <c r="Q1372" s="9"/>
      <c r="R1372" s="9"/>
      <c r="S1372" s="9"/>
      <c r="T1372" s="9"/>
      <c r="U1372" s="9"/>
      <c r="V1372" s="9"/>
      <c r="W1372" s="9"/>
      <c r="X1372" s="9"/>
      <c r="Y1372" s="9"/>
      <c r="Z1372" s="9"/>
      <c r="AA1372" s="9"/>
      <c r="AB1372" s="9"/>
      <c r="AC1372" s="9"/>
      <c r="AD1372" s="9"/>
      <c r="AE1372" s="9"/>
      <c r="AF1372" s="9"/>
      <c r="AG1372" s="9"/>
      <c r="AH1372" s="9"/>
      <c r="AI1372" s="9"/>
      <c r="AJ1372" s="9"/>
      <c r="AK1372" s="9"/>
      <c r="AL1372" s="9"/>
    </row>
    <row r="1373" spans="1:38">
      <c r="A1373" s="9"/>
      <c r="B1373" s="9"/>
      <c r="C1373" s="9"/>
      <c r="D1373" s="9"/>
      <c r="E1373" s="9"/>
      <c r="F1373" s="9"/>
      <c r="G1373" s="9"/>
      <c r="H1373" s="9"/>
      <c r="I1373" s="9"/>
      <c r="J1373" s="9"/>
      <c r="K1373" s="9"/>
      <c r="L1373" s="9"/>
      <c r="M1373" s="9"/>
      <c r="N1373" s="9"/>
      <c r="O1373" s="9"/>
      <c r="P1373" s="9"/>
      <c r="Q1373" s="9"/>
      <c r="R1373" s="9"/>
      <c r="S1373" s="9"/>
      <c r="T1373" s="9"/>
      <c r="U1373" s="9"/>
      <c r="V1373" s="9"/>
      <c r="W1373" s="9"/>
      <c r="X1373" s="9"/>
      <c r="Y1373" s="9"/>
      <c r="Z1373" s="9"/>
      <c r="AA1373" s="9"/>
      <c r="AB1373" s="9"/>
      <c r="AC1373" s="9"/>
      <c r="AD1373" s="9"/>
      <c r="AE1373" s="9"/>
      <c r="AF1373" s="9"/>
      <c r="AG1373" s="9"/>
      <c r="AH1373" s="9"/>
      <c r="AI1373" s="9"/>
      <c r="AJ1373" s="9"/>
      <c r="AK1373" s="9"/>
      <c r="AL1373" s="9"/>
    </row>
    <row r="1374" spans="1:38">
      <c r="A1374" s="9"/>
      <c r="B1374" s="9"/>
      <c r="C1374" s="9"/>
      <c r="D1374" s="9"/>
      <c r="E1374" s="9"/>
      <c r="F1374" s="9"/>
      <c r="G1374" s="9"/>
      <c r="H1374" s="9"/>
      <c r="I1374" s="9"/>
      <c r="J1374" s="9"/>
      <c r="K1374" s="9"/>
      <c r="L1374" s="9"/>
      <c r="M1374" s="9"/>
      <c r="N1374" s="9"/>
      <c r="O1374" s="9"/>
      <c r="P1374" s="9"/>
      <c r="Q1374" s="9"/>
      <c r="R1374" s="9"/>
      <c r="S1374" s="9"/>
      <c r="T1374" s="9"/>
      <c r="U1374" s="9"/>
      <c r="V1374" s="9"/>
      <c r="W1374" s="9"/>
      <c r="X1374" s="9"/>
      <c r="Y1374" s="9"/>
      <c r="Z1374" s="9"/>
      <c r="AA1374" s="9"/>
      <c r="AB1374" s="9"/>
      <c r="AC1374" s="9"/>
      <c r="AD1374" s="9"/>
      <c r="AE1374" s="9"/>
      <c r="AF1374" s="9"/>
      <c r="AG1374" s="9"/>
      <c r="AH1374" s="9"/>
      <c r="AI1374" s="9"/>
      <c r="AJ1374" s="9"/>
      <c r="AK1374" s="9"/>
      <c r="AL1374" s="9"/>
    </row>
    <row r="1375" spans="1:38">
      <c r="A1375" s="9"/>
      <c r="B1375" s="9"/>
      <c r="C1375" s="9"/>
      <c r="D1375" s="9"/>
      <c r="E1375" s="9"/>
      <c r="F1375" s="9"/>
      <c r="G1375" s="9"/>
      <c r="H1375" s="9"/>
      <c r="I1375" s="9"/>
      <c r="J1375" s="9"/>
      <c r="K1375" s="9"/>
      <c r="L1375" s="9"/>
      <c r="M1375" s="9"/>
      <c r="N1375" s="9"/>
      <c r="O1375" s="9"/>
      <c r="P1375" s="9"/>
      <c r="Q1375" s="9"/>
      <c r="R1375" s="9"/>
      <c r="S1375" s="9"/>
      <c r="T1375" s="9"/>
      <c r="U1375" s="9"/>
      <c r="V1375" s="9"/>
      <c r="W1375" s="9"/>
      <c r="X1375" s="9"/>
      <c r="Y1375" s="9"/>
      <c r="Z1375" s="9"/>
      <c r="AA1375" s="9"/>
      <c r="AB1375" s="9"/>
      <c r="AC1375" s="9"/>
      <c r="AD1375" s="9"/>
      <c r="AE1375" s="9"/>
      <c r="AF1375" s="9"/>
      <c r="AG1375" s="9"/>
      <c r="AH1375" s="9"/>
      <c r="AI1375" s="9"/>
      <c r="AJ1375" s="9"/>
      <c r="AK1375" s="9"/>
      <c r="AL1375" s="9"/>
    </row>
    <row r="1377" spans="1:38">
      <c r="A1377" s="9"/>
      <c r="B1377" s="9"/>
      <c r="C1377" s="9"/>
      <c r="D1377" s="9"/>
      <c r="E1377" s="9"/>
      <c r="F1377" s="9"/>
      <c r="G1377" s="9"/>
      <c r="H1377" s="9"/>
      <c r="I1377" s="9"/>
      <c r="J1377" s="9"/>
      <c r="K1377" s="9"/>
      <c r="L1377" s="9"/>
      <c r="M1377" s="9"/>
      <c r="N1377" s="9"/>
      <c r="O1377" s="9"/>
      <c r="P1377" s="9"/>
      <c r="Q1377" s="9"/>
      <c r="R1377" s="9"/>
      <c r="S1377" s="9"/>
      <c r="T1377" s="9"/>
      <c r="U1377" s="9"/>
      <c r="V1377" s="9"/>
      <c r="W1377" s="9"/>
      <c r="X1377" s="9"/>
      <c r="Y1377" s="9"/>
      <c r="Z1377" s="9"/>
      <c r="AA1377" s="9"/>
      <c r="AB1377" s="9"/>
      <c r="AC1377" s="9"/>
      <c r="AD1377" s="9"/>
      <c r="AE1377" s="9"/>
      <c r="AF1377" s="9"/>
      <c r="AG1377" s="9"/>
      <c r="AH1377" s="9"/>
      <c r="AI1377" s="9"/>
      <c r="AJ1377" s="9"/>
      <c r="AK1377" s="9"/>
      <c r="AL1377" s="9"/>
    </row>
    <row r="1378" spans="1:38">
      <c r="A1378" s="9"/>
      <c r="B1378" s="9"/>
      <c r="C1378" s="9"/>
      <c r="D1378" s="9"/>
      <c r="E1378" s="9"/>
      <c r="F1378" s="9"/>
      <c r="G1378" s="9"/>
      <c r="H1378" s="9"/>
      <c r="I1378" s="9"/>
      <c r="J1378" s="9"/>
      <c r="K1378" s="9"/>
      <c r="L1378" s="9"/>
      <c r="M1378" s="9"/>
      <c r="N1378" s="9"/>
      <c r="O1378" s="9"/>
      <c r="P1378" s="9"/>
      <c r="Q1378" s="9"/>
      <c r="R1378" s="9"/>
      <c r="S1378" s="9"/>
      <c r="T1378" s="9"/>
      <c r="U1378" s="9"/>
      <c r="V1378" s="9"/>
      <c r="W1378" s="9"/>
      <c r="X1378" s="9"/>
      <c r="Y1378" s="9"/>
      <c r="Z1378" s="9"/>
      <c r="AA1378" s="9"/>
      <c r="AB1378" s="9"/>
      <c r="AC1378" s="9"/>
      <c r="AD1378" s="9"/>
      <c r="AE1378" s="9"/>
      <c r="AF1378" s="9"/>
      <c r="AG1378" s="9"/>
      <c r="AH1378" s="9"/>
      <c r="AI1378" s="9"/>
      <c r="AJ1378" s="9"/>
      <c r="AK1378" s="9"/>
      <c r="AL1378" s="9"/>
    </row>
    <row r="1379" spans="1:38">
      <c r="A1379" s="9"/>
      <c r="B1379" s="9"/>
      <c r="C1379" s="9"/>
      <c r="D1379" s="9"/>
      <c r="E1379" s="9"/>
      <c r="F1379" s="9"/>
      <c r="G1379" s="9"/>
      <c r="H1379" s="9"/>
      <c r="I1379" s="9"/>
      <c r="J1379" s="9"/>
      <c r="K1379" s="9"/>
      <c r="L1379" s="9"/>
      <c r="M1379" s="9"/>
      <c r="N1379" s="9"/>
      <c r="O1379" s="9"/>
      <c r="P1379" s="9"/>
      <c r="Q1379" s="9"/>
      <c r="R1379" s="9"/>
      <c r="S1379" s="9"/>
      <c r="T1379" s="9"/>
      <c r="U1379" s="9"/>
      <c r="V1379" s="9"/>
      <c r="W1379" s="9"/>
      <c r="X1379" s="9"/>
      <c r="Y1379" s="9"/>
      <c r="Z1379" s="9"/>
      <c r="AA1379" s="9"/>
      <c r="AB1379" s="9"/>
      <c r="AC1379" s="9"/>
      <c r="AD1379" s="9"/>
      <c r="AE1379" s="9"/>
      <c r="AF1379" s="9"/>
      <c r="AG1379" s="9"/>
      <c r="AH1379" s="9"/>
      <c r="AI1379" s="9"/>
      <c r="AJ1379" s="9"/>
      <c r="AK1379" s="9"/>
      <c r="AL1379" s="9"/>
    </row>
    <row r="1380" spans="1:38">
      <c r="A1380" s="9"/>
      <c r="B1380" s="9"/>
      <c r="C1380" s="9"/>
      <c r="D1380" s="9"/>
      <c r="E1380" s="9"/>
      <c r="F1380" s="9"/>
      <c r="G1380" s="9"/>
      <c r="H1380" s="9"/>
      <c r="I1380" s="9"/>
      <c r="J1380" s="9"/>
      <c r="K1380" s="9"/>
      <c r="L1380" s="9"/>
      <c r="M1380" s="9"/>
      <c r="N1380" s="9"/>
      <c r="O1380" s="9"/>
      <c r="P1380" s="9"/>
      <c r="Q1380" s="9"/>
      <c r="R1380" s="9"/>
      <c r="S1380" s="9"/>
      <c r="T1380" s="9"/>
      <c r="U1380" s="9"/>
      <c r="V1380" s="9"/>
      <c r="W1380" s="9"/>
      <c r="X1380" s="9"/>
      <c r="Y1380" s="9"/>
      <c r="Z1380" s="9"/>
      <c r="AA1380" s="9"/>
      <c r="AB1380" s="9"/>
      <c r="AC1380" s="9"/>
      <c r="AD1380" s="9"/>
      <c r="AE1380" s="9"/>
      <c r="AF1380" s="9"/>
      <c r="AG1380" s="9"/>
      <c r="AH1380" s="9"/>
      <c r="AI1380" s="9"/>
      <c r="AJ1380" s="9"/>
      <c r="AK1380" s="9"/>
      <c r="AL1380" s="9"/>
    </row>
    <row r="1381" spans="1:38">
      <c r="A1381" s="9"/>
      <c r="B1381" s="9"/>
      <c r="C1381" s="9"/>
      <c r="D1381" s="9"/>
      <c r="E1381" s="9"/>
      <c r="F1381" s="9"/>
      <c r="G1381" s="9"/>
      <c r="H1381" s="9"/>
      <c r="I1381" s="9"/>
      <c r="J1381" s="9"/>
      <c r="K1381" s="9"/>
      <c r="L1381" s="9"/>
      <c r="M1381" s="9"/>
      <c r="N1381" s="9"/>
      <c r="O1381" s="9"/>
      <c r="P1381" s="9"/>
      <c r="Q1381" s="9"/>
      <c r="R1381" s="9"/>
      <c r="S1381" s="9"/>
      <c r="T1381" s="9"/>
      <c r="U1381" s="9"/>
      <c r="V1381" s="9"/>
      <c r="W1381" s="9"/>
      <c r="X1381" s="9"/>
      <c r="Y1381" s="9"/>
      <c r="Z1381" s="9"/>
      <c r="AA1381" s="9"/>
      <c r="AB1381" s="9"/>
      <c r="AC1381" s="9"/>
      <c r="AD1381" s="9"/>
      <c r="AE1381" s="9"/>
      <c r="AF1381" s="9"/>
      <c r="AG1381" s="9"/>
      <c r="AH1381" s="9"/>
      <c r="AI1381" s="9"/>
      <c r="AJ1381" s="9"/>
      <c r="AK1381" s="9"/>
      <c r="AL1381" s="9"/>
    </row>
    <row r="1382" spans="1:38">
      <c r="A1382" s="9"/>
      <c r="B1382" s="9"/>
      <c r="C1382" s="9"/>
      <c r="D1382" s="9"/>
      <c r="E1382" s="9"/>
      <c r="F1382" s="9"/>
      <c r="G1382" s="9"/>
      <c r="H1382" s="9"/>
      <c r="I1382" s="9"/>
      <c r="J1382" s="9"/>
      <c r="K1382" s="9"/>
      <c r="L1382" s="9"/>
      <c r="M1382" s="9"/>
      <c r="N1382" s="9"/>
      <c r="O1382" s="9"/>
      <c r="P1382" s="9"/>
      <c r="Q1382" s="9"/>
      <c r="R1382" s="9"/>
      <c r="S1382" s="9"/>
      <c r="T1382" s="9"/>
      <c r="U1382" s="9"/>
      <c r="V1382" s="9"/>
      <c r="W1382" s="9"/>
      <c r="X1382" s="9"/>
      <c r="Y1382" s="9"/>
      <c r="Z1382" s="9"/>
      <c r="AA1382" s="9"/>
      <c r="AB1382" s="9"/>
      <c r="AC1382" s="9"/>
      <c r="AD1382" s="9"/>
      <c r="AE1382" s="9"/>
      <c r="AF1382" s="9"/>
      <c r="AG1382" s="9"/>
      <c r="AH1382" s="9"/>
      <c r="AI1382" s="9"/>
      <c r="AJ1382" s="9"/>
      <c r="AK1382" s="9"/>
      <c r="AL1382" s="9"/>
    </row>
    <row r="1383" spans="1:38">
      <c r="A1383" s="9"/>
      <c r="B1383" s="9"/>
      <c r="C1383" s="9"/>
      <c r="D1383" s="9"/>
      <c r="E1383" s="9"/>
      <c r="F1383" s="9"/>
      <c r="G1383" s="9"/>
      <c r="H1383" s="9"/>
      <c r="I1383" s="9"/>
      <c r="J1383" s="9"/>
      <c r="K1383" s="9"/>
      <c r="L1383" s="9"/>
      <c r="M1383" s="9"/>
      <c r="N1383" s="9"/>
      <c r="O1383" s="9"/>
      <c r="P1383" s="9"/>
      <c r="Q1383" s="9"/>
      <c r="R1383" s="9"/>
      <c r="S1383" s="9"/>
      <c r="T1383" s="9"/>
      <c r="U1383" s="9"/>
      <c r="V1383" s="9"/>
      <c r="W1383" s="9"/>
      <c r="X1383" s="9"/>
      <c r="Y1383" s="9"/>
      <c r="Z1383" s="9"/>
      <c r="AA1383" s="9"/>
      <c r="AB1383" s="9"/>
      <c r="AC1383" s="9"/>
      <c r="AD1383" s="9"/>
      <c r="AE1383" s="9"/>
      <c r="AF1383" s="9"/>
      <c r="AG1383" s="9"/>
      <c r="AH1383" s="9"/>
      <c r="AI1383" s="9"/>
      <c r="AJ1383" s="9"/>
      <c r="AK1383" s="9"/>
      <c r="AL1383" s="9"/>
    </row>
    <row r="1384" spans="1:38">
      <c r="A1384" s="9"/>
      <c r="B1384" s="9"/>
      <c r="C1384" s="9"/>
      <c r="D1384" s="9"/>
      <c r="E1384" s="9"/>
      <c r="F1384" s="9"/>
      <c r="G1384" s="9"/>
      <c r="H1384" s="9"/>
      <c r="I1384" s="9"/>
      <c r="J1384" s="9"/>
      <c r="K1384" s="9"/>
      <c r="L1384" s="9"/>
      <c r="M1384" s="9"/>
      <c r="N1384" s="9"/>
      <c r="O1384" s="9"/>
      <c r="P1384" s="9"/>
      <c r="Q1384" s="9"/>
      <c r="R1384" s="9"/>
      <c r="S1384" s="9"/>
      <c r="T1384" s="9"/>
      <c r="U1384" s="9"/>
      <c r="V1384" s="9"/>
      <c r="W1384" s="9"/>
      <c r="X1384" s="9"/>
      <c r="Y1384" s="9"/>
      <c r="Z1384" s="9"/>
      <c r="AA1384" s="9"/>
      <c r="AB1384" s="9"/>
      <c r="AC1384" s="9"/>
      <c r="AD1384" s="9"/>
      <c r="AE1384" s="9"/>
      <c r="AF1384" s="9"/>
      <c r="AG1384" s="9"/>
      <c r="AH1384" s="9"/>
      <c r="AI1384" s="9"/>
      <c r="AJ1384" s="9"/>
      <c r="AK1384" s="9"/>
      <c r="AL1384" s="9"/>
    </row>
    <row r="1385" spans="1:38">
      <c r="A1385" s="9"/>
      <c r="B1385" s="9"/>
      <c r="C1385" s="9"/>
      <c r="D1385" s="9"/>
      <c r="E1385" s="9"/>
      <c r="F1385" s="9"/>
      <c r="G1385" s="9"/>
      <c r="H1385" s="9"/>
      <c r="I1385" s="9"/>
      <c r="J1385" s="9"/>
      <c r="K1385" s="9"/>
      <c r="L1385" s="9"/>
      <c r="M1385" s="9"/>
      <c r="N1385" s="9"/>
      <c r="O1385" s="9"/>
      <c r="P1385" s="9"/>
      <c r="Q1385" s="9"/>
      <c r="R1385" s="9"/>
      <c r="S1385" s="9"/>
      <c r="T1385" s="9"/>
      <c r="U1385" s="9"/>
      <c r="V1385" s="9"/>
      <c r="W1385" s="9"/>
      <c r="X1385" s="9"/>
      <c r="Y1385" s="9"/>
      <c r="Z1385" s="9"/>
      <c r="AA1385" s="9"/>
      <c r="AB1385" s="9"/>
      <c r="AC1385" s="9"/>
      <c r="AD1385" s="9"/>
      <c r="AE1385" s="9"/>
      <c r="AF1385" s="9"/>
      <c r="AG1385" s="9"/>
      <c r="AH1385" s="9"/>
      <c r="AI1385" s="9"/>
      <c r="AJ1385" s="9"/>
      <c r="AK1385" s="9"/>
      <c r="AL1385" s="9"/>
    </row>
    <row r="1386" spans="1:38">
      <c r="A1386" s="9"/>
      <c r="B1386" s="9"/>
      <c r="C1386" s="9"/>
      <c r="D1386" s="9"/>
      <c r="E1386" s="9"/>
      <c r="F1386" s="9"/>
      <c r="G1386" s="9"/>
      <c r="H1386" s="9"/>
      <c r="I1386" s="9"/>
      <c r="J1386" s="9"/>
      <c r="K1386" s="9"/>
      <c r="L1386" s="9"/>
      <c r="M1386" s="9"/>
      <c r="N1386" s="9"/>
      <c r="O1386" s="9"/>
      <c r="P1386" s="9"/>
      <c r="Q1386" s="9"/>
      <c r="R1386" s="9"/>
      <c r="S1386" s="9"/>
      <c r="T1386" s="9"/>
      <c r="U1386" s="9"/>
      <c r="V1386" s="9"/>
      <c r="W1386" s="9"/>
      <c r="X1386" s="9"/>
      <c r="Y1386" s="9"/>
      <c r="Z1386" s="9"/>
      <c r="AA1386" s="9"/>
      <c r="AB1386" s="9"/>
      <c r="AC1386" s="9"/>
      <c r="AD1386" s="9"/>
      <c r="AE1386" s="9"/>
      <c r="AF1386" s="9"/>
      <c r="AG1386" s="9"/>
      <c r="AH1386" s="9"/>
      <c r="AI1386" s="9"/>
      <c r="AJ1386" s="9"/>
      <c r="AK1386" s="9"/>
      <c r="AL1386" s="9"/>
    </row>
    <row r="1387" spans="1:38">
      <c r="A1387" s="9"/>
      <c r="B1387" s="9"/>
      <c r="C1387" s="9"/>
      <c r="D1387" s="9"/>
      <c r="E1387" s="9"/>
      <c r="F1387" s="9"/>
      <c r="G1387" s="9"/>
      <c r="H1387" s="9"/>
      <c r="I1387" s="9"/>
      <c r="J1387" s="9"/>
      <c r="K1387" s="9"/>
      <c r="L1387" s="9"/>
      <c r="M1387" s="9"/>
      <c r="N1387" s="9"/>
      <c r="O1387" s="9"/>
      <c r="P1387" s="9"/>
      <c r="Q1387" s="9"/>
      <c r="R1387" s="9"/>
      <c r="S1387" s="9"/>
      <c r="T1387" s="9"/>
      <c r="U1387" s="9"/>
      <c r="V1387" s="9"/>
      <c r="W1387" s="9"/>
      <c r="X1387" s="9"/>
      <c r="Y1387" s="9"/>
      <c r="Z1387" s="9"/>
      <c r="AA1387" s="9"/>
      <c r="AB1387" s="9"/>
      <c r="AC1387" s="9"/>
      <c r="AD1387" s="9"/>
      <c r="AE1387" s="9"/>
      <c r="AF1387" s="9"/>
      <c r="AG1387" s="9"/>
      <c r="AH1387" s="9"/>
      <c r="AI1387" s="9"/>
      <c r="AJ1387" s="9"/>
      <c r="AK1387" s="9"/>
      <c r="AL1387" s="9"/>
    </row>
    <row r="1388" spans="1:38">
      <c r="A1388" s="9"/>
      <c r="B1388" s="9"/>
      <c r="C1388" s="9"/>
      <c r="D1388" s="9"/>
      <c r="E1388" s="9"/>
      <c r="F1388" s="9"/>
      <c r="G1388" s="9"/>
      <c r="H1388" s="9"/>
      <c r="I1388" s="9"/>
      <c r="J1388" s="9"/>
      <c r="K1388" s="9"/>
      <c r="L1388" s="9"/>
      <c r="M1388" s="9"/>
      <c r="N1388" s="9"/>
      <c r="O1388" s="9"/>
      <c r="P1388" s="9"/>
      <c r="Q1388" s="9"/>
      <c r="R1388" s="9"/>
      <c r="S1388" s="9"/>
      <c r="T1388" s="9"/>
      <c r="U1388" s="9"/>
      <c r="V1388" s="9"/>
      <c r="W1388" s="9"/>
      <c r="X1388" s="9"/>
      <c r="Y1388" s="9"/>
      <c r="Z1388" s="9"/>
      <c r="AA1388" s="9"/>
      <c r="AB1388" s="9"/>
      <c r="AC1388" s="9"/>
      <c r="AD1388" s="9"/>
      <c r="AE1388" s="9"/>
      <c r="AF1388" s="9"/>
      <c r="AG1388" s="9"/>
      <c r="AH1388" s="9"/>
      <c r="AI1388" s="9"/>
      <c r="AJ1388" s="9"/>
      <c r="AK1388" s="9"/>
      <c r="AL1388" s="9"/>
    </row>
    <row r="1389" spans="1:38">
      <c r="A1389" s="9"/>
      <c r="B1389" s="9"/>
      <c r="C1389" s="9"/>
      <c r="D1389" s="9"/>
      <c r="E1389" s="9"/>
      <c r="F1389" s="9"/>
      <c r="G1389" s="9"/>
      <c r="H1389" s="9"/>
      <c r="I1389" s="9"/>
      <c r="J1389" s="9"/>
      <c r="K1389" s="9"/>
      <c r="L1389" s="9"/>
      <c r="M1389" s="9"/>
      <c r="N1389" s="9"/>
      <c r="O1389" s="9"/>
      <c r="P1389" s="9"/>
      <c r="Q1389" s="9"/>
      <c r="R1389" s="9"/>
      <c r="S1389" s="9"/>
      <c r="T1389" s="9"/>
      <c r="U1389" s="9"/>
      <c r="V1389" s="9"/>
      <c r="W1389" s="9"/>
      <c r="X1389" s="9"/>
      <c r="Y1389" s="9"/>
      <c r="Z1389" s="9"/>
      <c r="AA1389" s="9"/>
      <c r="AB1389" s="9"/>
      <c r="AC1389" s="9"/>
      <c r="AD1389" s="9"/>
      <c r="AE1389" s="9"/>
      <c r="AF1389" s="9"/>
      <c r="AG1389" s="9"/>
      <c r="AH1389" s="9"/>
      <c r="AI1389" s="9"/>
      <c r="AJ1389" s="9"/>
      <c r="AK1389" s="9"/>
      <c r="AL1389" s="9"/>
    </row>
    <row r="1390" spans="1:38">
      <c r="A1390" s="9"/>
      <c r="B1390" s="9"/>
      <c r="C1390" s="9"/>
      <c r="D1390" s="9"/>
      <c r="E1390" s="9"/>
      <c r="F1390" s="9"/>
      <c r="G1390" s="9"/>
      <c r="H1390" s="9"/>
      <c r="I1390" s="9"/>
      <c r="J1390" s="9"/>
      <c r="K1390" s="9"/>
      <c r="L1390" s="9"/>
      <c r="M1390" s="9"/>
      <c r="N1390" s="9"/>
      <c r="O1390" s="9"/>
      <c r="P1390" s="9"/>
      <c r="Q1390" s="9"/>
      <c r="R1390" s="9"/>
      <c r="S1390" s="9"/>
      <c r="T1390" s="9"/>
      <c r="U1390" s="9"/>
      <c r="V1390" s="9"/>
      <c r="W1390" s="9"/>
      <c r="X1390" s="9"/>
      <c r="Y1390" s="9"/>
      <c r="Z1390" s="9"/>
      <c r="AA1390" s="9"/>
      <c r="AB1390" s="9"/>
      <c r="AC1390" s="9"/>
      <c r="AD1390" s="9"/>
      <c r="AE1390" s="9"/>
      <c r="AF1390" s="9"/>
      <c r="AG1390" s="9"/>
      <c r="AH1390" s="9"/>
      <c r="AI1390" s="9"/>
      <c r="AJ1390" s="9"/>
      <c r="AK1390" s="9"/>
      <c r="AL1390" s="9"/>
    </row>
    <row r="1391" spans="1:38">
      <c r="A1391" s="9"/>
      <c r="B1391" s="9"/>
      <c r="C1391" s="9"/>
      <c r="D1391" s="9"/>
      <c r="E1391" s="9"/>
      <c r="F1391" s="9"/>
      <c r="G1391" s="9"/>
      <c r="H1391" s="9"/>
      <c r="I1391" s="9"/>
      <c r="J1391" s="9"/>
      <c r="K1391" s="9"/>
      <c r="L1391" s="9"/>
      <c r="M1391" s="9"/>
      <c r="N1391" s="9"/>
      <c r="O1391" s="9"/>
      <c r="P1391" s="9"/>
      <c r="Q1391" s="9"/>
      <c r="R1391" s="9"/>
      <c r="S1391" s="9"/>
      <c r="T1391" s="9"/>
      <c r="U1391" s="9"/>
      <c r="V1391" s="9"/>
      <c r="W1391" s="9"/>
      <c r="X1391" s="9"/>
      <c r="Y1391" s="9"/>
      <c r="Z1391" s="9"/>
      <c r="AA1391" s="9"/>
      <c r="AB1391" s="9"/>
      <c r="AC1391" s="9"/>
      <c r="AD1391" s="9"/>
      <c r="AE1391" s="9"/>
      <c r="AF1391" s="9"/>
      <c r="AG1391" s="9"/>
      <c r="AH1391" s="9"/>
      <c r="AI1391" s="9"/>
      <c r="AJ1391" s="9"/>
      <c r="AK1391" s="9"/>
      <c r="AL1391" s="9"/>
    </row>
    <row r="1392" spans="1:38">
      <c r="A1392" s="9"/>
      <c r="B1392" s="9"/>
      <c r="C1392" s="9"/>
      <c r="D1392" s="9"/>
      <c r="E1392" s="9"/>
      <c r="F1392" s="9"/>
      <c r="G1392" s="9"/>
      <c r="H1392" s="9"/>
      <c r="I1392" s="9"/>
      <c r="J1392" s="9"/>
      <c r="K1392" s="9"/>
      <c r="L1392" s="9"/>
      <c r="M1392" s="9"/>
      <c r="N1392" s="9"/>
      <c r="O1392" s="9"/>
      <c r="P1392" s="9"/>
      <c r="Q1392" s="9"/>
      <c r="R1392" s="9"/>
      <c r="S1392" s="9"/>
      <c r="T1392" s="9"/>
      <c r="U1392" s="9"/>
      <c r="V1392" s="9"/>
      <c r="W1392" s="9"/>
      <c r="X1392" s="9"/>
      <c r="Y1392" s="9"/>
      <c r="Z1392" s="9"/>
      <c r="AA1392" s="9"/>
      <c r="AB1392" s="9"/>
      <c r="AC1392" s="9"/>
      <c r="AD1392" s="9"/>
      <c r="AE1392" s="9"/>
      <c r="AF1392" s="9"/>
      <c r="AG1392" s="9"/>
      <c r="AH1392" s="9"/>
      <c r="AI1392" s="9"/>
      <c r="AJ1392" s="9"/>
      <c r="AK1392" s="9"/>
      <c r="AL1392" s="9"/>
    </row>
    <row r="1393" spans="1:38">
      <c r="A1393" s="9"/>
      <c r="B1393" s="9"/>
      <c r="C1393" s="9"/>
      <c r="D1393" s="9"/>
      <c r="E1393" s="9"/>
      <c r="F1393" s="9"/>
      <c r="G1393" s="9"/>
      <c r="H1393" s="9"/>
      <c r="I1393" s="9"/>
      <c r="J1393" s="9"/>
      <c r="K1393" s="9"/>
      <c r="L1393" s="9"/>
      <c r="M1393" s="9"/>
      <c r="N1393" s="9"/>
      <c r="O1393" s="9"/>
      <c r="P1393" s="9"/>
      <c r="Q1393" s="9"/>
      <c r="R1393" s="9"/>
      <c r="S1393" s="9"/>
      <c r="T1393" s="9"/>
      <c r="U1393" s="9"/>
      <c r="V1393" s="9"/>
      <c r="W1393" s="9"/>
      <c r="X1393" s="9"/>
      <c r="Y1393" s="9"/>
      <c r="Z1393" s="9"/>
      <c r="AA1393" s="9"/>
      <c r="AB1393" s="9"/>
      <c r="AC1393" s="9"/>
      <c r="AD1393" s="9"/>
      <c r="AE1393" s="9"/>
      <c r="AF1393" s="9"/>
      <c r="AG1393" s="9"/>
      <c r="AH1393" s="9"/>
      <c r="AI1393" s="9"/>
      <c r="AJ1393" s="9"/>
      <c r="AK1393" s="9"/>
      <c r="AL1393" s="9"/>
    </row>
    <row r="1394" spans="1:38">
      <c r="A1394" s="9"/>
      <c r="B1394" s="9"/>
      <c r="C1394" s="9"/>
      <c r="D1394" s="9"/>
      <c r="E1394" s="9"/>
      <c r="F1394" s="9"/>
      <c r="G1394" s="9"/>
      <c r="H1394" s="9"/>
      <c r="I1394" s="9"/>
      <c r="J1394" s="9"/>
      <c r="K1394" s="9"/>
      <c r="L1394" s="9"/>
      <c r="M1394" s="9"/>
      <c r="N1394" s="9"/>
      <c r="O1394" s="9"/>
      <c r="P1394" s="9"/>
      <c r="Q1394" s="9"/>
      <c r="R1394" s="9"/>
      <c r="S1394" s="9"/>
      <c r="T1394" s="9"/>
      <c r="U1394" s="9"/>
      <c r="V1394" s="9"/>
      <c r="W1394" s="9"/>
      <c r="X1394" s="9"/>
      <c r="Y1394" s="9"/>
      <c r="Z1394" s="9"/>
      <c r="AA1394" s="9"/>
      <c r="AB1394" s="9"/>
      <c r="AC1394" s="9"/>
      <c r="AD1394" s="9"/>
      <c r="AE1394" s="9"/>
      <c r="AF1394" s="9"/>
      <c r="AG1394" s="9"/>
      <c r="AH1394" s="9"/>
      <c r="AI1394" s="9"/>
      <c r="AJ1394" s="9"/>
      <c r="AK1394" s="9"/>
      <c r="AL1394" s="9"/>
    </row>
    <row r="1395" spans="1:38">
      <c r="A1395" s="9"/>
      <c r="B1395" s="9"/>
      <c r="C1395" s="9"/>
      <c r="D1395" s="9"/>
      <c r="E1395" s="9"/>
      <c r="F1395" s="9"/>
      <c r="G1395" s="9"/>
      <c r="H1395" s="9"/>
      <c r="I1395" s="9"/>
      <c r="J1395" s="9"/>
      <c r="K1395" s="9"/>
      <c r="L1395" s="9"/>
      <c r="M1395" s="9"/>
      <c r="N1395" s="9"/>
      <c r="O1395" s="9"/>
      <c r="P1395" s="9"/>
      <c r="Q1395" s="9"/>
      <c r="R1395" s="9"/>
      <c r="S1395" s="9"/>
      <c r="T1395" s="9"/>
      <c r="U1395" s="9"/>
      <c r="V1395" s="9"/>
      <c r="W1395" s="9"/>
      <c r="X1395" s="9"/>
      <c r="Y1395" s="9"/>
      <c r="Z1395" s="9"/>
      <c r="AA1395" s="9"/>
      <c r="AB1395" s="9"/>
      <c r="AC1395" s="9"/>
      <c r="AD1395" s="9"/>
      <c r="AE1395" s="9"/>
      <c r="AF1395" s="9"/>
      <c r="AG1395" s="9"/>
      <c r="AH1395" s="9"/>
      <c r="AI1395" s="9"/>
      <c r="AJ1395" s="9"/>
      <c r="AK1395" s="9"/>
      <c r="AL1395" s="9"/>
    </row>
    <row r="1396" spans="1:38">
      <c r="A1396" s="9"/>
      <c r="B1396" s="9"/>
      <c r="C1396" s="9"/>
      <c r="D1396" s="9"/>
      <c r="E1396" s="9"/>
      <c r="F1396" s="9"/>
      <c r="G1396" s="9"/>
      <c r="H1396" s="9"/>
      <c r="I1396" s="9"/>
      <c r="J1396" s="9"/>
      <c r="K1396" s="9"/>
      <c r="L1396" s="9"/>
      <c r="M1396" s="9"/>
      <c r="N1396" s="9"/>
      <c r="O1396" s="9"/>
      <c r="P1396" s="9"/>
      <c r="Q1396" s="9"/>
      <c r="R1396" s="9"/>
      <c r="S1396" s="9"/>
      <c r="T1396" s="9"/>
      <c r="U1396" s="9"/>
      <c r="V1396" s="9"/>
      <c r="W1396" s="9"/>
      <c r="X1396" s="9"/>
      <c r="Y1396" s="9"/>
      <c r="Z1396" s="9"/>
      <c r="AA1396" s="9"/>
      <c r="AB1396" s="9"/>
      <c r="AC1396" s="9"/>
      <c r="AD1396" s="9"/>
      <c r="AE1396" s="9"/>
      <c r="AF1396" s="9"/>
      <c r="AG1396" s="9"/>
      <c r="AH1396" s="9"/>
      <c r="AI1396" s="9"/>
      <c r="AJ1396" s="9"/>
      <c r="AK1396" s="9"/>
      <c r="AL1396" s="9"/>
    </row>
    <row r="1397" spans="1:38">
      <c r="A1397" s="9"/>
      <c r="B1397" s="9"/>
      <c r="C1397" s="9"/>
      <c r="D1397" s="9"/>
      <c r="E1397" s="9"/>
      <c r="F1397" s="9"/>
      <c r="G1397" s="9"/>
      <c r="H1397" s="9"/>
      <c r="I1397" s="9"/>
      <c r="J1397" s="9"/>
      <c r="K1397" s="9"/>
      <c r="L1397" s="9"/>
      <c r="M1397" s="9"/>
      <c r="N1397" s="9"/>
      <c r="O1397" s="9"/>
      <c r="P1397" s="9"/>
      <c r="Q1397" s="9"/>
      <c r="R1397" s="9"/>
      <c r="S1397" s="9"/>
      <c r="T1397" s="9"/>
      <c r="U1397" s="9"/>
      <c r="V1397" s="9"/>
      <c r="W1397" s="9"/>
      <c r="X1397" s="9"/>
      <c r="Y1397" s="9"/>
      <c r="Z1397" s="9"/>
      <c r="AA1397" s="9"/>
      <c r="AB1397" s="9"/>
      <c r="AC1397" s="9"/>
      <c r="AD1397" s="9"/>
      <c r="AE1397" s="9"/>
      <c r="AF1397" s="9"/>
      <c r="AG1397" s="9"/>
      <c r="AH1397" s="9"/>
      <c r="AI1397" s="9"/>
      <c r="AJ1397" s="9"/>
      <c r="AK1397" s="9"/>
      <c r="AL1397" s="9"/>
    </row>
    <row r="1398" spans="1:38">
      <c r="A1398" s="9"/>
      <c r="B1398" s="9"/>
      <c r="C1398" s="9"/>
      <c r="D1398" s="9"/>
      <c r="E1398" s="9"/>
      <c r="F1398" s="9"/>
      <c r="G1398" s="9"/>
      <c r="H1398" s="9"/>
      <c r="I1398" s="9"/>
      <c r="J1398" s="9"/>
      <c r="K1398" s="9"/>
      <c r="L1398" s="9"/>
      <c r="M1398" s="9"/>
      <c r="N1398" s="9"/>
      <c r="O1398" s="9"/>
      <c r="P1398" s="9"/>
      <c r="Q1398" s="9"/>
      <c r="R1398" s="9"/>
      <c r="S1398" s="9"/>
      <c r="T1398" s="9"/>
      <c r="U1398" s="9"/>
      <c r="V1398" s="9"/>
      <c r="W1398" s="9"/>
      <c r="X1398" s="9"/>
      <c r="Y1398" s="9"/>
      <c r="Z1398" s="9"/>
      <c r="AA1398" s="9"/>
      <c r="AB1398" s="9"/>
      <c r="AC1398" s="9"/>
      <c r="AD1398" s="9"/>
      <c r="AE1398" s="9"/>
      <c r="AF1398" s="9"/>
      <c r="AG1398" s="9"/>
      <c r="AH1398" s="9"/>
      <c r="AI1398" s="9"/>
      <c r="AJ1398" s="9"/>
      <c r="AK1398" s="9"/>
      <c r="AL1398" s="9"/>
    </row>
    <row r="1399" spans="1:38">
      <c r="A1399" s="9"/>
      <c r="B1399" s="9"/>
      <c r="C1399" s="9"/>
      <c r="D1399" s="9"/>
      <c r="E1399" s="9"/>
      <c r="F1399" s="9"/>
      <c r="G1399" s="9"/>
      <c r="H1399" s="9"/>
      <c r="I1399" s="9"/>
      <c r="J1399" s="9"/>
      <c r="K1399" s="9"/>
      <c r="L1399" s="9"/>
      <c r="M1399" s="9"/>
      <c r="N1399" s="9"/>
      <c r="O1399" s="9"/>
      <c r="P1399" s="9"/>
      <c r="Q1399" s="9"/>
      <c r="R1399" s="9"/>
      <c r="S1399" s="9"/>
      <c r="T1399" s="9"/>
      <c r="U1399" s="9"/>
      <c r="V1399" s="9"/>
      <c r="W1399" s="9"/>
      <c r="X1399" s="9"/>
      <c r="Y1399" s="9"/>
      <c r="Z1399" s="9"/>
      <c r="AA1399" s="9"/>
      <c r="AB1399" s="9"/>
      <c r="AC1399" s="9"/>
      <c r="AD1399" s="9"/>
      <c r="AE1399" s="9"/>
      <c r="AF1399" s="9"/>
      <c r="AG1399" s="9"/>
      <c r="AH1399" s="9"/>
      <c r="AI1399" s="9"/>
      <c r="AJ1399" s="9"/>
      <c r="AK1399" s="9"/>
      <c r="AL1399" s="9"/>
    </row>
    <row r="1400" spans="1:38">
      <c r="A1400" s="9"/>
      <c r="B1400" s="9"/>
      <c r="C1400" s="9"/>
      <c r="D1400" s="9"/>
      <c r="E1400" s="9"/>
      <c r="F1400" s="9"/>
      <c r="G1400" s="9"/>
      <c r="H1400" s="9"/>
      <c r="I1400" s="9"/>
      <c r="J1400" s="9"/>
      <c r="K1400" s="9"/>
      <c r="L1400" s="9"/>
      <c r="M1400" s="9"/>
      <c r="N1400" s="9"/>
      <c r="O1400" s="9"/>
      <c r="P1400" s="9"/>
      <c r="Q1400" s="9"/>
      <c r="R1400" s="9"/>
      <c r="S1400" s="9"/>
      <c r="T1400" s="9"/>
      <c r="U1400" s="9"/>
      <c r="V1400" s="9"/>
      <c r="W1400" s="9"/>
      <c r="X1400" s="9"/>
      <c r="Y1400" s="9"/>
      <c r="Z1400" s="9"/>
      <c r="AA1400" s="9"/>
      <c r="AB1400" s="9"/>
      <c r="AC1400" s="9"/>
      <c r="AD1400" s="9"/>
      <c r="AE1400" s="9"/>
      <c r="AF1400" s="9"/>
      <c r="AG1400" s="9"/>
      <c r="AH1400" s="9"/>
      <c r="AI1400" s="9"/>
      <c r="AJ1400" s="9"/>
      <c r="AK1400" s="9"/>
      <c r="AL1400" s="9"/>
    </row>
    <row r="1401" spans="1:38">
      <c r="A1401" s="9"/>
      <c r="B1401" s="9"/>
      <c r="C1401" s="9"/>
      <c r="D1401" s="9"/>
      <c r="E1401" s="9"/>
      <c r="F1401" s="9"/>
      <c r="G1401" s="9"/>
      <c r="H1401" s="9"/>
      <c r="I1401" s="9"/>
      <c r="J1401" s="9"/>
      <c r="K1401" s="9"/>
      <c r="L1401" s="9"/>
      <c r="M1401" s="9"/>
      <c r="N1401" s="9"/>
      <c r="O1401" s="9"/>
      <c r="P1401" s="9"/>
      <c r="Q1401" s="9"/>
      <c r="R1401" s="9"/>
      <c r="S1401" s="9"/>
      <c r="T1401" s="9"/>
      <c r="U1401" s="9"/>
      <c r="V1401" s="9"/>
      <c r="W1401" s="9"/>
      <c r="X1401" s="9"/>
      <c r="Y1401" s="9"/>
      <c r="Z1401" s="9"/>
      <c r="AA1401" s="9"/>
      <c r="AB1401" s="9"/>
      <c r="AC1401" s="9"/>
      <c r="AD1401" s="9"/>
      <c r="AE1401" s="9"/>
      <c r="AF1401" s="9"/>
      <c r="AG1401" s="9"/>
      <c r="AH1401" s="9"/>
      <c r="AI1401" s="9"/>
      <c r="AJ1401" s="9"/>
      <c r="AK1401" s="9"/>
      <c r="AL1401" s="9"/>
    </row>
    <row r="1402" spans="1:38">
      <c r="A1402" s="9"/>
      <c r="B1402" s="9"/>
      <c r="C1402" s="9"/>
      <c r="D1402" s="9"/>
      <c r="E1402" s="9"/>
      <c r="F1402" s="9"/>
      <c r="G1402" s="9"/>
      <c r="H1402" s="9"/>
      <c r="I1402" s="9"/>
      <c r="J1402" s="9"/>
      <c r="K1402" s="9"/>
      <c r="L1402" s="9"/>
      <c r="M1402" s="9"/>
      <c r="N1402" s="9"/>
      <c r="O1402" s="9"/>
      <c r="P1402" s="9"/>
      <c r="Q1402" s="9"/>
      <c r="R1402" s="9"/>
      <c r="S1402" s="9"/>
      <c r="T1402" s="9"/>
      <c r="U1402" s="9"/>
      <c r="V1402" s="9"/>
      <c r="W1402" s="9"/>
      <c r="X1402" s="9"/>
      <c r="Y1402" s="9"/>
      <c r="Z1402" s="9"/>
      <c r="AA1402" s="9"/>
      <c r="AB1402" s="9"/>
      <c r="AC1402" s="9"/>
      <c r="AD1402" s="9"/>
      <c r="AE1402" s="9"/>
      <c r="AF1402" s="9"/>
      <c r="AG1402" s="9"/>
      <c r="AH1402" s="9"/>
      <c r="AI1402" s="9"/>
      <c r="AJ1402" s="9"/>
      <c r="AK1402" s="9"/>
      <c r="AL1402" s="9"/>
    </row>
    <row r="1403" spans="1:38">
      <c r="A1403" s="9"/>
      <c r="B1403" s="9"/>
      <c r="C1403" s="9"/>
      <c r="D1403" s="9"/>
      <c r="E1403" s="9"/>
      <c r="F1403" s="9"/>
      <c r="G1403" s="9"/>
      <c r="H1403" s="9"/>
      <c r="I1403" s="9"/>
      <c r="J1403" s="9"/>
      <c r="K1403" s="9"/>
      <c r="L1403" s="9"/>
      <c r="M1403" s="9"/>
      <c r="N1403" s="9"/>
      <c r="O1403" s="9"/>
      <c r="P1403" s="9"/>
      <c r="Q1403" s="9"/>
      <c r="R1403" s="9"/>
      <c r="S1403" s="9"/>
      <c r="T1403" s="9"/>
      <c r="U1403" s="9"/>
      <c r="V1403" s="9"/>
      <c r="W1403" s="9"/>
      <c r="X1403" s="9"/>
      <c r="Y1403" s="9"/>
      <c r="Z1403" s="9"/>
      <c r="AA1403" s="9"/>
      <c r="AB1403" s="9"/>
      <c r="AC1403" s="9"/>
      <c r="AD1403" s="9"/>
      <c r="AE1403" s="9"/>
      <c r="AF1403" s="9"/>
      <c r="AG1403" s="9"/>
      <c r="AH1403" s="9"/>
      <c r="AI1403" s="9"/>
      <c r="AJ1403" s="9"/>
      <c r="AK1403" s="9"/>
      <c r="AL1403" s="9"/>
    </row>
    <row r="1404" spans="1:38">
      <c r="A1404" s="9"/>
      <c r="B1404" s="9"/>
      <c r="C1404" s="9"/>
      <c r="D1404" s="9"/>
      <c r="E1404" s="9"/>
      <c r="F1404" s="9"/>
      <c r="G1404" s="9"/>
      <c r="H1404" s="9"/>
      <c r="I1404" s="9"/>
      <c r="J1404" s="9"/>
      <c r="K1404" s="9"/>
      <c r="L1404" s="9"/>
      <c r="M1404" s="9"/>
      <c r="N1404" s="9"/>
      <c r="O1404" s="9"/>
      <c r="P1404" s="9"/>
      <c r="Q1404" s="9"/>
      <c r="R1404" s="9"/>
      <c r="S1404" s="9"/>
      <c r="T1404" s="9"/>
      <c r="U1404" s="9"/>
      <c r="V1404" s="9"/>
      <c r="W1404" s="9"/>
      <c r="X1404" s="9"/>
      <c r="Y1404" s="9"/>
      <c r="Z1404" s="9"/>
      <c r="AA1404" s="9"/>
      <c r="AB1404" s="9"/>
      <c r="AC1404" s="9"/>
      <c r="AD1404" s="9"/>
      <c r="AE1404" s="9"/>
      <c r="AF1404" s="9"/>
      <c r="AG1404" s="9"/>
      <c r="AH1404" s="9"/>
      <c r="AI1404" s="9"/>
      <c r="AJ1404" s="9"/>
      <c r="AK1404" s="9"/>
      <c r="AL1404" s="9"/>
    </row>
    <row r="1405" spans="1:38">
      <c r="A1405" s="9"/>
      <c r="B1405" s="9"/>
      <c r="C1405" s="9"/>
      <c r="D1405" s="9"/>
      <c r="E1405" s="9"/>
      <c r="F1405" s="9"/>
      <c r="G1405" s="9"/>
      <c r="H1405" s="9"/>
      <c r="I1405" s="9"/>
      <c r="J1405" s="9"/>
      <c r="K1405" s="9"/>
      <c r="L1405" s="9"/>
      <c r="M1405" s="9"/>
      <c r="N1405" s="9"/>
      <c r="O1405" s="9"/>
      <c r="P1405" s="9"/>
      <c r="Q1405" s="9"/>
      <c r="R1405" s="9"/>
      <c r="S1405" s="9"/>
      <c r="T1405" s="9"/>
      <c r="U1405" s="9"/>
      <c r="V1405" s="9"/>
      <c r="W1405" s="9"/>
      <c r="X1405" s="9"/>
      <c r="Y1405" s="9"/>
      <c r="Z1405" s="9"/>
      <c r="AA1405" s="9"/>
      <c r="AB1405" s="9"/>
      <c r="AC1405" s="9"/>
      <c r="AD1405" s="9"/>
      <c r="AE1405" s="9"/>
      <c r="AF1405" s="9"/>
      <c r="AG1405" s="9"/>
      <c r="AH1405" s="9"/>
      <c r="AI1405" s="9"/>
      <c r="AJ1405" s="9"/>
      <c r="AK1405" s="9"/>
      <c r="AL1405" s="9"/>
    </row>
    <row r="1406" spans="1:38">
      <c r="A1406" s="9"/>
      <c r="B1406" s="9"/>
      <c r="C1406" s="9"/>
      <c r="D1406" s="9"/>
      <c r="E1406" s="9"/>
      <c r="F1406" s="9"/>
      <c r="G1406" s="9"/>
      <c r="H1406" s="9"/>
      <c r="I1406" s="9"/>
      <c r="J1406" s="9"/>
      <c r="K1406" s="9"/>
      <c r="L1406" s="9"/>
      <c r="M1406" s="9"/>
      <c r="N1406" s="9"/>
      <c r="O1406" s="9"/>
      <c r="P1406" s="9"/>
      <c r="Q1406" s="9"/>
      <c r="R1406" s="9"/>
      <c r="S1406" s="9"/>
      <c r="T1406" s="9"/>
      <c r="U1406" s="9"/>
      <c r="V1406" s="9"/>
      <c r="W1406" s="9"/>
      <c r="X1406" s="9"/>
      <c r="Y1406" s="9"/>
      <c r="Z1406" s="9"/>
      <c r="AA1406" s="9"/>
      <c r="AB1406" s="9"/>
      <c r="AC1406" s="9"/>
      <c r="AD1406" s="9"/>
      <c r="AE1406" s="9"/>
      <c r="AF1406" s="9"/>
      <c r="AG1406" s="9"/>
      <c r="AH1406" s="9"/>
      <c r="AI1406" s="9"/>
      <c r="AJ1406" s="9"/>
      <c r="AK1406" s="9"/>
      <c r="AL1406" s="9"/>
    </row>
    <row r="1407" spans="1:38">
      <c r="A1407" s="9"/>
      <c r="B1407" s="9"/>
      <c r="C1407" s="9"/>
      <c r="D1407" s="9"/>
      <c r="E1407" s="9"/>
      <c r="F1407" s="9"/>
      <c r="G1407" s="9"/>
      <c r="H1407" s="9"/>
      <c r="I1407" s="9"/>
      <c r="J1407" s="9"/>
      <c r="K1407" s="9"/>
      <c r="L1407" s="9"/>
      <c r="M1407" s="9"/>
      <c r="N1407" s="9"/>
      <c r="O1407" s="9"/>
      <c r="P1407" s="9"/>
      <c r="Q1407" s="9"/>
      <c r="R1407" s="9"/>
      <c r="S1407" s="9"/>
      <c r="T1407" s="9"/>
      <c r="U1407" s="9"/>
      <c r="V1407" s="9"/>
      <c r="W1407" s="9"/>
      <c r="X1407" s="9"/>
      <c r="Y1407" s="9"/>
      <c r="Z1407" s="9"/>
      <c r="AA1407" s="9"/>
      <c r="AB1407" s="9"/>
      <c r="AC1407" s="9"/>
      <c r="AD1407" s="9"/>
      <c r="AE1407" s="9"/>
      <c r="AF1407" s="9"/>
      <c r="AG1407" s="9"/>
      <c r="AH1407" s="9"/>
      <c r="AI1407" s="9"/>
      <c r="AJ1407" s="9"/>
      <c r="AK1407" s="9"/>
      <c r="AL1407" s="9"/>
    </row>
    <row r="1408" spans="1:38">
      <c r="A1408" s="9"/>
      <c r="B1408" s="9"/>
      <c r="C1408" s="9"/>
      <c r="D1408" s="9"/>
      <c r="E1408" s="9"/>
      <c r="F1408" s="9"/>
      <c r="G1408" s="9"/>
      <c r="H1408" s="9"/>
      <c r="I1408" s="9"/>
      <c r="J1408" s="9"/>
      <c r="K1408" s="9"/>
      <c r="L1408" s="9"/>
      <c r="M1408" s="9"/>
      <c r="N1408" s="9"/>
      <c r="O1408" s="9"/>
      <c r="P1408" s="9"/>
      <c r="Q1408" s="9"/>
      <c r="R1408" s="9"/>
      <c r="S1408" s="9"/>
      <c r="T1408" s="9"/>
      <c r="U1408" s="9"/>
      <c r="V1408" s="9"/>
      <c r="W1408" s="9"/>
      <c r="X1408" s="9"/>
      <c r="Y1408" s="9"/>
      <c r="Z1408" s="9"/>
      <c r="AA1408" s="9"/>
      <c r="AB1408" s="9"/>
      <c r="AC1408" s="9"/>
      <c r="AD1408" s="9"/>
      <c r="AE1408" s="9"/>
      <c r="AF1408" s="9"/>
      <c r="AG1408" s="9"/>
      <c r="AH1408" s="9"/>
      <c r="AI1408" s="9"/>
      <c r="AJ1408" s="9"/>
      <c r="AK1408" s="9"/>
      <c r="AL1408" s="9"/>
    </row>
    <row r="1409" spans="1:38">
      <c r="A1409" s="9"/>
      <c r="B1409" s="9"/>
      <c r="C1409" s="9"/>
      <c r="D1409" s="9"/>
      <c r="E1409" s="9"/>
      <c r="F1409" s="9"/>
      <c r="G1409" s="9"/>
      <c r="H1409" s="9"/>
      <c r="I1409" s="9"/>
      <c r="J1409" s="9"/>
      <c r="K1409" s="9"/>
      <c r="L1409" s="9"/>
      <c r="M1409" s="9"/>
      <c r="N1409" s="9"/>
      <c r="O1409" s="9"/>
      <c r="P1409" s="9"/>
      <c r="Q1409" s="9"/>
      <c r="R1409" s="9"/>
      <c r="S1409" s="9"/>
      <c r="T1409" s="9"/>
      <c r="U1409" s="9"/>
      <c r="V1409" s="9"/>
      <c r="W1409" s="9"/>
      <c r="X1409" s="9"/>
      <c r="Y1409" s="9"/>
      <c r="Z1409" s="9"/>
      <c r="AA1409" s="9"/>
      <c r="AB1409" s="9"/>
      <c r="AC1409" s="9"/>
      <c r="AD1409" s="9"/>
      <c r="AE1409" s="9"/>
      <c r="AF1409" s="9"/>
      <c r="AG1409" s="9"/>
      <c r="AH1409" s="9"/>
      <c r="AI1409" s="9"/>
      <c r="AJ1409" s="9"/>
      <c r="AK1409" s="9"/>
      <c r="AL1409" s="9"/>
    </row>
    <row r="1410" spans="1:38">
      <c r="A1410" s="9"/>
      <c r="B1410" s="9"/>
      <c r="C1410" s="9"/>
      <c r="D1410" s="9"/>
      <c r="E1410" s="9"/>
      <c r="F1410" s="9"/>
      <c r="G1410" s="9"/>
      <c r="H1410" s="9"/>
      <c r="I1410" s="9"/>
      <c r="J1410" s="9"/>
      <c r="K1410" s="9"/>
      <c r="L1410" s="9"/>
      <c r="M1410" s="9"/>
      <c r="N1410" s="9"/>
      <c r="O1410" s="9"/>
      <c r="P1410" s="9"/>
      <c r="Q1410" s="9"/>
      <c r="R1410" s="9"/>
      <c r="S1410" s="9"/>
      <c r="T1410" s="9"/>
      <c r="U1410" s="9"/>
      <c r="V1410" s="9"/>
      <c r="W1410" s="9"/>
      <c r="X1410" s="9"/>
      <c r="Y1410" s="9"/>
      <c r="Z1410" s="9"/>
      <c r="AA1410" s="9"/>
      <c r="AB1410" s="9"/>
      <c r="AC1410" s="9"/>
      <c r="AD1410" s="9"/>
      <c r="AE1410" s="9"/>
      <c r="AF1410" s="9"/>
      <c r="AG1410" s="9"/>
      <c r="AH1410" s="9"/>
      <c r="AI1410" s="9"/>
      <c r="AJ1410" s="9"/>
      <c r="AK1410" s="9"/>
      <c r="AL1410" s="9"/>
    </row>
    <row r="1411" spans="1:38">
      <c r="A1411" s="9"/>
      <c r="B1411" s="9"/>
      <c r="C1411" s="9"/>
      <c r="D1411" s="9"/>
      <c r="E1411" s="9"/>
      <c r="F1411" s="9"/>
      <c r="G1411" s="9"/>
      <c r="H1411" s="9"/>
      <c r="I1411" s="9"/>
      <c r="J1411" s="9"/>
      <c r="K1411" s="9"/>
      <c r="L1411" s="9"/>
      <c r="M1411" s="9"/>
      <c r="N1411" s="9"/>
      <c r="O1411" s="9"/>
      <c r="P1411" s="9"/>
      <c r="Q1411" s="9"/>
      <c r="R1411" s="9"/>
      <c r="S1411" s="9"/>
      <c r="T1411" s="9"/>
      <c r="U1411" s="9"/>
      <c r="V1411" s="9"/>
      <c r="W1411" s="9"/>
      <c r="X1411" s="9"/>
      <c r="Y1411" s="9"/>
      <c r="Z1411" s="9"/>
      <c r="AA1411" s="9"/>
      <c r="AB1411" s="9"/>
      <c r="AC1411" s="9"/>
      <c r="AD1411" s="9"/>
      <c r="AE1411" s="9"/>
      <c r="AF1411" s="9"/>
      <c r="AG1411" s="9"/>
      <c r="AH1411" s="9"/>
      <c r="AI1411" s="9"/>
      <c r="AJ1411" s="9"/>
      <c r="AK1411" s="9"/>
      <c r="AL1411" s="9"/>
    </row>
    <row r="1412" spans="1:38">
      <c r="A1412" s="9"/>
      <c r="B1412" s="9"/>
      <c r="C1412" s="9"/>
      <c r="D1412" s="9"/>
      <c r="E1412" s="9"/>
      <c r="F1412" s="9"/>
      <c r="G1412" s="9"/>
      <c r="H1412" s="9"/>
      <c r="I1412" s="9"/>
      <c r="J1412" s="9"/>
      <c r="K1412" s="9"/>
      <c r="L1412" s="9"/>
      <c r="M1412" s="9"/>
      <c r="N1412" s="9"/>
      <c r="O1412" s="9"/>
      <c r="P1412" s="9"/>
      <c r="Q1412" s="9"/>
      <c r="R1412" s="9"/>
      <c r="S1412" s="9"/>
      <c r="T1412" s="9"/>
      <c r="U1412" s="9"/>
      <c r="V1412" s="9"/>
      <c r="W1412" s="9"/>
      <c r="X1412" s="9"/>
      <c r="Y1412" s="9"/>
      <c r="Z1412" s="9"/>
      <c r="AA1412" s="9"/>
      <c r="AB1412" s="9"/>
      <c r="AC1412" s="9"/>
      <c r="AD1412" s="9"/>
      <c r="AE1412" s="9"/>
      <c r="AF1412" s="9"/>
      <c r="AG1412" s="9"/>
      <c r="AH1412" s="9"/>
      <c r="AI1412" s="9"/>
      <c r="AJ1412" s="9"/>
      <c r="AK1412" s="9"/>
      <c r="AL1412" s="9"/>
    </row>
    <row r="1413" spans="1:38">
      <c r="A1413" s="9"/>
      <c r="B1413" s="9"/>
      <c r="C1413" s="9"/>
      <c r="D1413" s="9"/>
      <c r="E1413" s="9"/>
      <c r="F1413" s="9"/>
      <c r="G1413" s="9"/>
      <c r="H1413" s="9"/>
      <c r="I1413" s="9"/>
      <c r="J1413" s="9"/>
      <c r="K1413" s="9"/>
      <c r="L1413" s="9"/>
      <c r="M1413" s="9"/>
      <c r="N1413" s="9"/>
      <c r="O1413" s="9"/>
      <c r="P1413" s="9"/>
      <c r="Q1413" s="9"/>
      <c r="R1413" s="9"/>
      <c r="S1413" s="9"/>
      <c r="T1413" s="9"/>
      <c r="U1413" s="9"/>
      <c r="V1413" s="9"/>
      <c r="W1413" s="9"/>
      <c r="X1413" s="9"/>
      <c r="Y1413" s="9"/>
      <c r="Z1413" s="9"/>
      <c r="AA1413" s="9"/>
      <c r="AB1413" s="9"/>
      <c r="AC1413" s="9"/>
      <c r="AD1413" s="9"/>
      <c r="AE1413" s="9"/>
      <c r="AF1413" s="9"/>
      <c r="AG1413" s="9"/>
      <c r="AH1413" s="9"/>
      <c r="AI1413" s="9"/>
      <c r="AJ1413" s="9"/>
      <c r="AK1413" s="9"/>
      <c r="AL1413" s="9"/>
    </row>
    <row r="1414" spans="1:38">
      <c r="A1414" s="9"/>
      <c r="B1414" s="9"/>
      <c r="C1414" s="9"/>
      <c r="D1414" s="9"/>
      <c r="E1414" s="9"/>
      <c r="F1414" s="9"/>
      <c r="G1414" s="9"/>
      <c r="H1414" s="9"/>
      <c r="I1414" s="9"/>
      <c r="J1414" s="9"/>
      <c r="K1414" s="9"/>
      <c r="L1414" s="9"/>
      <c r="M1414" s="9"/>
      <c r="N1414" s="9"/>
      <c r="O1414" s="9"/>
      <c r="P1414" s="9"/>
      <c r="Q1414" s="9"/>
      <c r="R1414" s="9"/>
      <c r="S1414" s="9"/>
      <c r="T1414" s="9"/>
      <c r="U1414" s="9"/>
      <c r="V1414" s="9"/>
      <c r="W1414" s="9"/>
      <c r="X1414" s="9"/>
      <c r="Y1414" s="9"/>
      <c r="Z1414" s="9"/>
      <c r="AA1414" s="9"/>
      <c r="AB1414" s="9"/>
      <c r="AC1414" s="9"/>
      <c r="AD1414" s="9"/>
      <c r="AE1414" s="9"/>
      <c r="AF1414" s="9"/>
      <c r="AG1414" s="9"/>
      <c r="AH1414" s="9"/>
      <c r="AI1414" s="9"/>
      <c r="AJ1414" s="9"/>
      <c r="AK1414" s="9"/>
      <c r="AL1414" s="9"/>
    </row>
    <row r="1415" spans="1:38">
      <c r="A1415" s="9"/>
      <c r="B1415" s="9"/>
      <c r="C1415" s="9"/>
      <c r="D1415" s="9"/>
      <c r="E1415" s="9"/>
      <c r="F1415" s="9"/>
      <c r="G1415" s="9"/>
      <c r="H1415" s="9"/>
      <c r="I1415" s="9"/>
      <c r="J1415" s="9"/>
      <c r="K1415" s="9"/>
      <c r="L1415" s="9"/>
      <c r="M1415" s="9"/>
      <c r="N1415" s="9"/>
      <c r="O1415" s="9"/>
      <c r="P1415" s="9"/>
      <c r="Q1415" s="9"/>
      <c r="R1415" s="9"/>
      <c r="S1415" s="9"/>
      <c r="T1415" s="9"/>
      <c r="U1415" s="9"/>
      <c r="V1415" s="9"/>
      <c r="W1415" s="9"/>
      <c r="X1415" s="9"/>
      <c r="Y1415" s="9"/>
      <c r="Z1415" s="9"/>
      <c r="AA1415" s="9"/>
      <c r="AB1415" s="9"/>
      <c r="AC1415" s="9"/>
      <c r="AD1415" s="9"/>
      <c r="AE1415" s="9"/>
      <c r="AF1415" s="9"/>
      <c r="AG1415" s="9"/>
      <c r="AH1415" s="9"/>
      <c r="AI1415" s="9"/>
      <c r="AJ1415" s="9"/>
      <c r="AK1415" s="9"/>
      <c r="AL1415" s="9"/>
    </row>
    <row r="1416" spans="1:38">
      <c r="A1416" s="9"/>
      <c r="B1416" s="9"/>
      <c r="C1416" s="9"/>
      <c r="D1416" s="9"/>
      <c r="E1416" s="9"/>
      <c r="F1416" s="9"/>
      <c r="G1416" s="9"/>
      <c r="H1416" s="9"/>
      <c r="I1416" s="9"/>
      <c r="J1416" s="9"/>
      <c r="K1416" s="9"/>
      <c r="L1416" s="9"/>
      <c r="M1416" s="9"/>
      <c r="N1416" s="9"/>
      <c r="O1416" s="9"/>
      <c r="P1416" s="9"/>
      <c r="Q1416" s="9"/>
      <c r="R1416" s="9"/>
      <c r="S1416" s="9"/>
      <c r="T1416" s="9"/>
      <c r="U1416" s="9"/>
      <c r="V1416" s="9"/>
      <c r="W1416" s="9"/>
      <c r="X1416" s="9"/>
      <c r="Y1416" s="9"/>
      <c r="Z1416" s="9"/>
      <c r="AA1416" s="9"/>
      <c r="AB1416" s="9"/>
      <c r="AC1416" s="9"/>
      <c r="AD1416" s="9"/>
      <c r="AE1416" s="9"/>
      <c r="AF1416" s="9"/>
      <c r="AG1416" s="9"/>
      <c r="AH1416" s="9"/>
      <c r="AI1416" s="9"/>
      <c r="AJ1416" s="9"/>
      <c r="AK1416" s="9"/>
      <c r="AL1416" s="9"/>
    </row>
    <row r="1417" spans="1:38">
      <c r="A1417" s="9"/>
      <c r="B1417" s="9"/>
      <c r="C1417" s="9"/>
      <c r="D1417" s="9"/>
      <c r="E1417" s="9"/>
      <c r="F1417" s="9"/>
      <c r="G1417" s="9"/>
      <c r="H1417" s="9"/>
      <c r="I1417" s="9"/>
      <c r="J1417" s="9"/>
      <c r="K1417" s="9"/>
      <c r="L1417" s="9"/>
      <c r="M1417" s="9"/>
      <c r="N1417" s="9"/>
      <c r="O1417" s="9"/>
      <c r="P1417" s="9"/>
      <c r="Q1417" s="9"/>
      <c r="R1417" s="9"/>
      <c r="S1417" s="9"/>
      <c r="T1417" s="9"/>
      <c r="U1417" s="9"/>
      <c r="V1417" s="9"/>
      <c r="W1417" s="9"/>
      <c r="X1417" s="9"/>
      <c r="Y1417" s="9"/>
      <c r="Z1417" s="9"/>
      <c r="AA1417" s="9"/>
      <c r="AB1417" s="9"/>
      <c r="AC1417" s="9"/>
      <c r="AD1417" s="9"/>
      <c r="AE1417" s="9"/>
      <c r="AF1417" s="9"/>
      <c r="AG1417" s="9"/>
      <c r="AH1417" s="9"/>
      <c r="AI1417" s="9"/>
      <c r="AJ1417" s="9"/>
      <c r="AK1417" s="9"/>
      <c r="AL1417" s="9"/>
    </row>
    <row r="1418" spans="1:38">
      <c r="A1418" s="9"/>
      <c r="B1418" s="9"/>
      <c r="C1418" s="9"/>
      <c r="D1418" s="9"/>
      <c r="E1418" s="9"/>
      <c r="F1418" s="9"/>
      <c r="G1418" s="9"/>
      <c r="H1418" s="9"/>
      <c r="I1418" s="9"/>
      <c r="J1418" s="9"/>
      <c r="K1418" s="9"/>
      <c r="L1418" s="9"/>
      <c r="M1418" s="9"/>
      <c r="N1418" s="9"/>
      <c r="O1418" s="9"/>
      <c r="P1418" s="9"/>
      <c r="Q1418" s="9"/>
      <c r="R1418" s="9"/>
      <c r="S1418" s="9"/>
      <c r="T1418" s="9"/>
      <c r="U1418" s="9"/>
      <c r="V1418" s="9"/>
      <c r="W1418" s="9"/>
      <c r="X1418" s="9"/>
      <c r="Y1418" s="9"/>
      <c r="Z1418" s="9"/>
      <c r="AA1418" s="9"/>
      <c r="AB1418" s="9"/>
      <c r="AC1418" s="9"/>
      <c r="AD1418" s="9"/>
      <c r="AE1418" s="9"/>
      <c r="AF1418" s="9"/>
      <c r="AG1418" s="9"/>
      <c r="AH1418" s="9"/>
      <c r="AI1418" s="9"/>
      <c r="AJ1418" s="9"/>
      <c r="AK1418" s="9"/>
      <c r="AL1418" s="9"/>
    </row>
    <row r="1419" spans="1:38">
      <c r="A1419" s="9"/>
      <c r="B1419" s="9"/>
      <c r="C1419" s="9"/>
      <c r="D1419" s="9"/>
      <c r="E1419" s="9"/>
      <c r="F1419" s="9"/>
      <c r="G1419" s="9"/>
      <c r="H1419" s="9"/>
      <c r="I1419" s="9"/>
      <c r="J1419" s="9"/>
      <c r="K1419" s="9"/>
      <c r="L1419" s="9"/>
      <c r="M1419" s="9"/>
      <c r="N1419" s="9"/>
      <c r="O1419" s="9"/>
      <c r="P1419" s="9"/>
      <c r="Q1419" s="9"/>
      <c r="R1419" s="9"/>
      <c r="S1419" s="9"/>
      <c r="T1419" s="9"/>
      <c r="U1419" s="9"/>
      <c r="V1419" s="9"/>
      <c r="W1419" s="9"/>
      <c r="X1419" s="9"/>
      <c r="Y1419" s="9"/>
      <c r="Z1419" s="9"/>
      <c r="AA1419" s="9"/>
      <c r="AB1419" s="9"/>
      <c r="AC1419" s="9"/>
      <c r="AD1419" s="9"/>
      <c r="AE1419" s="9"/>
      <c r="AF1419" s="9"/>
      <c r="AG1419" s="9"/>
      <c r="AH1419" s="9"/>
      <c r="AI1419" s="9"/>
      <c r="AJ1419" s="9"/>
      <c r="AK1419" s="9"/>
      <c r="AL1419" s="9"/>
    </row>
    <row r="1420" spans="1:38">
      <c r="A1420" s="9"/>
      <c r="B1420" s="9"/>
      <c r="C1420" s="9"/>
      <c r="D1420" s="9"/>
      <c r="E1420" s="9"/>
      <c r="F1420" s="9"/>
      <c r="G1420" s="9"/>
      <c r="H1420" s="9"/>
      <c r="I1420" s="9"/>
      <c r="J1420" s="9"/>
      <c r="K1420" s="9"/>
      <c r="L1420" s="9"/>
      <c r="M1420" s="9"/>
      <c r="N1420" s="9"/>
      <c r="O1420" s="9"/>
      <c r="P1420" s="9"/>
      <c r="Q1420" s="9"/>
      <c r="R1420" s="9"/>
      <c r="S1420" s="9"/>
      <c r="T1420" s="9"/>
      <c r="U1420" s="9"/>
      <c r="V1420" s="9"/>
      <c r="W1420" s="9"/>
      <c r="X1420" s="9"/>
      <c r="Y1420" s="9"/>
      <c r="Z1420" s="9"/>
      <c r="AA1420" s="9"/>
      <c r="AB1420" s="9"/>
      <c r="AC1420" s="9"/>
      <c r="AD1420" s="9"/>
      <c r="AE1420" s="9"/>
      <c r="AF1420" s="9"/>
      <c r="AG1420" s="9"/>
      <c r="AH1420" s="9"/>
      <c r="AI1420" s="9"/>
      <c r="AJ1420" s="9"/>
      <c r="AK1420" s="9"/>
      <c r="AL1420" s="9"/>
    </row>
    <row r="1421" spans="1:38">
      <c r="A1421" s="9"/>
      <c r="B1421" s="9"/>
      <c r="C1421" s="9"/>
      <c r="D1421" s="9"/>
      <c r="E1421" s="9"/>
      <c r="F1421" s="9"/>
      <c r="G1421" s="9"/>
      <c r="H1421" s="9"/>
      <c r="I1421" s="9"/>
      <c r="J1421" s="9"/>
      <c r="K1421" s="9"/>
      <c r="L1421" s="9"/>
      <c r="M1421" s="9"/>
      <c r="N1421" s="9"/>
      <c r="O1421" s="9"/>
      <c r="P1421" s="9"/>
      <c r="Q1421" s="9"/>
      <c r="R1421" s="9"/>
      <c r="S1421" s="9"/>
      <c r="T1421" s="9"/>
      <c r="U1421" s="9"/>
      <c r="V1421" s="9"/>
      <c r="W1421" s="9"/>
      <c r="X1421" s="9"/>
      <c r="Y1421" s="9"/>
      <c r="Z1421" s="9"/>
      <c r="AA1421" s="9"/>
      <c r="AB1421" s="9"/>
      <c r="AC1421" s="9"/>
      <c r="AD1421" s="9"/>
      <c r="AE1421" s="9"/>
      <c r="AF1421" s="9"/>
      <c r="AG1421" s="9"/>
      <c r="AH1421" s="9"/>
      <c r="AI1421" s="9"/>
      <c r="AJ1421" s="9"/>
      <c r="AK1421" s="9"/>
      <c r="AL1421" s="9"/>
    </row>
    <row r="1422" spans="1:38">
      <c r="A1422" s="9"/>
      <c r="B1422" s="9"/>
      <c r="C1422" s="9"/>
      <c r="D1422" s="9"/>
      <c r="E1422" s="9"/>
      <c r="F1422" s="9"/>
      <c r="G1422" s="9"/>
      <c r="H1422" s="9"/>
      <c r="I1422" s="9"/>
      <c r="J1422" s="9"/>
      <c r="K1422" s="9"/>
      <c r="L1422" s="9"/>
      <c r="M1422" s="9"/>
      <c r="N1422" s="9"/>
      <c r="O1422" s="9"/>
      <c r="P1422" s="9"/>
      <c r="Q1422" s="9"/>
      <c r="R1422" s="9"/>
      <c r="S1422" s="9"/>
      <c r="T1422" s="9"/>
      <c r="U1422" s="9"/>
      <c r="V1422" s="9"/>
      <c r="W1422" s="9"/>
      <c r="X1422" s="9"/>
      <c r="Y1422" s="9"/>
      <c r="Z1422" s="9"/>
      <c r="AA1422" s="9"/>
      <c r="AB1422" s="9"/>
      <c r="AC1422" s="9"/>
      <c r="AD1422" s="9"/>
      <c r="AE1422" s="9"/>
      <c r="AF1422" s="9"/>
      <c r="AG1422" s="9"/>
      <c r="AH1422" s="9"/>
      <c r="AI1422" s="9"/>
      <c r="AJ1422" s="9"/>
      <c r="AK1422" s="9"/>
      <c r="AL1422" s="9"/>
    </row>
    <row r="1423" spans="1:38">
      <c r="A1423" s="9"/>
      <c r="B1423" s="9"/>
      <c r="C1423" s="9"/>
      <c r="D1423" s="9"/>
      <c r="E1423" s="9"/>
      <c r="F1423" s="9"/>
      <c r="G1423" s="9"/>
      <c r="H1423" s="9"/>
      <c r="I1423" s="9"/>
      <c r="J1423" s="9"/>
      <c r="K1423" s="9"/>
      <c r="L1423" s="9"/>
      <c r="M1423" s="9"/>
      <c r="N1423" s="9"/>
      <c r="O1423" s="9"/>
      <c r="P1423" s="9"/>
      <c r="Q1423" s="9"/>
      <c r="R1423" s="9"/>
      <c r="S1423" s="9"/>
      <c r="T1423" s="9"/>
      <c r="U1423" s="9"/>
      <c r="V1423" s="9"/>
      <c r="W1423" s="9"/>
      <c r="X1423" s="9"/>
      <c r="Y1423" s="9"/>
      <c r="Z1423" s="9"/>
      <c r="AA1423" s="9"/>
      <c r="AB1423" s="9"/>
      <c r="AC1423" s="9"/>
      <c r="AD1423" s="9"/>
      <c r="AE1423" s="9"/>
      <c r="AF1423" s="9"/>
      <c r="AG1423" s="9"/>
      <c r="AH1423" s="9"/>
      <c r="AI1423" s="9"/>
      <c r="AJ1423" s="9"/>
      <c r="AK1423" s="9"/>
      <c r="AL1423" s="9"/>
    </row>
    <row r="1424" spans="1:38">
      <c r="A1424" s="9"/>
      <c r="B1424" s="9"/>
      <c r="C1424" s="9"/>
      <c r="D1424" s="9"/>
      <c r="E1424" s="9"/>
      <c r="F1424" s="9"/>
      <c r="G1424" s="9"/>
      <c r="H1424" s="9"/>
      <c r="I1424" s="9"/>
      <c r="J1424" s="9"/>
      <c r="K1424" s="9"/>
      <c r="L1424" s="9"/>
      <c r="M1424" s="9"/>
      <c r="N1424" s="9"/>
      <c r="O1424" s="9"/>
      <c r="P1424" s="9"/>
      <c r="Q1424" s="9"/>
      <c r="R1424" s="9"/>
      <c r="S1424" s="9"/>
      <c r="T1424" s="9"/>
      <c r="U1424" s="9"/>
      <c r="V1424" s="9"/>
      <c r="W1424" s="9"/>
      <c r="X1424" s="9"/>
      <c r="Y1424" s="9"/>
      <c r="Z1424" s="9"/>
      <c r="AA1424" s="9"/>
      <c r="AB1424" s="9"/>
      <c r="AC1424" s="9"/>
      <c r="AD1424" s="9"/>
      <c r="AE1424" s="9"/>
      <c r="AF1424" s="9"/>
      <c r="AG1424" s="9"/>
      <c r="AH1424" s="9"/>
      <c r="AI1424" s="9"/>
      <c r="AJ1424" s="9"/>
      <c r="AK1424" s="9"/>
      <c r="AL1424" s="9"/>
    </row>
    <row r="1425" spans="1:38">
      <c r="A1425" s="9"/>
      <c r="B1425" s="9"/>
      <c r="C1425" s="9"/>
      <c r="D1425" s="9"/>
      <c r="E1425" s="9"/>
      <c r="F1425" s="9"/>
      <c r="G1425" s="9"/>
      <c r="H1425" s="9"/>
      <c r="I1425" s="9"/>
      <c r="J1425" s="9"/>
      <c r="K1425" s="9"/>
      <c r="L1425" s="9"/>
      <c r="M1425" s="9"/>
      <c r="N1425" s="9"/>
      <c r="O1425" s="9"/>
      <c r="P1425" s="9"/>
      <c r="Q1425" s="9"/>
      <c r="R1425" s="9"/>
      <c r="S1425" s="9"/>
      <c r="T1425" s="9"/>
      <c r="U1425" s="9"/>
      <c r="V1425" s="9"/>
      <c r="W1425" s="9"/>
      <c r="X1425" s="9"/>
      <c r="Y1425" s="9"/>
      <c r="Z1425" s="9"/>
      <c r="AA1425" s="9"/>
      <c r="AB1425" s="9"/>
      <c r="AC1425" s="9"/>
      <c r="AD1425" s="9"/>
      <c r="AE1425" s="9"/>
      <c r="AF1425" s="9"/>
      <c r="AG1425" s="9"/>
      <c r="AH1425" s="9"/>
      <c r="AI1425" s="9"/>
      <c r="AJ1425" s="9"/>
      <c r="AK1425" s="9"/>
      <c r="AL1425" s="9"/>
    </row>
    <row r="1426" spans="1:38">
      <c r="A1426" s="9"/>
      <c r="B1426" s="9"/>
      <c r="C1426" s="9"/>
      <c r="D1426" s="9"/>
      <c r="E1426" s="9"/>
      <c r="F1426" s="9"/>
      <c r="G1426" s="9"/>
      <c r="H1426" s="9"/>
      <c r="I1426" s="9"/>
      <c r="J1426" s="9"/>
      <c r="K1426" s="9"/>
      <c r="L1426" s="9"/>
      <c r="M1426" s="9"/>
      <c r="N1426" s="9"/>
      <c r="O1426" s="9"/>
      <c r="P1426" s="9"/>
      <c r="Q1426" s="9"/>
      <c r="R1426" s="9"/>
      <c r="S1426" s="9"/>
      <c r="T1426" s="9"/>
      <c r="U1426" s="9"/>
      <c r="V1426" s="9"/>
      <c r="W1426" s="9"/>
      <c r="X1426" s="9"/>
      <c r="Y1426" s="9"/>
      <c r="Z1426" s="9"/>
      <c r="AA1426" s="9"/>
      <c r="AB1426" s="9"/>
      <c r="AC1426" s="9"/>
      <c r="AD1426" s="9"/>
      <c r="AE1426" s="9"/>
      <c r="AF1426" s="9"/>
      <c r="AG1426" s="9"/>
      <c r="AH1426" s="9"/>
      <c r="AI1426" s="9"/>
      <c r="AJ1426" s="9"/>
      <c r="AK1426" s="9"/>
      <c r="AL1426" s="9"/>
    </row>
    <row r="1427" spans="1:38">
      <c r="A1427" s="9"/>
      <c r="B1427" s="9"/>
      <c r="C1427" s="9"/>
      <c r="D1427" s="9"/>
      <c r="E1427" s="9"/>
      <c r="F1427" s="9"/>
      <c r="G1427" s="9"/>
      <c r="H1427" s="9"/>
      <c r="I1427" s="9"/>
      <c r="J1427" s="9"/>
      <c r="K1427" s="9"/>
      <c r="L1427" s="9"/>
      <c r="M1427" s="9"/>
      <c r="N1427" s="9"/>
      <c r="O1427" s="9"/>
      <c r="P1427" s="9"/>
      <c r="Q1427" s="9"/>
      <c r="R1427" s="9"/>
      <c r="S1427" s="9"/>
      <c r="T1427" s="9"/>
      <c r="U1427" s="9"/>
      <c r="V1427" s="9"/>
      <c r="W1427" s="9"/>
      <c r="X1427" s="9"/>
      <c r="Y1427" s="9"/>
      <c r="Z1427" s="9"/>
      <c r="AA1427" s="9"/>
      <c r="AB1427" s="9"/>
      <c r="AC1427" s="9"/>
      <c r="AD1427" s="9"/>
      <c r="AE1427" s="9"/>
      <c r="AF1427" s="9"/>
      <c r="AG1427" s="9"/>
      <c r="AH1427" s="9"/>
      <c r="AI1427" s="9"/>
      <c r="AJ1427" s="9"/>
      <c r="AK1427" s="9"/>
      <c r="AL1427" s="9"/>
    </row>
    <row r="1428" spans="1:38">
      <c r="A1428" s="9"/>
      <c r="B1428" s="9"/>
      <c r="C1428" s="9"/>
      <c r="D1428" s="9"/>
      <c r="E1428" s="9"/>
      <c r="F1428" s="9"/>
      <c r="G1428" s="9"/>
      <c r="H1428" s="9"/>
      <c r="I1428" s="9"/>
      <c r="J1428" s="9"/>
      <c r="K1428" s="9"/>
      <c r="L1428" s="9"/>
      <c r="M1428" s="9"/>
      <c r="N1428" s="9"/>
      <c r="O1428" s="9"/>
      <c r="P1428" s="9"/>
      <c r="Q1428" s="9"/>
      <c r="R1428" s="9"/>
      <c r="S1428" s="9"/>
      <c r="T1428" s="9"/>
      <c r="U1428" s="9"/>
      <c r="V1428" s="9"/>
      <c r="W1428" s="9"/>
      <c r="X1428" s="9"/>
      <c r="Y1428" s="9"/>
      <c r="Z1428" s="9"/>
      <c r="AA1428" s="9"/>
      <c r="AB1428" s="9"/>
      <c r="AC1428" s="9"/>
      <c r="AD1428" s="9"/>
      <c r="AE1428" s="9"/>
      <c r="AF1428" s="9"/>
      <c r="AG1428" s="9"/>
      <c r="AH1428" s="9"/>
      <c r="AI1428" s="9"/>
      <c r="AJ1428" s="9"/>
      <c r="AK1428" s="9"/>
      <c r="AL1428" s="9"/>
    </row>
    <row r="1429" spans="1:38">
      <c r="A1429" s="9"/>
      <c r="B1429" s="9"/>
      <c r="C1429" s="9"/>
      <c r="D1429" s="9"/>
      <c r="E1429" s="9"/>
      <c r="F1429" s="9"/>
      <c r="G1429" s="9"/>
      <c r="H1429" s="9"/>
      <c r="I1429" s="9"/>
      <c r="J1429" s="9"/>
      <c r="K1429" s="9"/>
      <c r="L1429" s="9"/>
      <c r="M1429" s="9"/>
      <c r="N1429" s="9"/>
      <c r="O1429" s="9"/>
      <c r="P1429" s="9"/>
      <c r="Q1429" s="9"/>
      <c r="R1429" s="9"/>
      <c r="S1429" s="9"/>
      <c r="T1429" s="9"/>
      <c r="U1429" s="9"/>
      <c r="V1429" s="9"/>
      <c r="W1429" s="9"/>
      <c r="X1429" s="9"/>
      <c r="Y1429" s="9"/>
      <c r="Z1429" s="9"/>
      <c r="AA1429" s="9"/>
      <c r="AB1429" s="9"/>
      <c r="AC1429" s="9"/>
      <c r="AD1429" s="9"/>
      <c r="AE1429" s="9"/>
      <c r="AF1429" s="9"/>
      <c r="AG1429" s="9"/>
      <c r="AH1429" s="9"/>
      <c r="AI1429" s="9"/>
      <c r="AJ1429" s="9"/>
      <c r="AK1429" s="9"/>
      <c r="AL1429" s="9"/>
    </row>
    <row r="1430" spans="1:38">
      <c r="A1430" s="9"/>
      <c r="B1430" s="9"/>
      <c r="C1430" s="9"/>
      <c r="D1430" s="9"/>
      <c r="E1430" s="9"/>
      <c r="F1430" s="9"/>
      <c r="G1430" s="9"/>
      <c r="H1430" s="9"/>
      <c r="I1430" s="9"/>
      <c r="J1430" s="9"/>
      <c r="K1430" s="9"/>
      <c r="L1430" s="9"/>
      <c r="M1430" s="9"/>
      <c r="N1430" s="9"/>
      <c r="O1430" s="9"/>
      <c r="P1430" s="9"/>
      <c r="Q1430" s="9"/>
      <c r="R1430" s="9"/>
      <c r="S1430" s="9"/>
      <c r="T1430" s="9"/>
      <c r="U1430" s="9"/>
      <c r="V1430" s="9"/>
      <c r="W1430" s="9"/>
      <c r="X1430" s="9"/>
      <c r="Y1430" s="9"/>
      <c r="Z1430" s="9"/>
      <c r="AA1430" s="9"/>
      <c r="AB1430" s="9"/>
      <c r="AC1430" s="9"/>
      <c r="AD1430" s="9"/>
      <c r="AE1430" s="9"/>
      <c r="AF1430" s="9"/>
      <c r="AG1430" s="9"/>
      <c r="AH1430" s="9"/>
      <c r="AI1430" s="9"/>
      <c r="AJ1430" s="9"/>
      <c r="AK1430" s="9"/>
      <c r="AL1430" s="9"/>
    </row>
    <row r="1431" spans="1:38">
      <c r="A1431" s="9"/>
      <c r="B1431" s="9"/>
      <c r="C1431" s="9"/>
      <c r="D1431" s="9"/>
      <c r="E1431" s="9"/>
      <c r="F1431" s="9"/>
      <c r="G1431" s="9"/>
      <c r="H1431" s="9"/>
      <c r="I1431" s="9"/>
      <c r="J1431" s="9"/>
      <c r="K1431" s="9"/>
      <c r="L1431" s="9"/>
      <c r="M1431" s="9"/>
      <c r="N1431" s="9"/>
      <c r="O1431" s="9"/>
      <c r="P1431" s="9"/>
      <c r="Q1431" s="9"/>
      <c r="R1431" s="9"/>
      <c r="S1431" s="9"/>
      <c r="T1431" s="9"/>
      <c r="U1431" s="9"/>
      <c r="V1431" s="9"/>
      <c r="W1431" s="9"/>
      <c r="X1431" s="9"/>
      <c r="Y1431" s="9"/>
      <c r="Z1431" s="9"/>
      <c r="AA1431" s="9"/>
      <c r="AB1431" s="9"/>
      <c r="AC1431" s="9"/>
      <c r="AD1431" s="9"/>
      <c r="AE1431" s="9"/>
      <c r="AF1431" s="9"/>
      <c r="AG1431" s="9"/>
      <c r="AH1431" s="9"/>
      <c r="AI1431" s="9"/>
      <c r="AJ1431" s="9"/>
      <c r="AK1431" s="9"/>
      <c r="AL1431" s="9"/>
    </row>
    <row r="1432" spans="1:38">
      <c r="A1432" s="9"/>
      <c r="B1432" s="9"/>
      <c r="C1432" s="9"/>
      <c r="D1432" s="9"/>
      <c r="E1432" s="9"/>
      <c r="F1432" s="9"/>
      <c r="G1432" s="9"/>
      <c r="H1432" s="9"/>
      <c r="I1432" s="9"/>
      <c r="J1432" s="9"/>
      <c r="K1432" s="9"/>
      <c r="L1432" s="9"/>
      <c r="M1432" s="9"/>
      <c r="N1432" s="9"/>
      <c r="O1432" s="9"/>
      <c r="P1432" s="9"/>
      <c r="Q1432" s="9"/>
      <c r="R1432" s="9"/>
      <c r="S1432" s="9"/>
      <c r="T1432" s="9"/>
      <c r="U1432" s="9"/>
      <c r="V1432" s="9"/>
      <c r="W1432" s="9"/>
      <c r="X1432" s="9"/>
      <c r="Y1432" s="9"/>
      <c r="Z1432" s="9"/>
      <c r="AA1432" s="9"/>
      <c r="AB1432" s="9"/>
      <c r="AC1432" s="9"/>
      <c r="AD1432" s="9"/>
      <c r="AE1432" s="9"/>
      <c r="AF1432" s="9"/>
      <c r="AG1432" s="9"/>
      <c r="AH1432" s="9"/>
      <c r="AI1432" s="9"/>
      <c r="AJ1432" s="9"/>
      <c r="AK1432" s="9"/>
      <c r="AL1432" s="9"/>
    </row>
    <row r="1433" spans="1:38">
      <c r="A1433" s="9"/>
      <c r="B1433" s="9"/>
      <c r="C1433" s="9"/>
      <c r="D1433" s="9"/>
      <c r="E1433" s="9"/>
      <c r="F1433" s="9"/>
      <c r="G1433" s="9"/>
      <c r="H1433" s="9"/>
      <c r="I1433" s="9"/>
      <c r="J1433" s="9"/>
      <c r="K1433" s="9"/>
      <c r="L1433" s="9"/>
      <c r="M1433" s="9"/>
      <c r="N1433" s="9"/>
      <c r="O1433" s="9"/>
      <c r="P1433" s="9"/>
      <c r="Q1433" s="9"/>
      <c r="R1433" s="9"/>
      <c r="S1433" s="9"/>
      <c r="T1433" s="9"/>
      <c r="U1433" s="9"/>
      <c r="V1433" s="9"/>
      <c r="W1433" s="9"/>
      <c r="X1433" s="9"/>
      <c r="Y1433" s="9"/>
      <c r="Z1433" s="9"/>
      <c r="AA1433" s="9"/>
      <c r="AB1433" s="9"/>
      <c r="AC1433" s="9"/>
      <c r="AD1433" s="9"/>
      <c r="AE1433" s="9"/>
      <c r="AF1433" s="9"/>
      <c r="AG1433" s="9"/>
      <c r="AH1433" s="9"/>
      <c r="AI1433" s="9"/>
      <c r="AJ1433" s="9"/>
      <c r="AK1433" s="9"/>
      <c r="AL1433" s="9"/>
    </row>
    <row r="1434" spans="1:38">
      <c r="A1434" s="9"/>
      <c r="B1434" s="9"/>
      <c r="C1434" s="9"/>
      <c r="D1434" s="9"/>
      <c r="E1434" s="9"/>
      <c r="F1434" s="9"/>
      <c r="G1434" s="9"/>
      <c r="H1434" s="9"/>
      <c r="I1434" s="9"/>
      <c r="J1434" s="9"/>
      <c r="K1434" s="9"/>
      <c r="L1434" s="9"/>
      <c r="M1434" s="9"/>
      <c r="N1434" s="9"/>
      <c r="O1434" s="9"/>
      <c r="P1434" s="9"/>
      <c r="Q1434" s="9"/>
      <c r="R1434" s="9"/>
      <c r="S1434" s="9"/>
      <c r="T1434" s="9"/>
      <c r="U1434" s="9"/>
      <c r="V1434" s="9"/>
      <c r="W1434" s="9"/>
      <c r="X1434" s="9"/>
      <c r="Y1434" s="9"/>
      <c r="Z1434" s="9"/>
      <c r="AA1434" s="9"/>
      <c r="AB1434" s="9"/>
      <c r="AC1434" s="9"/>
      <c r="AD1434" s="9"/>
      <c r="AE1434" s="9"/>
      <c r="AF1434" s="9"/>
      <c r="AG1434" s="9"/>
      <c r="AH1434" s="9"/>
      <c r="AI1434" s="9"/>
      <c r="AJ1434" s="9"/>
      <c r="AK1434" s="9"/>
      <c r="AL1434" s="9"/>
    </row>
    <row r="1435" spans="1:38">
      <c r="A1435" s="9"/>
      <c r="B1435" s="9"/>
      <c r="C1435" s="9"/>
      <c r="D1435" s="9"/>
      <c r="E1435" s="9"/>
      <c r="F1435" s="9"/>
      <c r="G1435" s="9"/>
      <c r="H1435" s="9"/>
      <c r="I1435" s="9"/>
      <c r="J1435" s="9"/>
      <c r="K1435" s="9"/>
      <c r="L1435" s="9"/>
      <c r="M1435" s="9"/>
      <c r="N1435" s="9"/>
      <c r="O1435" s="9"/>
      <c r="P1435" s="9"/>
      <c r="Q1435" s="9"/>
      <c r="R1435" s="9"/>
      <c r="S1435" s="9"/>
      <c r="T1435" s="9"/>
      <c r="U1435" s="9"/>
      <c r="V1435" s="9"/>
      <c r="W1435" s="9"/>
      <c r="X1435" s="9"/>
      <c r="Y1435" s="9"/>
      <c r="Z1435" s="9"/>
      <c r="AA1435" s="9"/>
      <c r="AB1435" s="9"/>
      <c r="AC1435" s="9"/>
      <c r="AD1435" s="9"/>
      <c r="AE1435" s="9"/>
      <c r="AF1435" s="9"/>
      <c r="AG1435" s="9"/>
      <c r="AH1435" s="9"/>
      <c r="AI1435" s="9"/>
      <c r="AJ1435" s="9"/>
      <c r="AK1435" s="9"/>
      <c r="AL1435" s="9"/>
    </row>
    <row r="1436" spans="1:38">
      <c r="A1436" s="9"/>
      <c r="B1436" s="9"/>
      <c r="C1436" s="9"/>
      <c r="D1436" s="9"/>
      <c r="E1436" s="9"/>
      <c r="F1436" s="9"/>
      <c r="G1436" s="9"/>
      <c r="H1436" s="9"/>
      <c r="I1436" s="9"/>
      <c r="J1436" s="9"/>
      <c r="K1436" s="9"/>
      <c r="L1436" s="9"/>
      <c r="M1436" s="9"/>
      <c r="N1436" s="9"/>
      <c r="O1436" s="9"/>
      <c r="P1436" s="9"/>
      <c r="Q1436" s="9"/>
      <c r="R1436" s="9"/>
      <c r="S1436" s="9"/>
      <c r="T1436" s="9"/>
      <c r="U1436" s="9"/>
      <c r="V1436" s="9"/>
      <c r="W1436" s="9"/>
      <c r="X1436" s="9"/>
      <c r="Y1436" s="9"/>
      <c r="Z1436" s="9"/>
      <c r="AA1436" s="9"/>
      <c r="AB1436" s="9"/>
      <c r="AC1436" s="9"/>
      <c r="AD1436" s="9"/>
      <c r="AE1436" s="9"/>
      <c r="AF1436" s="9"/>
      <c r="AG1436" s="9"/>
      <c r="AH1436" s="9"/>
      <c r="AI1436" s="9"/>
      <c r="AJ1436" s="9"/>
      <c r="AK1436" s="9"/>
      <c r="AL1436" s="9"/>
    </row>
    <row r="1437" spans="1:38">
      <c r="A1437" s="9"/>
      <c r="B1437" s="9"/>
      <c r="C1437" s="9"/>
      <c r="D1437" s="9"/>
      <c r="E1437" s="9"/>
      <c r="F1437" s="9"/>
      <c r="G1437" s="9"/>
      <c r="H1437" s="9"/>
      <c r="I1437" s="9"/>
      <c r="J1437" s="9"/>
      <c r="K1437" s="9"/>
      <c r="L1437" s="9"/>
      <c r="M1437" s="9"/>
      <c r="N1437" s="9"/>
      <c r="O1437" s="9"/>
      <c r="P1437" s="9"/>
      <c r="Q1437" s="9"/>
      <c r="R1437" s="9"/>
      <c r="S1437" s="9"/>
      <c r="T1437" s="9"/>
      <c r="U1437" s="9"/>
      <c r="V1437" s="9"/>
      <c r="W1437" s="9"/>
      <c r="X1437" s="9"/>
      <c r="Y1437" s="9"/>
      <c r="Z1437" s="9"/>
      <c r="AA1437" s="9"/>
      <c r="AB1437" s="9"/>
      <c r="AC1437" s="9"/>
      <c r="AD1437" s="9"/>
      <c r="AE1437" s="9"/>
      <c r="AF1437" s="9"/>
      <c r="AG1437" s="9"/>
      <c r="AH1437" s="9"/>
      <c r="AI1437" s="9"/>
      <c r="AJ1437" s="9"/>
      <c r="AK1437" s="9"/>
      <c r="AL1437" s="9"/>
    </row>
    <row r="1438" spans="1:38">
      <c r="A1438" s="9"/>
      <c r="B1438" s="9"/>
      <c r="C1438" s="9"/>
      <c r="D1438" s="9"/>
      <c r="E1438" s="9"/>
      <c r="F1438" s="9"/>
      <c r="G1438" s="9"/>
      <c r="H1438" s="9"/>
      <c r="I1438" s="9"/>
      <c r="J1438" s="9"/>
      <c r="K1438" s="9"/>
      <c r="L1438" s="9"/>
      <c r="M1438" s="9"/>
      <c r="N1438" s="9"/>
      <c r="O1438" s="9"/>
      <c r="P1438" s="9"/>
      <c r="Q1438" s="9"/>
      <c r="R1438" s="9"/>
      <c r="S1438" s="9"/>
      <c r="T1438" s="9"/>
      <c r="U1438" s="9"/>
      <c r="V1438" s="9"/>
      <c r="W1438" s="9"/>
      <c r="X1438" s="9"/>
      <c r="Y1438" s="9"/>
      <c r="Z1438" s="9"/>
      <c r="AA1438" s="9"/>
      <c r="AB1438" s="9"/>
      <c r="AC1438" s="9"/>
      <c r="AD1438" s="9"/>
      <c r="AE1438" s="9"/>
      <c r="AF1438" s="9"/>
      <c r="AG1438" s="9"/>
      <c r="AH1438" s="9"/>
      <c r="AI1438" s="9"/>
      <c r="AJ1438" s="9"/>
      <c r="AK1438" s="9"/>
      <c r="AL1438" s="9"/>
    </row>
    <row r="1439" spans="1:38">
      <c r="A1439" s="9"/>
      <c r="B1439" s="9"/>
      <c r="C1439" s="9"/>
      <c r="D1439" s="9"/>
      <c r="E1439" s="9"/>
      <c r="F1439" s="9"/>
      <c r="G1439" s="9"/>
      <c r="H1439" s="9"/>
      <c r="I1439" s="9"/>
      <c r="J1439" s="9"/>
      <c r="K1439" s="9"/>
      <c r="L1439" s="9"/>
      <c r="M1439" s="9"/>
      <c r="N1439" s="9"/>
      <c r="O1439" s="9"/>
      <c r="P1439" s="9"/>
      <c r="Q1439" s="9"/>
      <c r="R1439" s="9"/>
      <c r="S1439" s="9"/>
      <c r="T1439" s="9"/>
      <c r="U1439" s="9"/>
      <c r="V1439" s="9"/>
      <c r="W1439" s="9"/>
      <c r="X1439" s="9"/>
      <c r="Y1439" s="9"/>
      <c r="Z1439" s="9"/>
      <c r="AA1439" s="9"/>
      <c r="AB1439" s="9"/>
      <c r="AC1439" s="9"/>
      <c r="AD1439" s="9"/>
      <c r="AE1439" s="9"/>
      <c r="AF1439" s="9"/>
      <c r="AG1439" s="9"/>
      <c r="AH1439" s="9"/>
      <c r="AI1439" s="9"/>
      <c r="AJ1439" s="9"/>
      <c r="AK1439" s="9"/>
      <c r="AL1439" s="9"/>
    </row>
    <row r="1440" spans="1:38">
      <c r="A1440" s="9"/>
      <c r="B1440" s="9"/>
      <c r="C1440" s="9"/>
      <c r="D1440" s="9"/>
      <c r="E1440" s="9"/>
      <c r="F1440" s="9"/>
      <c r="G1440" s="9"/>
      <c r="H1440" s="9"/>
      <c r="I1440" s="9"/>
      <c r="J1440" s="9"/>
      <c r="K1440" s="9"/>
      <c r="L1440" s="9"/>
      <c r="M1440" s="9"/>
      <c r="N1440" s="9"/>
      <c r="O1440" s="9"/>
      <c r="P1440" s="9"/>
      <c r="Q1440" s="9"/>
      <c r="R1440" s="9"/>
      <c r="S1440" s="9"/>
      <c r="T1440" s="9"/>
      <c r="U1440" s="9"/>
      <c r="V1440" s="9"/>
      <c r="W1440" s="9"/>
      <c r="X1440" s="9"/>
      <c r="Y1440" s="9"/>
      <c r="Z1440" s="9"/>
      <c r="AA1440" s="9"/>
      <c r="AB1440" s="9"/>
      <c r="AC1440" s="9"/>
      <c r="AD1440" s="9"/>
      <c r="AE1440" s="9"/>
      <c r="AF1440" s="9"/>
      <c r="AG1440" s="9"/>
      <c r="AH1440" s="9"/>
      <c r="AI1440" s="9"/>
      <c r="AJ1440" s="9"/>
      <c r="AK1440" s="9"/>
      <c r="AL1440" s="9"/>
    </row>
    <row r="1441" spans="1:38">
      <c r="A1441" s="9"/>
      <c r="B1441" s="9"/>
      <c r="C1441" s="9"/>
      <c r="D1441" s="9"/>
      <c r="E1441" s="9"/>
      <c r="F1441" s="9"/>
      <c r="G1441" s="9"/>
      <c r="H1441" s="9"/>
      <c r="I1441" s="9"/>
      <c r="J1441" s="9"/>
      <c r="K1441" s="9"/>
      <c r="L1441" s="9"/>
      <c r="M1441" s="9"/>
      <c r="N1441" s="9"/>
      <c r="O1441" s="9"/>
      <c r="P1441" s="9"/>
      <c r="Q1441" s="9"/>
      <c r="R1441" s="9"/>
      <c r="S1441" s="9"/>
      <c r="T1441" s="9"/>
      <c r="U1441" s="9"/>
      <c r="V1441" s="9"/>
      <c r="W1441" s="9"/>
      <c r="X1441" s="9"/>
      <c r="Y1441" s="9"/>
      <c r="Z1441" s="9"/>
      <c r="AA1441" s="9"/>
      <c r="AB1441" s="9"/>
      <c r="AC1441" s="9"/>
      <c r="AD1441" s="9"/>
      <c r="AE1441" s="9"/>
      <c r="AF1441" s="9"/>
      <c r="AG1441" s="9"/>
      <c r="AH1441" s="9"/>
      <c r="AI1441" s="9"/>
      <c r="AJ1441" s="9"/>
      <c r="AK1441" s="9"/>
      <c r="AL1441" s="9"/>
    </row>
    <row r="1442" spans="1:38">
      <c r="A1442" s="9"/>
      <c r="B1442" s="9"/>
      <c r="C1442" s="9"/>
      <c r="D1442" s="9"/>
      <c r="E1442" s="9"/>
      <c r="F1442" s="9"/>
      <c r="G1442" s="9"/>
      <c r="H1442" s="9"/>
      <c r="I1442" s="9"/>
      <c r="J1442" s="9"/>
      <c r="K1442" s="9"/>
      <c r="L1442" s="9"/>
      <c r="M1442" s="9"/>
      <c r="N1442" s="9"/>
      <c r="O1442" s="9"/>
      <c r="P1442" s="9"/>
      <c r="Q1442" s="9"/>
      <c r="R1442" s="9"/>
      <c r="S1442" s="9"/>
      <c r="T1442" s="9"/>
      <c r="U1442" s="9"/>
      <c r="V1442" s="9"/>
      <c r="W1442" s="9"/>
      <c r="X1442" s="9"/>
      <c r="Y1442" s="9"/>
      <c r="Z1442" s="9"/>
      <c r="AA1442" s="9"/>
      <c r="AB1442" s="9"/>
      <c r="AC1442" s="9"/>
      <c r="AD1442" s="9"/>
      <c r="AE1442" s="9"/>
      <c r="AF1442" s="9"/>
      <c r="AG1442" s="9"/>
      <c r="AH1442" s="9"/>
      <c r="AI1442" s="9"/>
      <c r="AJ1442" s="9"/>
      <c r="AK1442" s="9"/>
      <c r="AL1442" s="9"/>
    </row>
    <row r="1443" spans="1:38">
      <c r="A1443" s="9"/>
      <c r="B1443" s="9"/>
      <c r="C1443" s="9"/>
      <c r="D1443" s="9"/>
      <c r="E1443" s="9"/>
      <c r="F1443" s="9"/>
      <c r="G1443" s="9"/>
      <c r="H1443" s="9"/>
      <c r="I1443" s="9"/>
      <c r="J1443" s="9"/>
      <c r="K1443" s="9"/>
      <c r="L1443" s="9"/>
      <c r="M1443" s="9"/>
      <c r="N1443" s="9"/>
      <c r="O1443" s="9"/>
      <c r="P1443" s="9"/>
      <c r="Q1443" s="9"/>
      <c r="R1443" s="9"/>
      <c r="S1443" s="9"/>
      <c r="T1443" s="9"/>
      <c r="U1443" s="9"/>
      <c r="V1443" s="9"/>
      <c r="W1443" s="9"/>
      <c r="X1443" s="9"/>
      <c r="Y1443" s="9"/>
      <c r="Z1443" s="9"/>
      <c r="AA1443" s="9"/>
      <c r="AB1443" s="9"/>
      <c r="AC1443" s="9"/>
      <c r="AD1443" s="9"/>
      <c r="AE1443" s="9"/>
      <c r="AF1443" s="9"/>
      <c r="AG1443" s="9"/>
      <c r="AH1443" s="9"/>
      <c r="AI1443" s="9"/>
      <c r="AJ1443" s="9"/>
      <c r="AK1443" s="9"/>
      <c r="AL1443" s="9"/>
    </row>
    <row r="1444" spans="1:38">
      <c r="A1444" s="9"/>
      <c r="B1444" s="9"/>
      <c r="C1444" s="9"/>
      <c r="D1444" s="9"/>
      <c r="E1444" s="9"/>
      <c r="F1444" s="9"/>
      <c r="G1444" s="9"/>
      <c r="H1444" s="9"/>
      <c r="I1444" s="9"/>
      <c r="J1444" s="9"/>
      <c r="K1444" s="9"/>
      <c r="L1444" s="9"/>
      <c r="M1444" s="9"/>
      <c r="N1444" s="9"/>
      <c r="O1444" s="9"/>
      <c r="P1444" s="9"/>
      <c r="Q1444" s="9"/>
      <c r="R1444" s="9"/>
      <c r="S1444" s="9"/>
      <c r="T1444" s="9"/>
      <c r="U1444" s="9"/>
      <c r="V1444" s="9"/>
      <c r="W1444" s="9"/>
      <c r="X1444" s="9"/>
      <c r="Y1444" s="9"/>
      <c r="Z1444" s="9"/>
      <c r="AA1444" s="9"/>
      <c r="AB1444" s="9"/>
      <c r="AC1444" s="9"/>
      <c r="AD1444" s="9"/>
      <c r="AE1444" s="9"/>
      <c r="AF1444" s="9"/>
      <c r="AG1444" s="9"/>
      <c r="AH1444" s="9"/>
      <c r="AI1444" s="9"/>
      <c r="AJ1444" s="9"/>
      <c r="AK1444" s="9"/>
      <c r="AL1444" s="9"/>
    </row>
    <row r="1445" spans="1:38">
      <c r="A1445" s="9"/>
      <c r="B1445" s="9"/>
      <c r="C1445" s="9"/>
      <c r="D1445" s="9"/>
      <c r="E1445" s="9"/>
      <c r="F1445" s="9"/>
      <c r="G1445" s="9"/>
      <c r="H1445" s="9"/>
      <c r="I1445" s="9"/>
      <c r="J1445" s="9"/>
      <c r="K1445" s="9"/>
      <c r="L1445" s="9"/>
      <c r="M1445" s="9"/>
      <c r="N1445" s="9"/>
      <c r="O1445" s="9"/>
      <c r="P1445" s="9"/>
      <c r="Q1445" s="9"/>
      <c r="R1445" s="9"/>
      <c r="S1445" s="9"/>
      <c r="T1445" s="9"/>
      <c r="U1445" s="9"/>
      <c r="V1445" s="9"/>
      <c r="W1445" s="9"/>
      <c r="X1445" s="9"/>
      <c r="Y1445" s="9"/>
      <c r="Z1445" s="9"/>
      <c r="AA1445" s="9"/>
      <c r="AB1445" s="9"/>
      <c r="AC1445" s="9"/>
      <c r="AD1445" s="9"/>
      <c r="AE1445" s="9"/>
      <c r="AF1445" s="9"/>
      <c r="AG1445" s="9"/>
      <c r="AH1445" s="9"/>
      <c r="AI1445" s="9"/>
      <c r="AJ1445" s="9"/>
      <c r="AK1445" s="9"/>
      <c r="AL1445" s="9"/>
    </row>
    <row r="1446" spans="1:38">
      <c r="A1446" s="9"/>
      <c r="B1446" s="9"/>
      <c r="C1446" s="9"/>
      <c r="D1446" s="9"/>
      <c r="E1446" s="9"/>
      <c r="F1446" s="9"/>
      <c r="G1446" s="9"/>
      <c r="H1446" s="9"/>
      <c r="I1446" s="9"/>
      <c r="J1446" s="9"/>
      <c r="K1446" s="9"/>
      <c r="L1446" s="9"/>
      <c r="M1446" s="9"/>
      <c r="N1446" s="9"/>
      <c r="O1446" s="9"/>
      <c r="P1446" s="9"/>
      <c r="Q1446" s="9"/>
      <c r="R1446" s="9"/>
      <c r="S1446" s="9"/>
      <c r="T1446" s="9"/>
      <c r="U1446" s="9"/>
      <c r="V1446" s="9"/>
      <c r="W1446" s="9"/>
      <c r="X1446" s="9"/>
      <c r="Y1446" s="9"/>
      <c r="Z1446" s="9"/>
      <c r="AA1446" s="9"/>
      <c r="AB1446" s="9"/>
      <c r="AC1446" s="9"/>
      <c r="AD1446" s="9"/>
      <c r="AE1446" s="9"/>
      <c r="AF1446" s="9"/>
      <c r="AG1446" s="9"/>
      <c r="AH1446" s="9"/>
      <c r="AI1446" s="9"/>
      <c r="AJ1446" s="9"/>
      <c r="AK1446" s="9"/>
      <c r="AL1446" s="9"/>
    </row>
    <row r="1447" spans="1:38">
      <c r="A1447" s="9"/>
      <c r="B1447" s="9"/>
      <c r="C1447" s="9"/>
      <c r="D1447" s="9"/>
      <c r="E1447" s="9"/>
      <c r="F1447" s="9"/>
      <c r="G1447" s="9"/>
      <c r="H1447" s="9"/>
      <c r="I1447" s="9"/>
      <c r="J1447" s="9"/>
      <c r="K1447" s="9"/>
      <c r="L1447" s="9"/>
      <c r="M1447" s="9"/>
      <c r="N1447" s="9"/>
      <c r="O1447" s="9"/>
      <c r="P1447" s="9"/>
      <c r="Q1447" s="9"/>
      <c r="R1447" s="9"/>
      <c r="S1447" s="9"/>
      <c r="T1447" s="9"/>
      <c r="U1447" s="9"/>
      <c r="V1447" s="9"/>
      <c r="W1447" s="9"/>
      <c r="X1447" s="9"/>
      <c r="Y1447" s="9"/>
      <c r="Z1447" s="9"/>
      <c r="AA1447" s="9"/>
      <c r="AB1447" s="9"/>
      <c r="AC1447" s="9"/>
      <c r="AD1447" s="9"/>
      <c r="AE1447" s="9"/>
      <c r="AF1447" s="9"/>
      <c r="AG1447" s="9"/>
      <c r="AH1447" s="9"/>
      <c r="AI1447" s="9"/>
      <c r="AJ1447" s="9"/>
      <c r="AK1447" s="9"/>
      <c r="AL1447" s="9"/>
    </row>
    <row r="1448" spans="1:38">
      <c r="A1448" s="9"/>
      <c r="B1448" s="9"/>
      <c r="C1448" s="9"/>
      <c r="D1448" s="9"/>
      <c r="E1448" s="9"/>
      <c r="F1448" s="9"/>
      <c r="G1448" s="9"/>
      <c r="H1448" s="9"/>
      <c r="I1448" s="9"/>
      <c r="J1448" s="9"/>
      <c r="K1448" s="9"/>
      <c r="L1448" s="9"/>
      <c r="M1448" s="9"/>
      <c r="N1448" s="9"/>
      <c r="O1448" s="9"/>
      <c r="P1448" s="9"/>
      <c r="Q1448" s="9"/>
      <c r="R1448" s="9"/>
      <c r="S1448" s="9"/>
      <c r="T1448" s="9"/>
      <c r="U1448" s="9"/>
      <c r="V1448" s="9"/>
      <c r="W1448" s="9"/>
      <c r="X1448" s="9"/>
      <c r="Y1448" s="9"/>
      <c r="Z1448" s="9"/>
      <c r="AA1448" s="9"/>
      <c r="AB1448" s="9"/>
      <c r="AC1448" s="9"/>
      <c r="AD1448" s="9"/>
      <c r="AE1448" s="9"/>
      <c r="AF1448" s="9"/>
      <c r="AG1448" s="9"/>
      <c r="AH1448" s="9"/>
      <c r="AI1448" s="9"/>
      <c r="AJ1448" s="9"/>
      <c r="AK1448" s="9"/>
      <c r="AL1448" s="9"/>
    </row>
    <row r="1449" spans="1:38">
      <c r="A1449" s="9"/>
      <c r="B1449" s="9"/>
      <c r="C1449" s="9"/>
      <c r="D1449" s="9"/>
      <c r="E1449" s="9"/>
      <c r="F1449" s="9"/>
      <c r="G1449" s="9"/>
      <c r="H1449" s="9"/>
      <c r="I1449" s="9"/>
      <c r="J1449" s="9"/>
      <c r="K1449" s="9"/>
      <c r="L1449" s="9"/>
      <c r="M1449" s="9"/>
      <c r="N1449" s="9"/>
      <c r="O1449" s="9"/>
      <c r="P1449" s="9"/>
      <c r="Q1449" s="9"/>
      <c r="R1449" s="9"/>
      <c r="S1449" s="9"/>
      <c r="T1449" s="9"/>
      <c r="U1449" s="9"/>
      <c r="V1449" s="9"/>
      <c r="W1449" s="9"/>
      <c r="X1449" s="9"/>
      <c r="Y1449" s="9"/>
      <c r="Z1449" s="9"/>
      <c r="AA1449" s="9"/>
      <c r="AB1449" s="9"/>
      <c r="AC1449" s="9"/>
      <c r="AD1449" s="9"/>
      <c r="AE1449" s="9"/>
      <c r="AF1449" s="9"/>
      <c r="AG1449" s="9"/>
      <c r="AH1449" s="9"/>
      <c r="AI1449" s="9"/>
      <c r="AJ1449" s="9"/>
      <c r="AK1449" s="9"/>
      <c r="AL1449" s="9"/>
    </row>
    <row r="1450" spans="1:38">
      <c r="A1450" s="9"/>
      <c r="B1450" s="9"/>
      <c r="C1450" s="9"/>
      <c r="D1450" s="9"/>
      <c r="E1450" s="9"/>
      <c r="F1450" s="9"/>
      <c r="G1450" s="9"/>
      <c r="H1450" s="9"/>
      <c r="I1450" s="9"/>
      <c r="J1450" s="9"/>
      <c r="K1450" s="9"/>
      <c r="L1450" s="9"/>
      <c r="M1450" s="9"/>
      <c r="N1450" s="9"/>
      <c r="O1450" s="9"/>
      <c r="P1450" s="9"/>
      <c r="Q1450" s="9"/>
      <c r="R1450" s="9"/>
      <c r="S1450" s="9"/>
      <c r="T1450" s="9"/>
      <c r="U1450" s="9"/>
      <c r="V1450" s="9"/>
      <c r="W1450" s="9"/>
      <c r="X1450" s="9"/>
      <c r="Y1450" s="9"/>
      <c r="Z1450" s="9"/>
      <c r="AA1450" s="9"/>
      <c r="AB1450" s="9"/>
      <c r="AC1450" s="9"/>
      <c r="AD1450" s="9"/>
      <c r="AE1450" s="9"/>
      <c r="AF1450" s="9"/>
      <c r="AG1450" s="9"/>
      <c r="AH1450" s="9"/>
      <c r="AI1450" s="9"/>
      <c r="AJ1450" s="9"/>
      <c r="AK1450" s="9"/>
      <c r="AL1450" s="9"/>
    </row>
    <row r="1451" spans="1:38">
      <c r="A1451" s="9"/>
      <c r="B1451" s="9"/>
      <c r="C1451" s="9"/>
      <c r="D1451" s="9"/>
      <c r="E1451" s="9"/>
      <c r="F1451" s="9"/>
      <c r="G1451" s="9"/>
      <c r="H1451" s="9"/>
      <c r="I1451" s="9"/>
      <c r="J1451" s="9"/>
      <c r="K1451" s="9"/>
      <c r="L1451" s="9"/>
      <c r="M1451" s="9"/>
      <c r="N1451" s="9"/>
      <c r="O1451" s="9"/>
      <c r="P1451" s="9"/>
      <c r="Q1451" s="9"/>
      <c r="R1451" s="9"/>
      <c r="S1451" s="9"/>
      <c r="T1451" s="9"/>
      <c r="U1451" s="9"/>
      <c r="V1451" s="9"/>
      <c r="W1451" s="9"/>
      <c r="X1451" s="9"/>
      <c r="Y1451" s="9"/>
      <c r="Z1451" s="9"/>
      <c r="AA1451" s="9"/>
      <c r="AB1451" s="9"/>
      <c r="AC1451" s="9"/>
      <c r="AD1451" s="9"/>
      <c r="AE1451" s="9"/>
      <c r="AF1451" s="9"/>
      <c r="AG1451" s="9"/>
      <c r="AH1451" s="9"/>
      <c r="AI1451" s="9"/>
      <c r="AJ1451" s="9"/>
      <c r="AK1451" s="9"/>
      <c r="AL1451" s="9"/>
    </row>
    <row r="1452" spans="1:38">
      <c r="A1452" s="9"/>
      <c r="B1452" s="9"/>
      <c r="C1452" s="9"/>
      <c r="D1452" s="9"/>
      <c r="E1452" s="9"/>
      <c r="F1452" s="9"/>
      <c r="G1452" s="9"/>
      <c r="H1452" s="9"/>
      <c r="I1452" s="9"/>
      <c r="J1452" s="9"/>
      <c r="K1452" s="9"/>
      <c r="L1452" s="9"/>
      <c r="M1452" s="9"/>
      <c r="N1452" s="9"/>
      <c r="O1452" s="9"/>
      <c r="P1452" s="9"/>
      <c r="Q1452" s="9"/>
      <c r="R1452" s="9"/>
      <c r="S1452" s="9"/>
      <c r="T1452" s="9"/>
      <c r="U1452" s="9"/>
      <c r="V1452" s="9"/>
      <c r="W1452" s="9"/>
      <c r="X1452" s="9"/>
      <c r="Y1452" s="9"/>
      <c r="Z1452" s="9"/>
      <c r="AA1452" s="9"/>
      <c r="AB1452" s="9"/>
      <c r="AC1452" s="9"/>
      <c r="AD1452" s="9"/>
      <c r="AE1452" s="9"/>
      <c r="AF1452" s="9"/>
      <c r="AG1452" s="9"/>
      <c r="AH1452" s="9"/>
      <c r="AI1452" s="9"/>
      <c r="AJ1452" s="9"/>
      <c r="AK1452" s="9"/>
      <c r="AL1452" s="9"/>
    </row>
    <row r="1453" spans="1:38">
      <c r="A1453" s="9"/>
      <c r="B1453" s="9"/>
      <c r="C1453" s="9"/>
      <c r="D1453" s="9"/>
      <c r="E1453" s="9"/>
      <c r="F1453" s="9"/>
      <c r="G1453" s="9"/>
      <c r="H1453" s="9"/>
      <c r="I1453" s="9"/>
      <c r="J1453" s="9"/>
      <c r="K1453" s="9"/>
      <c r="L1453" s="9"/>
      <c r="M1453" s="9"/>
      <c r="N1453" s="9"/>
      <c r="O1453" s="9"/>
      <c r="P1453" s="9"/>
      <c r="Q1453" s="9"/>
      <c r="R1453" s="9"/>
      <c r="S1453" s="9"/>
      <c r="T1453" s="9"/>
      <c r="U1453" s="9"/>
      <c r="V1453" s="9"/>
      <c r="W1453" s="9"/>
      <c r="X1453" s="9"/>
      <c r="Y1453" s="9"/>
      <c r="Z1453" s="9"/>
      <c r="AA1453" s="9"/>
      <c r="AB1453" s="9"/>
      <c r="AC1453" s="9"/>
      <c r="AD1453" s="9"/>
      <c r="AE1453" s="9"/>
      <c r="AF1453" s="9"/>
      <c r="AG1453" s="9"/>
      <c r="AH1453" s="9"/>
      <c r="AI1453" s="9"/>
      <c r="AJ1453" s="9"/>
      <c r="AK1453" s="9"/>
      <c r="AL1453" s="9"/>
    </row>
    <row r="1454" spans="1:38">
      <c r="A1454" s="9"/>
      <c r="B1454" s="9"/>
      <c r="C1454" s="9"/>
      <c r="D1454" s="9"/>
      <c r="E1454" s="9"/>
      <c r="F1454" s="9"/>
      <c r="G1454" s="9"/>
      <c r="H1454" s="9"/>
      <c r="I1454" s="9"/>
      <c r="J1454" s="9"/>
      <c r="K1454" s="9"/>
      <c r="L1454" s="9"/>
      <c r="M1454" s="9"/>
      <c r="N1454" s="9"/>
      <c r="O1454" s="9"/>
      <c r="P1454" s="9"/>
      <c r="Q1454" s="9"/>
      <c r="R1454" s="9"/>
      <c r="S1454" s="9"/>
      <c r="T1454" s="9"/>
      <c r="U1454" s="9"/>
      <c r="V1454" s="9"/>
      <c r="W1454" s="9"/>
      <c r="X1454" s="9"/>
      <c r="Y1454" s="9"/>
      <c r="Z1454" s="9"/>
      <c r="AA1454" s="9"/>
      <c r="AB1454" s="9"/>
      <c r="AC1454" s="9"/>
      <c r="AD1454" s="9"/>
      <c r="AE1454" s="9"/>
      <c r="AF1454" s="9"/>
      <c r="AG1454" s="9"/>
      <c r="AH1454" s="9"/>
      <c r="AI1454" s="9"/>
      <c r="AJ1454" s="9"/>
      <c r="AK1454" s="9"/>
      <c r="AL1454" s="9"/>
    </row>
    <row r="1455" spans="1:38">
      <c r="A1455" s="9"/>
      <c r="B1455" s="9"/>
      <c r="C1455" s="9"/>
      <c r="D1455" s="9"/>
      <c r="E1455" s="9"/>
      <c r="F1455" s="9"/>
      <c r="G1455" s="9"/>
      <c r="H1455" s="9"/>
      <c r="I1455" s="9"/>
      <c r="J1455" s="9"/>
      <c r="K1455" s="9"/>
      <c r="L1455" s="9"/>
      <c r="M1455" s="9"/>
      <c r="N1455" s="9"/>
      <c r="O1455" s="9"/>
      <c r="P1455" s="9"/>
      <c r="Q1455" s="9"/>
      <c r="R1455" s="9"/>
      <c r="S1455" s="9"/>
      <c r="T1455" s="9"/>
      <c r="U1455" s="9"/>
      <c r="V1455" s="9"/>
      <c r="W1455" s="9"/>
      <c r="X1455" s="9"/>
      <c r="Y1455" s="9"/>
      <c r="Z1455" s="9"/>
      <c r="AA1455" s="9"/>
      <c r="AB1455" s="9"/>
      <c r="AC1455" s="9"/>
      <c r="AD1455" s="9"/>
      <c r="AE1455" s="9"/>
      <c r="AF1455" s="9"/>
      <c r="AG1455" s="9"/>
      <c r="AH1455" s="9"/>
      <c r="AI1455" s="9"/>
      <c r="AJ1455" s="9"/>
      <c r="AK1455" s="9"/>
      <c r="AL1455" s="9"/>
    </row>
    <row r="1456" spans="1:38">
      <c r="A1456" s="9"/>
      <c r="B1456" s="9"/>
      <c r="C1456" s="9"/>
      <c r="D1456" s="9"/>
      <c r="E1456" s="9"/>
      <c r="F1456" s="9"/>
      <c r="G1456" s="9"/>
      <c r="H1456" s="9"/>
      <c r="I1456" s="9"/>
      <c r="J1456" s="9"/>
      <c r="K1456" s="9"/>
      <c r="L1456" s="9"/>
      <c r="M1456" s="9"/>
      <c r="N1456" s="9"/>
      <c r="O1456" s="9"/>
      <c r="P1456" s="9"/>
      <c r="Q1456" s="9"/>
      <c r="R1456" s="9"/>
      <c r="S1456" s="9"/>
      <c r="T1456" s="9"/>
      <c r="U1456" s="9"/>
      <c r="V1456" s="9"/>
      <c r="W1456" s="9"/>
      <c r="X1456" s="9"/>
      <c r="Y1456" s="9"/>
      <c r="Z1456" s="9"/>
      <c r="AA1456" s="9"/>
      <c r="AB1456" s="9"/>
      <c r="AC1456" s="9"/>
      <c r="AD1456" s="9"/>
      <c r="AE1456" s="9"/>
      <c r="AF1456" s="9"/>
      <c r="AG1456" s="9"/>
      <c r="AH1456" s="9"/>
      <c r="AI1456" s="9"/>
      <c r="AJ1456" s="9"/>
      <c r="AK1456" s="9"/>
      <c r="AL1456" s="9"/>
    </row>
    <row r="1457" spans="1:38">
      <c r="A1457" s="9"/>
      <c r="B1457" s="9"/>
      <c r="C1457" s="9"/>
      <c r="D1457" s="9"/>
      <c r="E1457" s="9"/>
      <c r="F1457" s="9"/>
      <c r="G1457" s="9"/>
      <c r="H1457" s="9"/>
      <c r="I1457" s="9"/>
      <c r="J1457" s="9"/>
      <c r="K1457" s="9"/>
      <c r="L1457" s="9"/>
      <c r="M1457" s="9"/>
      <c r="N1457" s="9"/>
      <c r="O1457" s="9"/>
      <c r="P1457" s="9"/>
      <c r="Q1457" s="9"/>
      <c r="R1457" s="9"/>
      <c r="S1457" s="9"/>
      <c r="T1457" s="9"/>
      <c r="U1457" s="9"/>
      <c r="V1457" s="9"/>
      <c r="W1457" s="9"/>
      <c r="X1457" s="9"/>
      <c r="Y1457" s="9"/>
      <c r="Z1457" s="9"/>
      <c r="AA1457" s="9"/>
      <c r="AB1457" s="9"/>
      <c r="AC1457" s="9"/>
      <c r="AD1457" s="9"/>
      <c r="AE1457" s="9"/>
      <c r="AF1457" s="9"/>
      <c r="AG1457" s="9"/>
      <c r="AH1457" s="9"/>
      <c r="AI1457" s="9"/>
      <c r="AJ1457" s="9"/>
      <c r="AK1457" s="9"/>
      <c r="AL1457" s="9"/>
    </row>
    <row r="1458" spans="1:38">
      <c r="A1458" s="9"/>
      <c r="B1458" s="9"/>
      <c r="C1458" s="9"/>
      <c r="D1458" s="9"/>
      <c r="E1458" s="9"/>
      <c r="F1458" s="9"/>
      <c r="G1458" s="9"/>
      <c r="H1458" s="9"/>
      <c r="I1458" s="9"/>
      <c r="J1458" s="9"/>
      <c r="K1458" s="9"/>
      <c r="L1458" s="9"/>
      <c r="M1458" s="9"/>
      <c r="N1458" s="9"/>
      <c r="O1458" s="9"/>
      <c r="P1458" s="9"/>
      <c r="Q1458" s="9"/>
      <c r="R1458" s="9"/>
      <c r="S1458" s="9"/>
      <c r="T1458" s="9"/>
      <c r="U1458" s="9"/>
      <c r="V1458" s="9"/>
      <c r="W1458" s="9"/>
      <c r="X1458" s="9"/>
      <c r="Y1458" s="9"/>
      <c r="Z1458" s="9"/>
      <c r="AA1458" s="9"/>
      <c r="AB1458" s="9"/>
      <c r="AC1458" s="9"/>
      <c r="AD1458" s="9"/>
      <c r="AE1458" s="9"/>
      <c r="AF1458" s="9"/>
      <c r="AG1458" s="9"/>
      <c r="AH1458" s="9"/>
      <c r="AI1458" s="9"/>
      <c r="AJ1458" s="9"/>
      <c r="AK1458" s="9"/>
      <c r="AL1458" s="9"/>
    </row>
    <row r="1459" spans="1:38">
      <c r="A1459" s="9"/>
      <c r="B1459" s="9"/>
      <c r="C1459" s="9"/>
      <c r="D1459" s="9"/>
      <c r="E1459" s="9"/>
      <c r="F1459" s="9"/>
      <c r="G1459" s="9"/>
      <c r="H1459" s="9"/>
      <c r="I1459" s="9"/>
      <c r="J1459" s="9"/>
      <c r="K1459" s="9"/>
      <c r="L1459" s="9"/>
      <c r="M1459" s="9"/>
      <c r="N1459" s="9"/>
      <c r="O1459" s="9"/>
      <c r="P1459" s="9"/>
      <c r="Q1459" s="9"/>
      <c r="R1459" s="9"/>
      <c r="S1459" s="9"/>
      <c r="T1459" s="9"/>
      <c r="U1459" s="9"/>
      <c r="V1459" s="9"/>
      <c r="W1459" s="9"/>
      <c r="X1459" s="9"/>
      <c r="Y1459" s="9"/>
      <c r="Z1459" s="9"/>
      <c r="AA1459" s="9"/>
      <c r="AB1459" s="9"/>
      <c r="AC1459" s="9"/>
      <c r="AD1459" s="9"/>
      <c r="AE1459" s="9"/>
      <c r="AF1459" s="9"/>
      <c r="AG1459" s="9"/>
      <c r="AH1459" s="9"/>
      <c r="AI1459" s="9"/>
      <c r="AJ1459" s="9"/>
      <c r="AK1459" s="9"/>
      <c r="AL1459" s="9"/>
    </row>
    <row r="1460" spans="1:38">
      <c r="A1460" s="9"/>
      <c r="B1460" s="9"/>
      <c r="C1460" s="9"/>
      <c r="D1460" s="9"/>
      <c r="E1460" s="9"/>
      <c r="F1460" s="9"/>
      <c r="G1460" s="9"/>
      <c r="H1460" s="9"/>
      <c r="I1460" s="9"/>
      <c r="J1460" s="9"/>
      <c r="K1460" s="9"/>
      <c r="L1460" s="9"/>
      <c r="M1460" s="9"/>
      <c r="N1460" s="9"/>
      <c r="O1460" s="9"/>
      <c r="P1460" s="9"/>
      <c r="Q1460" s="9"/>
      <c r="R1460" s="9"/>
      <c r="S1460" s="9"/>
      <c r="T1460" s="9"/>
      <c r="U1460" s="9"/>
      <c r="V1460" s="9"/>
      <c r="W1460" s="9"/>
      <c r="X1460" s="9"/>
      <c r="Y1460" s="9"/>
      <c r="Z1460" s="9"/>
      <c r="AA1460" s="9"/>
      <c r="AB1460" s="9"/>
      <c r="AC1460" s="9"/>
      <c r="AD1460" s="9"/>
      <c r="AE1460" s="9"/>
      <c r="AF1460" s="9"/>
      <c r="AG1460" s="9"/>
      <c r="AH1460" s="9"/>
      <c r="AI1460" s="9"/>
      <c r="AJ1460" s="9"/>
      <c r="AK1460" s="9"/>
      <c r="AL1460" s="9"/>
    </row>
    <row r="1461" spans="1:38">
      <c r="A1461" s="9"/>
      <c r="B1461" s="9"/>
      <c r="C1461" s="9"/>
      <c r="D1461" s="9"/>
      <c r="E1461" s="9"/>
      <c r="F1461" s="9"/>
      <c r="G1461" s="9"/>
      <c r="H1461" s="9"/>
      <c r="I1461" s="9"/>
      <c r="J1461" s="9"/>
      <c r="K1461" s="9"/>
      <c r="L1461" s="9"/>
      <c r="M1461" s="9"/>
      <c r="N1461" s="9"/>
      <c r="O1461" s="9"/>
      <c r="P1461" s="9"/>
      <c r="Q1461" s="9"/>
      <c r="R1461" s="9"/>
      <c r="S1461" s="9"/>
      <c r="T1461" s="9"/>
      <c r="U1461" s="9"/>
      <c r="V1461" s="9"/>
      <c r="W1461" s="9"/>
      <c r="X1461" s="9"/>
      <c r="Y1461" s="9"/>
      <c r="Z1461" s="9"/>
      <c r="AA1461" s="9"/>
      <c r="AB1461" s="9"/>
      <c r="AC1461" s="9"/>
      <c r="AD1461" s="9"/>
      <c r="AE1461" s="9"/>
      <c r="AF1461" s="9"/>
      <c r="AG1461" s="9"/>
      <c r="AH1461" s="9"/>
      <c r="AI1461" s="9"/>
      <c r="AJ1461" s="9"/>
      <c r="AK1461" s="9"/>
      <c r="AL1461" s="9"/>
    </row>
    <row r="1462" spans="1:38">
      <c r="A1462" s="9"/>
      <c r="B1462" s="9"/>
      <c r="C1462" s="9"/>
      <c r="D1462" s="9"/>
      <c r="E1462" s="9"/>
      <c r="F1462" s="9"/>
      <c r="G1462" s="9"/>
      <c r="H1462" s="9"/>
      <c r="I1462" s="9"/>
      <c r="J1462" s="9"/>
      <c r="K1462" s="9"/>
      <c r="L1462" s="9"/>
      <c r="M1462" s="9"/>
      <c r="N1462" s="9"/>
      <c r="O1462" s="9"/>
      <c r="P1462" s="9"/>
      <c r="Q1462" s="9"/>
      <c r="R1462" s="9"/>
      <c r="S1462" s="9"/>
      <c r="T1462" s="9"/>
      <c r="U1462" s="9"/>
      <c r="V1462" s="9"/>
      <c r="W1462" s="9"/>
      <c r="X1462" s="9"/>
      <c r="Y1462" s="9"/>
      <c r="Z1462" s="9"/>
      <c r="AA1462" s="9"/>
      <c r="AB1462" s="9"/>
      <c r="AC1462" s="9"/>
      <c r="AD1462" s="9"/>
      <c r="AE1462" s="9"/>
      <c r="AF1462" s="9"/>
      <c r="AG1462" s="9"/>
      <c r="AH1462" s="9"/>
      <c r="AI1462" s="9"/>
      <c r="AJ1462" s="9"/>
      <c r="AK1462" s="9"/>
      <c r="AL1462" s="9"/>
    </row>
    <row r="1463" spans="1:38">
      <c r="A1463" s="9"/>
      <c r="B1463" s="9"/>
      <c r="C1463" s="9"/>
      <c r="D1463" s="9"/>
      <c r="E1463" s="9"/>
      <c r="F1463" s="9"/>
      <c r="G1463" s="9"/>
      <c r="H1463" s="9"/>
      <c r="I1463" s="9"/>
      <c r="J1463" s="9"/>
      <c r="K1463" s="9"/>
      <c r="L1463" s="9"/>
      <c r="M1463" s="9"/>
      <c r="N1463" s="9"/>
      <c r="O1463" s="9"/>
      <c r="P1463" s="9"/>
      <c r="Q1463" s="9"/>
      <c r="R1463" s="9"/>
      <c r="S1463" s="9"/>
      <c r="T1463" s="9"/>
      <c r="U1463" s="9"/>
      <c r="V1463" s="9"/>
      <c r="W1463" s="9"/>
      <c r="X1463" s="9"/>
      <c r="Y1463" s="9"/>
      <c r="Z1463" s="9"/>
      <c r="AA1463" s="9"/>
      <c r="AB1463" s="9"/>
      <c r="AC1463" s="9"/>
      <c r="AD1463" s="9"/>
      <c r="AE1463" s="9"/>
      <c r="AF1463" s="9"/>
      <c r="AG1463" s="9"/>
      <c r="AH1463" s="9"/>
      <c r="AI1463" s="9"/>
      <c r="AJ1463" s="9"/>
      <c r="AK1463" s="9"/>
      <c r="AL1463" s="9"/>
    </row>
    <row r="1464" spans="1:38">
      <c r="A1464" s="9"/>
      <c r="B1464" s="9"/>
      <c r="C1464" s="9"/>
      <c r="D1464" s="9"/>
      <c r="E1464" s="9"/>
      <c r="F1464" s="9"/>
      <c r="G1464" s="9"/>
      <c r="H1464" s="9"/>
      <c r="I1464" s="9"/>
      <c r="J1464" s="9"/>
      <c r="K1464" s="9"/>
      <c r="L1464" s="9"/>
      <c r="M1464" s="9"/>
      <c r="N1464" s="9"/>
      <c r="O1464" s="9"/>
      <c r="P1464" s="9"/>
      <c r="Q1464" s="9"/>
      <c r="R1464" s="9"/>
      <c r="S1464" s="9"/>
      <c r="T1464" s="9"/>
      <c r="U1464" s="9"/>
      <c r="V1464" s="9"/>
      <c r="W1464" s="9"/>
      <c r="X1464" s="9"/>
      <c r="Y1464" s="9"/>
      <c r="Z1464" s="9"/>
      <c r="AA1464" s="9"/>
      <c r="AB1464" s="9"/>
      <c r="AC1464" s="9"/>
      <c r="AD1464" s="9"/>
      <c r="AE1464" s="9"/>
      <c r="AF1464" s="9"/>
      <c r="AG1464" s="9"/>
      <c r="AH1464" s="9"/>
      <c r="AI1464" s="9"/>
      <c r="AJ1464" s="9"/>
      <c r="AK1464" s="9"/>
      <c r="AL1464" s="9"/>
    </row>
    <row r="1465" spans="1:38">
      <c r="A1465" s="9"/>
      <c r="B1465" s="9"/>
      <c r="C1465" s="9"/>
      <c r="D1465" s="9"/>
      <c r="E1465" s="9"/>
      <c r="F1465" s="9"/>
      <c r="G1465" s="9"/>
      <c r="H1465" s="9"/>
      <c r="I1465" s="9"/>
      <c r="J1465" s="9"/>
      <c r="K1465" s="9"/>
      <c r="L1465" s="9"/>
      <c r="M1465" s="9"/>
      <c r="N1465" s="9"/>
      <c r="O1465" s="9"/>
      <c r="P1465" s="9"/>
      <c r="Q1465" s="9"/>
      <c r="R1465" s="9"/>
      <c r="S1465" s="9"/>
      <c r="T1465" s="9"/>
      <c r="U1465" s="9"/>
      <c r="V1465" s="9"/>
      <c r="W1465" s="9"/>
      <c r="X1465" s="9"/>
      <c r="Y1465" s="9"/>
      <c r="Z1465" s="9"/>
      <c r="AA1465" s="9"/>
      <c r="AB1465" s="9"/>
      <c r="AC1465" s="9"/>
      <c r="AD1465" s="9"/>
      <c r="AE1465" s="9"/>
      <c r="AF1465" s="9"/>
      <c r="AG1465" s="9"/>
      <c r="AH1465" s="9"/>
      <c r="AI1465" s="9"/>
      <c r="AJ1465" s="9"/>
      <c r="AK1465" s="9"/>
      <c r="AL1465" s="9"/>
    </row>
    <row r="1466" spans="1:38">
      <c r="A1466" s="11"/>
      <c r="B1466" s="11"/>
      <c r="C1466" s="11"/>
      <c r="D1466" s="11"/>
      <c r="E1466" s="11"/>
      <c r="F1466" s="11"/>
      <c r="G1466" s="11"/>
      <c r="H1466" s="11"/>
      <c r="I1466" s="11"/>
      <c r="J1466" s="11"/>
      <c r="K1466" s="11"/>
      <c r="L1466" s="11"/>
      <c r="M1466" s="11"/>
      <c r="N1466" s="11"/>
      <c r="O1466" s="11"/>
      <c r="P1466" s="11"/>
      <c r="Q1466" s="11"/>
      <c r="R1466" s="11"/>
      <c r="S1466" s="11"/>
      <c r="T1466" s="11"/>
      <c r="U1466" s="11"/>
      <c r="V1466" s="11"/>
      <c r="W1466" s="11"/>
      <c r="X1466" s="11"/>
      <c r="Y1466" s="11"/>
      <c r="Z1466" s="11"/>
      <c r="AA1466" s="11"/>
      <c r="AB1466" s="11"/>
      <c r="AC1466" s="11"/>
      <c r="AD1466" s="11"/>
      <c r="AE1466" s="11"/>
      <c r="AF1466" s="11"/>
      <c r="AG1466" s="11"/>
      <c r="AH1466" s="11"/>
      <c r="AI1466" s="11"/>
      <c r="AJ1466" s="11"/>
      <c r="AK1466" s="11"/>
      <c r="AL1466" s="11"/>
    </row>
    <row r="1467" spans="1:38">
      <c r="A1467" s="9"/>
      <c r="B1467" s="9"/>
      <c r="C1467" s="9"/>
      <c r="D1467" s="9"/>
      <c r="E1467" s="9"/>
      <c r="F1467" s="9"/>
      <c r="G1467" s="9"/>
      <c r="H1467" s="9"/>
      <c r="I1467" s="9"/>
      <c r="J1467" s="9"/>
      <c r="K1467" s="9"/>
      <c r="L1467" s="9"/>
      <c r="M1467" s="9"/>
      <c r="N1467" s="9"/>
      <c r="O1467" s="9"/>
      <c r="P1467" s="9"/>
      <c r="Q1467" s="9"/>
      <c r="R1467" s="9"/>
      <c r="S1467" s="9"/>
      <c r="T1467" s="9"/>
      <c r="U1467" s="9"/>
      <c r="V1467" s="9"/>
      <c r="W1467" s="9"/>
      <c r="X1467" s="9"/>
      <c r="Y1467" s="9"/>
      <c r="Z1467" s="9"/>
      <c r="AA1467" s="9"/>
      <c r="AB1467" s="9"/>
      <c r="AC1467" s="9"/>
      <c r="AD1467" s="9"/>
      <c r="AE1467" s="9"/>
      <c r="AF1467" s="9"/>
      <c r="AG1467" s="9"/>
      <c r="AH1467" s="9"/>
      <c r="AI1467" s="9"/>
      <c r="AJ1467" s="9"/>
      <c r="AK1467" s="9"/>
      <c r="AL1467" s="9"/>
    </row>
    <row r="1475" spans="1:38">
      <c r="A1475" s="9"/>
      <c r="B1475" s="9"/>
      <c r="C1475" s="9"/>
      <c r="D1475" s="9"/>
      <c r="E1475" s="9"/>
      <c r="F1475" s="9"/>
      <c r="G1475" s="9"/>
      <c r="H1475" s="9"/>
      <c r="I1475" s="9"/>
      <c r="J1475" s="9"/>
      <c r="K1475" s="9"/>
      <c r="L1475" s="9"/>
      <c r="M1475" s="9"/>
      <c r="N1475" s="9"/>
      <c r="O1475" s="9"/>
      <c r="P1475" s="9"/>
      <c r="Q1475" s="9"/>
      <c r="R1475" s="9"/>
      <c r="S1475" s="9"/>
      <c r="T1475" s="9"/>
      <c r="U1475" s="9"/>
      <c r="V1475" s="9"/>
      <c r="W1475" s="9"/>
      <c r="X1475" s="9"/>
      <c r="Y1475" s="9"/>
      <c r="Z1475" s="9"/>
      <c r="AA1475" s="9"/>
      <c r="AB1475" s="9"/>
      <c r="AC1475" s="9"/>
      <c r="AD1475" s="9"/>
      <c r="AE1475" s="9"/>
      <c r="AF1475" s="9"/>
      <c r="AG1475" s="9"/>
      <c r="AH1475" s="9"/>
      <c r="AI1475" s="9"/>
      <c r="AJ1475" s="9"/>
      <c r="AK1475" s="9"/>
      <c r="AL1475" s="9"/>
    </row>
    <row r="1476" spans="1:38">
      <c r="A1476" s="14"/>
      <c r="B1476" s="14"/>
      <c r="C1476" s="14"/>
      <c r="D1476" s="14"/>
      <c r="E1476" s="14"/>
      <c r="F1476" s="14"/>
      <c r="G1476" s="14"/>
      <c r="H1476" s="14"/>
      <c r="I1476" s="14"/>
      <c r="J1476" s="14"/>
      <c r="K1476" s="14"/>
      <c r="L1476" s="14"/>
      <c r="M1476" s="14"/>
      <c r="N1476" s="14"/>
      <c r="O1476" s="14"/>
      <c r="P1476" s="14"/>
      <c r="Q1476" s="14"/>
      <c r="R1476" s="14"/>
      <c r="S1476" s="14"/>
      <c r="T1476" s="14"/>
      <c r="U1476" s="14"/>
      <c r="V1476" s="14"/>
      <c r="W1476" s="14"/>
      <c r="X1476" s="14"/>
      <c r="Y1476" s="14"/>
      <c r="Z1476" s="14"/>
      <c r="AA1476" s="14"/>
      <c r="AB1476" s="14"/>
      <c r="AC1476" s="14"/>
      <c r="AD1476" s="14"/>
      <c r="AE1476" s="14"/>
      <c r="AF1476" s="14"/>
      <c r="AG1476" s="14"/>
      <c r="AH1476" s="14"/>
      <c r="AI1476" s="14"/>
      <c r="AJ1476" s="14"/>
      <c r="AK1476" s="14"/>
      <c r="AL1476" s="14"/>
    </row>
    <row r="1477" spans="1:38">
      <c r="A1477" s="9"/>
      <c r="B1477" s="9"/>
      <c r="C1477" s="9"/>
      <c r="D1477" s="9"/>
      <c r="E1477" s="9"/>
      <c r="F1477" s="9"/>
      <c r="G1477" s="9"/>
      <c r="H1477" s="9"/>
      <c r="I1477" s="9"/>
      <c r="J1477" s="9"/>
      <c r="K1477" s="9"/>
      <c r="L1477" s="9"/>
      <c r="M1477" s="9"/>
      <c r="N1477" s="9"/>
      <c r="O1477" s="9"/>
      <c r="P1477" s="9"/>
      <c r="Q1477" s="9"/>
      <c r="R1477" s="9"/>
      <c r="S1477" s="9"/>
      <c r="T1477" s="9"/>
      <c r="U1477" s="9"/>
      <c r="V1477" s="9"/>
      <c r="W1477" s="9"/>
      <c r="X1477" s="9"/>
      <c r="Y1477" s="9"/>
      <c r="Z1477" s="9"/>
      <c r="AA1477" s="9"/>
      <c r="AB1477" s="9"/>
      <c r="AC1477" s="9"/>
      <c r="AD1477" s="9"/>
      <c r="AE1477" s="9"/>
      <c r="AF1477" s="9"/>
      <c r="AG1477" s="9"/>
      <c r="AH1477" s="9"/>
      <c r="AI1477" s="9"/>
      <c r="AJ1477" s="9"/>
      <c r="AK1477" s="9"/>
      <c r="AL1477" s="9"/>
    </row>
    <row r="1478" spans="1:38">
      <c r="A1478" s="10"/>
      <c r="B1478" s="10"/>
      <c r="C1478" s="10"/>
      <c r="D1478" s="10"/>
      <c r="E1478" s="10"/>
      <c r="F1478" s="10"/>
      <c r="G1478" s="10"/>
      <c r="H1478" s="10"/>
      <c r="I1478" s="10"/>
      <c r="J1478" s="10"/>
      <c r="K1478" s="10"/>
      <c r="L1478" s="10"/>
      <c r="M1478" s="10"/>
      <c r="N1478" s="10"/>
      <c r="O1478" s="10"/>
      <c r="P1478" s="10"/>
      <c r="Q1478" s="10"/>
      <c r="R1478" s="10"/>
      <c r="S1478" s="10"/>
      <c r="T1478" s="10"/>
      <c r="U1478" s="10"/>
      <c r="V1478" s="10"/>
      <c r="W1478" s="10"/>
      <c r="X1478" s="10"/>
      <c r="Y1478" s="10"/>
      <c r="Z1478" s="10"/>
      <c r="AA1478" s="10"/>
      <c r="AB1478" s="10"/>
      <c r="AC1478" s="10"/>
      <c r="AD1478" s="10"/>
      <c r="AE1478" s="10"/>
      <c r="AF1478" s="10"/>
      <c r="AG1478" s="10"/>
      <c r="AH1478" s="10"/>
      <c r="AI1478" s="10"/>
      <c r="AJ1478" s="10"/>
      <c r="AK1478" s="10"/>
      <c r="AL1478" s="10"/>
    </row>
    <row r="1479" spans="1:38">
      <c r="A1479" s="10"/>
      <c r="B1479" s="10"/>
      <c r="C1479" s="10"/>
      <c r="D1479" s="10"/>
      <c r="E1479" s="10"/>
      <c r="F1479" s="10"/>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0"/>
      <c r="AH1479" s="10"/>
      <c r="AI1479" s="10"/>
      <c r="AJ1479" s="10"/>
      <c r="AK1479" s="10"/>
      <c r="AL1479" s="10"/>
    </row>
    <row r="1480" spans="1:38">
      <c r="A1480" s="10"/>
      <c r="B1480" s="10"/>
      <c r="C1480" s="10"/>
      <c r="D1480" s="10"/>
      <c r="E1480" s="10"/>
      <c r="F1480" s="10"/>
      <c r="G1480" s="10"/>
      <c r="H1480" s="10"/>
      <c r="I1480" s="10"/>
      <c r="J1480" s="10"/>
      <c r="K1480" s="10"/>
      <c r="L1480" s="10"/>
      <c r="M1480" s="10"/>
      <c r="N1480" s="10"/>
      <c r="O1480" s="10"/>
      <c r="P1480" s="10"/>
      <c r="Q1480" s="10"/>
      <c r="R1480" s="10"/>
      <c r="S1480" s="10"/>
      <c r="T1480" s="10"/>
      <c r="U1480" s="10"/>
      <c r="V1480" s="10"/>
      <c r="W1480" s="10"/>
      <c r="X1480" s="10"/>
      <c r="Y1480" s="10"/>
      <c r="Z1480" s="10"/>
      <c r="AA1480" s="10"/>
      <c r="AB1480" s="10"/>
      <c r="AC1480" s="10"/>
      <c r="AD1480" s="10"/>
      <c r="AE1480" s="10"/>
      <c r="AF1480" s="10"/>
      <c r="AG1480" s="10"/>
      <c r="AH1480" s="10"/>
      <c r="AI1480" s="10"/>
      <c r="AJ1480" s="10"/>
      <c r="AK1480" s="10"/>
      <c r="AL1480" s="10"/>
    </row>
    <row r="1481" spans="1:38">
      <c r="A1481" s="10"/>
      <c r="B1481" s="10"/>
      <c r="C1481" s="10"/>
      <c r="D1481" s="10"/>
      <c r="E1481" s="10"/>
      <c r="F1481" s="10"/>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0"/>
      <c r="AH1481" s="10"/>
      <c r="AI1481" s="10"/>
      <c r="AJ1481" s="10"/>
      <c r="AK1481" s="10"/>
      <c r="AL1481" s="10"/>
    </row>
    <row r="1482" spans="1:38">
      <c r="A1482" s="10"/>
      <c r="B1482" s="10"/>
      <c r="C1482" s="10"/>
      <c r="D1482" s="10"/>
      <c r="E1482" s="10"/>
      <c r="F1482" s="10"/>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0"/>
      <c r="AH1482" s="10"/>
      <c r="AI1482" s="10"/>
      <c r="AJ1482" s="10"/>
      <c r="AK1482" s="10"/>
      <c r="AL1482" s="10"/>
    </row>
    <row r="1483" spans="1:38">
      <c r="A1483" s="10"/>
      <c r="B1483" s="10"/>
      <c r="C1483" s="10"/>
      <c r="D1483" s="10"/>
      <c r="E1483" s="10"/>
      <c r="F1483" s="10"/>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0"/>
      <c r="AH1483" s="10"/>
      <c r="AI1483" s="10"/>
      <c r="AJ1483" s="10"/>
      <c r="AK1483" s="10"/>
      <c r="AL1483" s="10"/>
    </row>
    <row r="1484" spans="1:38">
      <c r="A1484" s="10"/>
      <c r="B1484" s="10"/>
      <c r="C1484" s="10"/>
      <c r="D1484" s="10"/>
      <c r="E1484" s="10"/>
      <c r="F1484" s="10"/>
      <c r="G1484" s="10"/>
      <c r="H1484" s="10"/>
      <c r="I1484" s="10"/>
      <c r="J1484" s="10"/>
      <c r="K1484" s="10"/>
      <c r="L1484" s="10"/>
      <c r="M1484" s="10"/>
      <c r="N1484" s="10"/>
      <c r="O1484" s="10"/>
      <c r="P1484" s="10"/>
      <c r="Q1484" s="10"/>
      <c r="R1484" s="10"/>
      <c r="S1484" s="10"/>
      <c r="T1484" s="10"/>
      <c r="U1484" s="10"/>
      <c r="V1484" s="10"/>
      <c r="W1484" s="10"/>
      <c r="X1484" s="10"/>
      <c r="Y1484" s="10"/>
      <c r="Z1484" s="10"/>
      <c r="AA1484" s="10"/>
      <c r="AB1484" s="10"/>
      <c r="AC1484" s="10"/>
      <c r="AD1484" s="10"/>
      <c r="AE1484" s="10"/>
      <c r="AF1484" s="10"/>
      <c r="AG1484" s="10"/>
      <c r="AH1484" s="10"/>
      <c r="AI1484" s="10"/>
      <c r="AJ1484" s="10"/>
      <c r="AK1484" s="10"/>
      <c r="AL1484" s="10"/>
    </row>
    <row r="1485" spans="1:38">
      <c r="A1485" s="10"/>
      <c r="B1485" s="10"/>
      <c r="C1485" s="10"/>
      <c r="D1485" s="10"/>
      <c r="E1485" s="10"/>
      <c r="F1485" s="10"/>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0"/>
      <c r="AH1485" s="10"/>
      <c r="AI1485" s="10"/>
      <c r="AJ1485" s="10"/>
      <c r="AK1485" s="10"/>
      <c r="AL1485" s="10"/>
    </row>
    <row r="1486" spans="1:38">
      <c r="A1486" s="10"/>
      <c r="B1486" s="10"/>
      <c r="C1486" s="10"/>
      <c r="D1486" s="10"/>
      <c r="E1486" s="10"/>
      <c r="F1486" s="10"/>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0"/>
      <c r="AH1486" s="10"/>
      <c r="AI1486" s="10"/>
      <c r="AJ1486" s="10"/>
      <c r="AK1486" s="10"/>
      <c r="AL1486" s="10"/>
    </row>
    <row r="1487" spans="1:38">
      <c r="A1487" s="10"/>
      <c r="B1487" s="10"/>
      <c r="C1487" s="10"/>
      <c r="D1487" s="10"/>
      <c r="E1487" s="10"/>
      <c r="F1487" s="10"/>
      <c r="G1487" s="10"/>
      <c r="H1487" s="10"/>
      <c r="I1487" s="10"/>
      <c r="J1487" s="10"/>
      <c r="K1487" s="10"/>
      <c r="L1487" s="10"/>
      <c r="M1487" s="10"/>
      <c r="N1487" s="10"/>
      <c r="O1487" s="10"/>
      <c r="P1487" s="10"/>
      <c r="Q1487" s="10"/>
      <c r="R1487" s="10"/>
      <c r="S1487" s="10"/>
      <c r="T1487" s="10"/>
      <c r="U1487" s="10"/>
      <c r="V1487" s="10"/>
      <c r="W1487" s="10"/>
      <c r="X1487" s="10"/>
      <c r="Y1487" s="10"/>
      <c r="Z1487" s="10"/>
      <c r="AA1487" s="10"/>
      <c r="AB1487" s="10"/>
      <c r="AC1487" s="10"/>
      <c r="AD1487" s="10"/>
      <c r="AE1487" s="10"/>
      <c r="AF1487" s="10"/>
      <c r="AG1487" s="10"/>
      <c r="AH1487" s="10"/>
      <c r="AI1487" s="10"/>
      <c r="AJ1487" s="10"/>
      <c r="AK1487" s="10"/>
      <c r="AL1487" s="10"/>
    </row>
    <row r="1488" spans="1:38">
      <c r="A1488" s="9"/>
      <c r="B1488" s="9"/>
      <c r="C1488" s="9"/>
      <c r="D1488" s="9"/>
      <c r="E1488" s="9"/>
      <c r="F1488" s="9"/>
      <c r="G1488" s="9"/>
      <c r="H1488" s="9"/>
      <c r="I1488" s="9"/>
      <c r="J1488" s="9"/>
      <c r="K1488" s="9"/>
      <c r="L1488" s="9"/>
      <c r="M1488" s="9"/>
      <c r="N1488" s="9"/>
      <c r="O1488" s="9"/>
      <c r="P1488" s="9"/>
      <c r="Q1488" s="9"/>
      <c r="R1488" s="9"/>
      <c r="S1488" s="9"/>
      <c r="T1488" s="9"/>
      <c r="U1488" s="9"/>
      <c r="V1488" s="9"/>
      <c r="W1488" s="9"/>
      <c r="X1488" s="9"/>
      <c r="Y1488" s="9"/>
      <c r="Z1488" s="9"/>
      <c r="AA1488" s="9"/>
      <c r="AB1488" s="9"/>
      <c r="AC1488" s="9"/>
      <c r="AD1488" s="9"/>
      <c r="AE1488" s="9"/>
      <c r="AF1488" s="9"/>
      <c r="AG1488" s="9"/>
      <c r="AH1488" s="9"/>
      <c r="AI1488" s="9"/>
      <c r="AJ1488" s="9"/>
      <c r="AK1488" s="9"/>
      <c r="AL1488" s="9"/>
    </row>
    <row r="1489" spans="1:38">
      <c r="A1489" s="11"/>
      <c r="B1489" s="11"/>
      <c r="C1489" s="11"/>
      <c r="D1489" s="11"/>
      <c r="E1489" s="11"/>
      <c r="F1489" s="11"/>
      <c r="G1489" s="11"/>
      <c r="H1489" s="11"/>
      <c r="I1489" s="11"/>
      <c r="J1489" s="11"/>
      <c r="K1489" s="11"/>
      <c r="L1489" s="11"/>
      <c r="M1489" s="11"/>
      <c r="N1489" s="11"/>
      <c r="O1489" s="11"/>
      <c r="P1489" s="11"/>
      <c r="Q1489" s="11"/>
      <c r="R1489" s="11"/>
      <c r="S1489" s="11"/>
      <c r="T1489" s="11"/>
      <c r="U1489" s="11"/>
      <c r="V1489" s="11"/>
      <c r="W1489" s="11"/>
      <c r="X1489" s="11"/>
      <c r="Y1489" s="11"/>
      <c r="Z1489" s="11"/>
      <c r="AA1489" s="11"/>
      <c r="AB1489" s="11"/>
      <c r="AC1489" s="11"/>
      <c r="AD1489" s="11"/>
      <c r="AE1489" s="11"/>
      <c r="AF1489" s="11"/>
      <c r="AG1489" s="11"/>
      <c r="AH1489" s="11"/>
      <c r="AI1489" s="11"/>
      <c r="AJ1489" s="11"/>
      <c r="AK1489" s="11"/>
      <c r="AL1489" s="11"/>
    </row>
    <row r="1498" spans="1:38">
      <c r="A1498" s="14"/>
      <c r="B1498" s="14"/>
      <c r="C1498" s="14"/>
      <c r="D1498" s="14"/>
      <c r="E1498" s="14"/>
      <c r="F1498" s="14"/>
      <c r="G1498" s="14"/>
      <c r="H1498" s="14"/>
      <c r="I1498" s="14"/>
      <c r="J1498" s="14"/>
      <c r="K1498" s="14"/>
      <c r="L1498" s="14"/>
      <c r="M1498" s="14"/>
      <c r="N1498" s="14"/>
      <c r="O1498" s="14"/>
      <c r="P1498" s="14"/>
      <c r="Q1498" s="14"/>
      <c r="R1498" s="14"/>
      <c r="S1498" s="14"/>
      <c r="T1498" s="14"/>
      <c r="U1498" s="14"/>
      <c r="V1498" s="14"/>
      <c r="W1498" s="14"/>
      <c r="X1498" s="14"/>
      <c r="Y1498" s="14"/>
      <c r="Z1498" s="14"/>
      <c r="AA1498" s="14"/>
      <c r="AB1498" s="14"/>
      <c r="AC1498" s="14"/>
      <c r="AD1498" s="14"/>
      <c r="AE1498" s="14"/>
      <c r="AF1498" s="14"/>
      <c r="AG1498" s="14"/>
      <c r="AH1498" s="14"/>
      <c r="AI1498" s="14"/>
      <c r="AJ1498" s="14"/>
      <c r="AK1498" s="14"/>
      <c r="AL1498" s="14"/>
    </row>
    <row r="1499" spans="1:38">
      <c r="A1499" s="9"/>
      <c r="B1499" s="9"/>
      <c r="C1499" s="9"/>
      <c r="D1499" s="9"/>
      <c r="E1499" s="9"/>
      <c r="F1499" s="9"/>
      <c r="G1499" s="9"/>
      <c r="H1499" s="9"/>
      <c r="I1499" s="9"/>
      <c r="J1499" s="9"/>
      <c r="K1499" s="9"/>
      <c r="L1499" s="9"/>
      <c r="M1499" s="9"/>
      <c r="N1499" s="9"/>
      <c r="O1499" s="9"/>
      <c r="P1499" s="9"/>
      <c r="Q1499" s="9"/>
      <c r="R1499" s="9"/>
      <c r="S1499" s="9"/>
      <c r="T1499" s="9"/>
      <c r="U1499" s="9"/>
      <c r="V1499" s="9"/>
      <c r="W1499" s="9"/>
      <c r="X1499" s="9"/>
      <c r="Y1499" s="9"/>
      <c r="Z1499" s="9"/>
      <c r="AA1499" s="9"/>
      <c r="AB1499" s="9"/>
      <c r="AC1499" s="9"/>
      <c r="AD1499" s="9"/>
      <c r="AE1499" s="9"/>
      <c r="AF1499" s="9"/>
      <c r="AG1499" s="9"/>
      <c r="AH1499" s="9"/>
      <c r="AI1499" s="9"/>
      <c r="AJ1499" s="9"/>
      <c r="AK1499" s="9"/>
      <c r="AL1499" s="9"/>
    </row>
    <row r="1500" spans="1:38">
      <c r="A1500" s="10"/>
      <c r="B1500" s="10"/>
      <c r="C1500" s="10"/>
      <c r="D1500" s="10"/>
      <c r="E1500" s="10"/>
      <c r="F1500" s="10"/>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0"/>
      <c r="AH1500" s="10"/>
      <c r="AI1500" s="10"/>
      <c r="AJ1500" s="10"/>
      <c r="AK1500" s="10"/>
      <c r="AL1500" s="10"/>
    </row>
    <row r="1501" spans="1:38">
      <c r="A1501" s="10"/>
      <c r="B1501" s="10"/>
      <c r="C1501" s="10"/>
      <c r="D1501" s="10"/>
      <c r="E1501" s="10"/>
      <c r="F1501" s="10"/>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0"/>
      <c r="AH1501" s="10"/>
      <c r="AI1501" s="10"/>
      <c r="AJ1501" s="10"/>
      <c r="AK1501" s="10"/>
      <c r="AL1501" s="10"/>
    </row>
    <row r="1502" spans="1:38">
      <c r="A1502" s="10"/>
      <c r="B1502" s="10"/>
      <c r="C1502" s="10"/>
      <c r="D1502" s="10"/>
      <c r="E1502" s="10"/>
      <c r="F1502" s="10"/>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0"/>
      <c r="AH1502" s="10"/>
      <c r="AI1502" s="10"/>
      <c r="AJ1502" s="10"/>
      <c r="AK1502" s="10"/>
      <c r="AL1502" s="10"/>
    </row>
    <row r="1503" spans="1:38">
      <c r="A1503" s="10"/>
      <c r="B1503" s="10"/>
      <c r="C1503" s="10"/>
      <c r="D1503" s="10"/>
      <c r="E1503" s="10"/>
      <c r="F1503" s="10"/>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0"/>
      <c r="AH1503" s="10"/>
      <c r="AI1503" s="10"/>
      <c r="AJ1503" s="10"/>
      <c r="AK1503" s="10"/>
      <c r="AL1503" s="10"/>
    </row>
    <row r="1504" spans="1:38">
      <c r="A1504" s="10"/>
      <c r="B1504" s="10"/>
      <c r="C1504" s="10"/>
      <c r="D1504" s="10"/>
      <c r="E1504" s="10"/>
      <c r="F1504" s="10"/>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0"/>
      <c r="AH1504" s="10"/>
      <c r="AI1504" s="10"/>
      <c r="AJ1504" s="10"/>
      <c r="AK1504" s="10"/>
      <c r="AL1504" s="10"/>
    </row>
    <row r="1505" spans="1:38">
      <c r="A1505" s="10"/>
      <c r="B1505" s="10"/>
      <c r="C1505" s="10"/>
      <c r="D1505" s="10"/>
      <c r="E1505" s="10"/>
      <c r="F1505" s="10"/>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0"/>
      <c r="AH1505" s="10"/>
      <c r="AI1505" s="10"/>
      <c r="AJ1505" s="10"/>
      <c r="AK1505" s="10"/>
      <c r="AL1505" s="10"/>
    </row>
    <row r="1506" spans="1:38">
      <c r="A1506" s="10"/>
      <c r="B1506" s="10"/>
      <c r="C1506" s="10"/>
      <c r="D1506" s="10"/>
      <c r="E1506" s="10"/>
      <c r="F1506" s="10"/>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0"/>
      <c r="AH1506" s="10"/>
      <c r="AI1506" s="10"/>
      <c r="AJ1506" s="10"/>
      <c r="AK1506" s="10"/>
      <c r="AL1506" s="10"/>
    </row>
    <row r="1507" spans="1:38">
      <c r="A1507" s="10"/>
      <c r="B1507" s="10"/>
      <c r="C1507" s="10"/>
      <c r="D1507" s="10"/>
      <c r="E1507" s="10"/>
      <c r="F1507" s="10"/>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0"/>
      <c r="AH1507" s="10"/>
      <c r="AI1507" s="10"/>
      <c r="AJ1507" s="10"/>
      <c r="AK1507" s="10"/>
      <c r="AL1507" s="10"/>
    </row>
    <row r="1508" spans="1:38">
      <c r="A1508" s="10"/>
      <c r="B1508" s="10"/>
      <c r="C1508" s="10"/>
      <c r="D1508" s="10"/>
      <c r="E1508" s="10"/>
      <c r="F1508" s="10"/>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0"/>
      <c r="AH1508" s="10"/>
      <c r="AI1508" s="10"/>
      <c r="AJ1508" s="10"/>
      <c r="AK1508" s="10"/>
      <c r="AL1508" s="10"/>
    </row>
    <row r="1509" spans="1:38">
      <c r="A1509" s="10"/>
      <c r="B1509" s="10"/>
      <c r="C1509" s="10"/>
      <c r="D1509" s="10"/>
      <c r="E1509" s="10"/>
      <c r="F1509" s="10"/>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0"/>
      <c r="AH1509" s="10"/>
      <c r="AI1509" s="10"/>
      <c r="AJ1509" s="10"/>
      <c r="AK1509" s="10"/>
      <c r="AL1509" s="10"/>
    </row>
    <row r="1510" spans="1:38">
      <c r="A1510" s="9"/>
      <c r="B1510" s="9"/>
      <c r="C1510" s="9"/>
      <c r="D1510" s="9"/>
      <c r="E1510" s="9"/>
      <c r="F1510" s="9"/>
      <c r="G1510" s="9"/>
      <c r="H1510" s="9"/>
      <c r="I1510" s="9"/>
      <c r="J1510" s="9"/>
      <c r="K1510" s="9"/>
      <c r="L1510" s="9"/>
      <c r="M1510" s="9"/>
      <c r="N1510" s="9"/>
      <c r="O1510" s="9"/>
      <c r="P1510" s="9"/>
      <c r="Q1510" s="9"/>
      <c r="R1510" s="9"/>
      <c r="S1510" s="9"/>
      <c r="T1510" s="9"/>
      <c r="U1510" s="9"/>
      <c r="V1510" s="9"/>
      <c r="W1510" s="9"/>
      <c r="X1510" s="9"/>
      <c r="Y1510" s="9"/>
      <c r="Z1510" s="9"/>
      <c r="AA1510" s="9"/>
      <c r="AB1510" s="9"/>
      <c r="AC1510" s="9"/>
      <c r="AD1510" s="9"/>
      <c r="AE1510" s="9"/>
      <c r="AF1510" s="9"/>
      <c r="AG1510" s="9"/>
      <c r="AH1510" s="9"/>
      <c r="AI1510" s="9"/>
      <c r="AJ1510" s="9"/>
      <c r="AK1510" s="9"/>
      <c r="AL1510" s="9"/>
    </row>
    <row r="1511" spans="1:38">
      <c r="A1511" s="11"/>
      <c r="B1511" s="11"/>
      <c r="C1511" s="11"/>
      <c r="D1511" s="11"/>
      <c r="E1511" s="11"/>
      <c r="F1511" s="11"/>
      <c r="G1511" s="11"/>
      <c r="H1511" s="11"/>
      <c r="I1511" s="11"/>
      <c r="J1511" s="11"/>
      <c r="K1511" s="11"/>
      <c r="L1511" s="11"/>
      <c r="M1511" s="11"/>
      <c r="N1511" s="11"/>
      <c r="O1511" s="11"/>
      <c r="P1511" s="11"/>
      <c r="Q1511" s="11"/>
      <c r="R1511" s="11"/>
      <c r="S1511" s="11"/>
      <c r="T1511" s="11"/>
      <c r="U1511" s="11"/>
      <c r="V1511" s="11"/>
      <c r="W1511" s="11"/>
      <c r="X1511" s="11"/>
      <c r="Y1511" s="11"/>
      <c r="Z1511" s="11"/>
      <c r="AA1511" s="11"/>
      <c r="AB1511" s="11"/>
      <c r="AC1511" s="11"/>
      <c r="AD1511" s="11"/>
      <c r="AE1511" s="11"/>
      <c r="AF1511" s="11"/>
      <c r="AG1511" s="11"/>
      <c r="AH1511" s="11"/>
      <c r="AI1511" s="11"/>
      <c r="AJ1511" s="11"/>
      <c r="AK1511" s="11"/>
      <c r="AL1511" s="11"/>
    </row>
    <row r="1520" spans="1:38">
      <c r="A1520" s="14"/>
      <c r="B1520" s="14"/>
      <c r="C1520" s="14"/>
      <c r="D1520" s="14"/>
      <c r="E1520" s="14"/>
      <c r="F1520" s="14"/>
      <c r="G1520" s="14"/>
      <c r="H1520" s="14"/>
      <c r="I1520" s="14"/>
      <c r="J1520" s="14"/>
      <c r="K1520" s="14"/>
      <c r="L1520" s="14"/>
      <c r="M1520" s="14"/>
      <c r="N1520" s="14"/>
      <c r="O1520" s="14"/>
      <c r="P1520" s="14"/>
      <c r="Q1520" s="14"/>
      <c r="R1520" s="14"/>
      <c r="S1520" s="14"/>
      <c r="T1520" s="14"/>
      <c r="U1520" s="14"/>
      <c r="V1520" s="14"/>
      <c r="W1520" s="14"/>
      <c r="X1520" s="14"/>
      <c r="Y1520" s="14"/>
      <c r="Z1520" s="14"/>
      <c r="AA1520" s="14"/>
      <c r="AB1520" s="14"/>
      <c r="AC1520" s="14"/>
      <c r="AD1520" s="14"/>
      <c r="AE1520" s="14"/>
      <c r="AF1520" s="14"/>
      <c r="AG1520" s="14"/>
      <c r="AH1520" s="14"/>
      <c r="AI1520" s="14"/>
      <c r="AJ1520" s="14"/>
      <c r="AK1520" s="14"/>
      <c r="AL1520" s="14"/>
    </row>
    <row r="1521" spans="1:38">
      <c r="A1521" s="9"/>
      <c r="B1521" s="9"/>
      <c r="C1521" s="9"/>
      <c r="D1521" s="9"/>
      <c r="E1521" s="9"/>
      <c r="F1521" s="9"/>
      <c r="G1521" s="9"/>
      <c r="H1521" s="9"/>
      <c r="I1521" s="9"/>
      <c r="J1521" s="9"/>
      <c r="K1521" s="9"/>
      <c r="L1521" s="9"/>
      <c r="M1521" s="9"/>
      <c r="N1521" s="9"/>
      <c r="O1521" s="9"/>
      <c r="P1521" s="9"/>
      <c r="Q1521" s="9"/>
      <c r="R1521" s="9"/>
      <c r="S1521" s="9"/>
      <c r="T1521" s="9"/>
      <c r="U1521" s="9"/>
      <c r="V1521" s="9"/>
      <c r="W1521" s="9"/>
      <c r="X1521" s="9"/>
      <c r="Y1521" s="9"/>
      <c r="Z1521" s="9"/>
      <c r="AA1521" s="9"/>
      <c r="AB1521" s="9"/>
      <c r="AC1521" s="9"/>
      <c r="AD1521" s="9"/>
      <c r="AE1521" s="9"/>
      <c r="AF1521" s="9"/>
      <c r="AG1521" s="9"/>
      <c r="AH1521" s="9"/>
      <c r="AI1521" s="9"/>
      <c r="AJ1521" s="9"/>
      <c r="AK1521" s="9"/>
      <c r="AL1521" s="9"/>
    </row>
    <row r="1522" spans="1:38">
      <c r="A1522" s="10"/>
      <c r="B1522" s="10"/>
      <c r="C1522" s="10"/>
      <c r="D1522" s="10"/>
      <c r="E1522" s="10"/>
      <c r="F1522" s="10"/>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0"/>
      <c r="AH1522" s="10"/>
      <c r="AI1522" s="10"/>
      <c r="AJ1522" s="10"/>
      <c r="AK1522" s="10"/>
      <c r="AL1522" s="10"/>
    </row>
    <row r="1523" spans="1:38">
      <c r="A1523" s="10"/>
      <c r="B1523" s="10"/>
      <c r="C1523" s="10"/>
      <c r="D1523" s="10"/>
      <c r="E1523" s="10"/>
      <c r="F1523" s="10"/>
      <c r="G1523" s="10"/>
      <c r="H1523" s="10"/>
      <c r="I1523" s="10"/>
      <c r="J1523" s="10"/>
      <c r="K1523" s="10"/>
      <c r="L1523" s="10"/>
      <c r="M1523" s="10"/>
      <c r="N1523" s="10"/>
      <c r="O1523" s="10"/>
      <c r="P1523" s="10"/>
      <c r="Q1523" s="10"/>
      <c r="R1523" s="10"/>
      <c r="S1523" s="10"/>
      <c r="T1523" s="10"/>
      <c r="U1523" s="10"/>
      <c r="V1523" s="10"/>
      <c r="W1523" s="10"/>
      <c r="X1523" s="10"/>
      <c r="Y1523" s="10"/>
      <c r="Z1523" s="10"/>
      <c r="AA1523" s="10"/>
      <c r="AB1523" s="10"/>
      <c r="AC1523" s="10"/>
      <c r="AD1523" s="10"/>
      <c r="AE1523" s="10"/>
      <c r="AF1523" s="10"/>
      <c r="AG1523" s="10"/>
      <c r="AH1523" s="10"/>
      <c r="AI1523" s="10"/>
      <c r="AJ1523" s="10"/>
      <c r="AK1523" s="10"/>
      <c r="AL1523" s="10"/>
    </row>
    <row r="1524" spans="1:38">
      <c r="A1524" s="10"/>
      <c r="B1524" s="10"/>
      <c r="C1524" s="10"/>
      <c r="D1524" s="10"/>
      <c r="E1524" s="10"/>
      <c r="F1524" s="10"/>
      <c r="G1524" s="10"/>
      <c r="H1524" s="10"/>
      <c r="I1524" s="10"/>
      <c r="J1524" s="10"/>
      <c r="K1524" s="10"/>
      <c r="L1524" s="10"/>
      <c r="M1524" s="10"/>
      <c r="N1524" s="10"/>
      <c r="O1524" s="10"/>
      <c r="P1524" s="10"/>
      <c r="Q1524" s="10"/>
      <c r="R1524" s="10"/>
      <c r="S1524" s="10"/>
      <c r="T1524" s="10"/>
      <c r="U1524" s="10"/>
      <c r="V1524" s="10"/>
      <c r="W1524" s="10"/>
      <c r="X1524" s="10"/>
      <c r="Y1524" s="10"/>
      <c r="Z1524" s="10"/>
      <c r="AA1524" s="10"/>
      <c r="AB1524" s="10"/>
      <c r="AC1524" s="10"/>
      <c r="AD1524" s="10"/>
      <c r="AE1524" s="10"/>
      <c r="AF1524" s="10"/>
      <c r="AG1524" s="10"/>
      <c r="AH1524" s="10"/>
      <c r="AI1524" s="10"/>
      <c r="AJ1524" s="10"/>
      <c r="AK1524" s="10"/>
      <c r="AL1524" s="10"/>
    </row>
    <row r="1525" spans="1:38">
      <c r="A1525" s="10"/>
      <c r="B1525" s="10"/>
      <c r="C1525" s="10"/>
      <c r="D1525" s="10"/>
      <c r="E1525" s="10"/>
      <c r="F1525" s="10"/>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0"/>
      <c r="AH1525" s="10"/>
      <c r="AI1525" s="10"/>
      <c r="AJ1525" s="10"/>
      <c r="AK1525" s="10"/>
      <c r="AL1525" s="10"/>
    </row>
    <row r="1526" spans="1:38">
      <c r="A1526" s="10"/>
      <c r="B1526" s="10"/>
      <c r="C1526" s="10"/>
      <c r="D1526" s="10"/>
      <c r="E1526" s="10"/>
      <c r="F1526" s="10"/>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0"/>
      <c r="AH1526" s="10"/>
      <c r="AI1526" s="10"/>
      <c r="AJ1526" s="10"/>
      <c r="AK1526" s="10"/>
      <c r="AL1526" s="10"/>
    </row>
    <row r="1527" spans="1:38">
      <c r="A1527" s="10"/>
      <c r="B1527" s="10"/>
      <c r="C1527" s="10"/>
      <c r="D1527" s="10"/>
      <c r="E1527" s="10"/>
      <c r="F1527" s="10"/>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0"/>
      <c r="AH1527" s="10"/>
      <c r="AI1527" s="10"/>
      <c r="AJ1527" s="10"/>
      <c r="AK1527" s="10"/>
      <c r="AL1527" s="10"/>
    </row>
    <row r="1528" spans="1:38">
      <c r="A1528" s="10"/>
      <c r="B1528" s="10"/>
      <c r="C1528" s="10"/>
      <c r="D1528" s="10"/>
      <c r="E1528" s="10"/>
      <c r="F1528" s="10"/>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0"/>
      <c r="AH1528" s="10"/>
      <c r="AI1528" s="10"/>
      <c r="AJ1528" s="10"/>
      <c r="AK1528" s="10"/>
      <c r="AL1528" s="10"/>
    </row>
    <row r="1529" spans="1:38">
      <c r="A1529" s="10"/>
      <c r="B1529" s="10"/>
      <c r="C1529" s="10"/>
      <c r="D1529" s="10"/>
      <c r="E1529" s="10"/>
      <c r="F1529" s="10"/>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0"/>
      <c r="AH1529" s="10"/>
      <c r="AI1529" s="10"/>
      <c r="AJ1529" s="10"/>
      <c r="AK1529" s="10"/>
      <c r="AL1529" s="10"/>
    </row>
    <row r="1530" spans="1:38">
      <c r="A1530" s="10"/>
      <c r="B1530" s="10"/>
      <c r="C1530" s="10"/>
      <c r="D1530" s="10"/>
      <c r="E1530" s="10"/>
      <c r="F1530" s="10"/>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0"/>
      <c r="AH1530" s="10"/>
      <c r="AI1530" s="10"/>
      <c r="AJ1530" s="10"/>
      <c r="AK1530" s="10"/>
      <c r="AL1530" s="10"/>
    </row>
    <row r="1531" spans="1:38">
      <c r="A1531" s="10"/>
      <c r="B1531" s="10"/>
      <c r="C1531" s="10"/>
      <c r="D1531" s="10"/>
      <c r="E1531" s="10"/>
      <c r="F1531" s="10"/>
      <c r="G1531" s="10"/>
      <c r="H1531" s="10"/>
      <c r="I1531" s="10"/>
      <c r="J1531" s="10"/>
      <c r="K1531" s="10"/>
      <c r="L1531" s="10"/>
      <c r="M1531" s="10"/>
      <c r="N1531" s="10"/>
      <c r="O1531" s="10"/>
      <c r="P1531" s="10"/>
      <c r="Q1531" s="10"/>
      <c r="R1531" s="10"/>
      <c r="S1531" s="10"/>
      <c r="T1531" s="10"/>
      <c r="U1531" s="10"/>
      <c r="V1531" s="10"/>
      <c r="W1531" s="10"/>
      <c r="X1531" s="10"/>
      <c r="Y1531" s="10"/>
      <c r="Z1531" s="10"/>
      <c r="AA1531" s="10"/>
      <c r="AB1531" s="10"/>
      <c r="AC1531" s="10"/>
      <c r="AD1531" s="10"/>
      <c r="AE1531" s="10"/>
      <c r="AF1531" s="10"/>
      <c r="AG1531" s="10"/>
      <c r="AH1531" s="10"/>
      <c r="AI1531" s="10"/>
      <c r="AJ1531" s="10"/>
      <c r="AK1531" s="10"/>
      <c r="AL1531" s="10"/>
    </row>
    <row r="1532" spans="1:38">
      <c r="A1532" s="9"/>
      <c r="B1532" s="9"/>
      <c r="C1532" s="9"/>
      <c r="D1532" s="9"/>
      <c r="E1532" s="9"/>
      <c r="F1532" s="9"/>
      <c r="G1532" s="9"/>
      <c r="H1532" s="9"/>
      <c r="I1532" s="9"/>
      <c r="J1532" s="9"/>
      <c r="K1532" s="9"/>
      <c r="L1532" s="9"/>
      <c r="M1532" s="9"/>
      <c r="N1532" s="9"/>
      <c r="O1532" s="9"/>
      <c r="P1532" s="9"/>
      <c r="Q1532" s="9"/>
      <c r="R1532" s="9"/>
      <c r="S1532" s="9"/>
      <c r="T1532" s="9"/>
      <c r="U1532" s="9"/>
      <c r="V1532" s="9"/>
      <c r="W1532" s="9"/>
      <c r="X1532" s="9"/>
      <c r="Y1532" s="9"/>
      <c r="Z1532" s="9"/>
      <c r="AA1532" s="9"/>
      <c r="AB1532" s="9"/>
      <c r="AC1532" s="9"/>
      <c r="AD1532" s="9"/>
      <c r="AE1532" s="9"/>
      <c r="AF1532" s="9"/>
      <c r="AG1532" s="9"/>
      <c r="AH1532" s="9"/>
      <c r="AI1532" s="9"/>
      <c r="AJ1532" s="9"/>
      <c r="AK1532" s="9"/>
      <c r="AL1532" s="9"/>
    </row>
    <row r="1533" spans="1:38">
      <c r="A1533" s="11"/>
      <c r="B1533" s="11"/>
      <c r="C1533" s="11"/>
      <c r="D1533" s="11"/>
      <c r="E1533" s="11"/>
      <c r="F1533" s="11"/>
      <c r="G1533" s="11"/>
      <c r="H1533" s="11"/>
      <c r="I1533" s="11"/>
      <c r="J1533" s="11"/>
      <c r="K1533" s="11"/>
      <c r="L1533" s="11"/>
      <c r="M1533" s="11"/>
      <c r="N1533" s="11"/>
      <c r="O1533" s="11"/>
      <c r="P1533" s="11"/>
      <c r="Q1533" s="11"/>
      <c r="R1533" s="11"/>
      <c r="S1533" s="11"/>
      <c r="T1533" s="11"/>
      <c r="U1533" s="11"/>
      <c r="V1533" s="11"/>
      <c r="W1533" s="11"/>
      <c r="X1533" s="11"/>
      <c r="Y1533" s="11"/>
      <c r="Z1533" s="11"/>
      <c r="AA1533" s="11"/>
      <c r="AB1533" s="11"/>
      <c r="AC1533" s="11"/>
      <c r="AD1533" s="11"/>
      <c r="AE1533" s="11"/>
      <c r="AF1533" s="11"/>
      <c r="AG1533" s="11"/>
      <c r="AH1533" s="11"/>
      <c r="AI1533" s="11"/>
      <c r="AJ1533" s="11"/>
      <c r="AK1533" s="11"/>
      <c r="AL1533" s="11"/>
    </row>
    <row r="1546" spans="1:38">
      <c r="A1546" s="14"/>
      <c r="B1546" s="14"/>
      <c r="C1546" s="14"/>
      <c r="D1546" s="14"/>
      <c r="E1546" s="14"/>
      <c r="F1546" s="14"/>
      <c r="G1546" s="14"/>
      <c r="H1546" s="14"/>
      <c r="I1546" s="14"/>
      <c r="J1546" s="14"/>
      <c r="K1546" s="14"/>
      <c r="L1546" s="14"/>
      <c r="M1546" s="14"/>
      <c r="N1546" s="14"/>
      <c r="O1546" s="14"/>
      <c r="P1546" s="14"/>
      <c r="Q1546" s="14"/>
      <c r="R1546" s="14"/>
      <c r="S1546" s="14"/>
      <c r="T1546" s="14"/>
      <c r="U1546" s="14"/>
      <c r="V1546" s="14"/>
      <c r="W1546" s="14"/>
      <c r="X1546" s="14"/>
      <c r="Y1546" s="14"/>
      <c r="Z1546" s="14"/>
      <c r="AA1546" s="14"/>
      <c r="AB1546" s="14"/>
      <c r="AC1546" s="14"/>
      <c r="AD1546" s="14"/>
      <c r="AE1546" s="14"/>
      <c r="AF1546" s="14"/>
      <c r="AG1546" s="14"/>
      <c r="AH1546" s="14"/>
      <c r="AI1546" s="14"/>
      <c r="AJ1546" s="14"/>
      <c r="AK1546" s="14"/>
      <c r="AL1546" s="14"/>
    </row>
    <row r="1547" spans="1:38">
      <c r="A1547" s="9"/>
      <c r="B1547" s="9"/>
      <c r="C1547" s="9"/>
      <c r="D1547" s="9"/>
      <c r="E1547" s="9"/>
      <c r="F1547" s="9"/>
      <c r="G1547" s="9"/>
      <c r="H1547" s="9"/>
      <c r="I1547" s="9"/>
      <c r="J1547" s="9"/>
      <c r="K1547" s="9"/>
      <c r="L1547" s="9"/>
      <c r="M1547" s="9"/>
      <c r="N1547" s="9"/>
      <c r="O1547" s="9"/>
      <c r="P1547" s="9"/>
      <c r="Q1547" s="9"/>
      <c r="R1547" s="9"/>
      <c r="S1547" s="9"/>
      <c r="T1547" s="9"/>
      <c r="U1547" s="9"/>
      <c r="V1547" s="9"/>
      <c r="W1547" s="9"/>
      <c r="X1547" s="9"/>
      <c r="Y1547" s="9"/>
      <c r="Z1547" s="9"/>
      <c r="AA1547" s="9"/>
      <c r="AB1547" s="9"/>
      <c r="AC1547" s="9"/>
      <c r="AD1547" s="9"/>
      <c r="AE1547" s="9"/>
      <c r="AF1547" s="9"/>
      <c r="AG1547" s="9"/>
      <c r="AH1547" s="9"/>
      <c r="AI1547" s="9"/>
      <c r="AJ1547" s="9"/>
      <c r="AK1547" s="9"/>
      <c r="AL1547" s="9"/>
    </row>
    <row r="1548" spans="1:38">
      <c r="A1548" s="10"/>
      <c r="B1548" s="10"/>
      <c r="C1548" s="10"/>
      <c r="D1548" s="10"/>
      <c r="E1548" s="10"/>
      <c r="F1548" s="10"/>
      <c r="G1548" s="10"/>
      <c r="H1548" s="10"/>
      <c r="I1548" s="10"/>
      <c r="J1548" s="10"/>
      <c r="K1548" s="10"/>
      <c r="L1548" s="10"/>
      <c r="M1548" s="10"/>
      <c r="N1548" s="10"/>
      <c r="O1548" s="10"/>
      <c r="P1548" s="10"/>
      <c r="Q1548" s="10"/>
      <c r="R1548" s="10"/>
      <c r="S1548" s="10"/>
      <c r="T1548" s="10"/>
      <c r="U1548" s="10"/>
      <c r="V1548" s="10"/>
      <c r="W1548" s="10"/>
      <c r="X1548" s="10"/>
      <c r="Y1548" s="10"/>
      <c r="Z1548" s="10"/>
      <c r="AA1548" s="10"/>
      <c r="AB1548" s="10"/>
      <c r="AC1548" s="10"/>
      <c r="AD1548" s="10"/>
      <c r="AE1548" s="10"/>
      <c r="AF1548" s="10"/>
      <c r="AG1548" s="10"/>
      <c r="AH1548" s="10"/>
      <c r="AI1548" s="10"/>
      <c r="AJ1548" s="10"/>
      <c r="AK1548" s="10"/>
      <c r="AL1548" s="10"/>
    </row>
    <row r="1549" spans="1:38">
      <c r="A1549" s="10"/>
      <c r="B1549" s="10"/>
      <c r="C1549" s="10"/>
      <c r="D1549" s="10"/>
      <c r="E1549" s="10"/>
      <c r="F1549" s="10"/>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0"/>
      <c r="AH1549" s="10"/>
      <c r="AI1549" s="10"/>
      <c r="AJ1549" s="10"/>
      <c r="AK1549" s="10"/>
      <c r="AL1549" s="10"/>
    </row>
    <row r="1550" spans="1:38">
      <c r="A1550" s="10"/>
      <c r="B1550" s="10"/>
      <c r="C1550" s="10"/>
      <c r="D1550" s="10"/>
      <c r="E1550" s="10"/>
      <c r="F1550" s="10"/>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0"/>
      <c r="AH1550" s="10"/>
      <c r="AI1550" s="10"/>
      <c r="AJ1550" s="10"/>
      <c r="AK1550" s="10"/>
      <c r="AL1550" s="10"/>
    </row>
    <row r="1551" spans="1:38">
      <c r="A1551" s="10"/>
      <c r="B1551" s="10"/>
      <c r="C1551" s="10"/>
      <c r="D1551" s="10"/>
      <c r="E1551" s="10"/>
      <c r="F1551" s="10"/>
      <c r="G1551" s="10"/>
      <c r="H1551" s="10"/>
      <c r="I1551" s="10"/>
      <c r="J1551" s="10"/>
      <c r="K1551" s="10"/>
      <c r="L1551" s="10"/>
      <c r="M1551" s="10"/>
      <c r="N1551" s="10"/>
      <c r="O1551" s="10"/>
      <c r="P1551" s="10"/>
      <c r="Q1551" s="10"/>
      <c r="R1551" s="10"/>
      <c r="S1551" s="10"/>
      <c r="T1551" s="10"/>
      <c r="U1551" s="10"/>
      <c r="V1551" s="10"/>
      <c r="W1551" s="10"/>
      <c r="X1551" s="10"/>
      <c r="Y1551" s="10"/>
      <c r="Z1551" s="10"/>
      <c r="AA1551" s="10"/>
      <c r="AB1551" s="10"/>
      <c r="AC1551" s="10"/>
      <c r="AD1551" s="10"/>
      <c r="AE1551" s="10"/>
      <c r="AF1551" s="10"/>
      <c r="AG1551" s="10"/>
      <c r="AH1551" s="10"/>
      <c r="AI1551" s="10"/>
      <c r="AJ1551" s="10"/>
      <c r="AK1551" s="10"/>
      <c r="AL1551" s="10"/>
    </row>
    <row r="1552" spans="1:38">
      <c r="A1552" s="10"/>
      <c r="B1552" s="10"/>
      <c r="C1552" s="10"/>
      <c r="D1552" s="10"/>
      <c r="E1552" s="10"/>
      <c r="F1552" s="10"/>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0"/>
      <c r="AH1552" s="10"/>
      <c r="AI1552" s="10"/>
      <c r="AJ1552" s="10"/>
      <c r="AK1552" s="10"/>
      <c r="AL1552" s="10"/>
    </row>
    <row r="1553" spans="1:38">
      <c r="A1553" s="10"/>
      <c r="B1553" s="10"/>
      <c r="C1553" s="10"/>
      <c r="D1553" s="10"/>
      <c r="E1553" s="10"/>
      <c r="F1553" s="10"/>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0"/>
      <c r="AH1553" s="10"/>
      <c r="AI1553" s="10"/>
      <c r="AJ1553" s="10"/>
      <c r="AK1553" s="10"/>
      <c r="AL1553" s="10"/>
    </row>
    <row r="1554" spans="1:38">
      <c r="A1554" s="10"/>
      <c r="B1554" s="10"/>
      <c r="C1554" s="10"/>
      <c r="D1554" s="10"/>
      <c r="E1554" s="10"/>
      <c r="F1554" s="10"/>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0"/>
      <c r="AH1554" s="10"/>
      <c r="AI1554" s="10"/>
      <c r="AJ1554" s="10"/>
      <c r="AK1554" s="10"/>
      <c r="AL1554" s="10"/>
    </row>
    <row r="1555" spans="1:38">
      <c r="A1555" s="10"/>
      <c r="B1555" s="10"/>
      <c r="C1555" s="10"/>
      <c r="D1555" s="10"/>
      <c r="E1555" s="10"/>
      <c r="F1555" s="10"/>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0"/>
      <c r="AH1555" s="10"/>
      <c r="AI1555" s="10"/>
      <c r="AJ1555" s="10"/>
      <c r="AK1555" s="10"/>
      <c r="AL1555" s="10"/>
    </row>
    <row r="1556" spans="1:38">
      <c r="A1556" s="10"/>
      <c r="B1556" s="10"/>
      <c r="C1556" s="10"/>
      <c r="D1556" s="10"/>
      <c r="E1556" s="10"/>
      <c r="F1556" s="10"/>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0"/>
      <c r="AH1556" s="10"/>
      <c r="AI1556" s="10"/>
      <c r="AJ1556" s="10"/>
      <c r="AK1556" s="10"/>
      <c r="AL1556" s="10"/>
    </row>
    <row r="1557" spans="1:38">
      <c r="A1557" s="10"/>
      <c r="B1557" s="10"/>
      <c r="C1557" s="10"/>
      <c r="D1557" s="10"/>
      <c r="E1557" s="10"/>
      <c r="F1557" s="10"/>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0"/>
      <c r="AH1557" s="10"/>
      <c r="AI1557" s="10"/>
      <c r="AJ1557" s="10"/>
      <c r="AK1557" s="10"/>
      <c r="AL1557" s="10"/>
    </row>
    <row r="1558" spans="1:38">
      <c r="A1558" s="9"/>
      <c r="B1558" s="9"/>
      <c r="C1558" s="9"/>
      <c r="D1558" s="9"/>
      <c r="E1558" s="9"/>
      <c r="F1558" s="9"/>
      <c r="G1558" s="9"/>
      <c r="H1558" s="9"/>
      <c r="I1558" s="9"/>
      <c r="J1558" s="9"/>
      <c r="K1558" s="9"/>
      <c r="L1558" s="9"/>
      <c r="M1558" s="9"/>
      <c r="N1558" s="9"/>
      <c r="O1558" s="9"/>
      <c r="P1558" s="9"/>
      <c r="Q1558" s="9"/>
      <c r="R1558" s="9"/>
      <c r="S1558" s="9"/>
      <c r="T1558" s="9"/>
      <c r="U1558" s="9"/>
      <c r="V1558" s="9"/>
      <c r="W1558" s="9"/>
      <c r="X1558" s="9"/>
      <c r="Y1558" s="9"/>
      <c r="Z1558" s="9"/>
      <c r="AA1558" s="9"/>
      <c r="AB1558" s="9"/>
      <c r="AC1558" s="9"/>
      <c r="AD1558" s="9"/>
      <c r="AE1558" s="9"/>
      <c r="AF1558" s="9"/>
      <c r="AG1558" s="9"/>
      <c r="AH1558" s="9"/>
      <c r="AI1558" s="9"/>
      <c r="AJ1558" s="9"/>
      <c r="AK1558" s="9"/>
      <c r="AL1558" s="9"/>
    </row>
    <row r="1559" spans="1:38">
      <c r="A1559" s="11"/>
      <c r="B1559" s="11"/>
      <c r="C1559" s="11"/>
      <c r="D1559" s="11"/>
      <c r="E1559" s="11"/>
      <c r="F1559" s="11"/>
      <c r="G1559" s="11"/>
      <c r="H1559" s="11"/>
      <c r="I1559" s="11"/>
      <c r="J1559" s="11"/>
      <c r="K1559" s="11"/>
      <c r="L1559" s="11"/>
      <c r="M1559" s="11"/>
      <c r="N1559" s="11"/>
      <c r="O1559" s="11"/>
      <c r="P1559" s="11"/>
      <c r="Q1559" s="11"/>
      <c r="R1559" s="11"/>
      <c r="S1559" s="11"/>
      <c r="T1559" s="11"/>
      <c r="U1559" s="11"/>
      <c r="V1559" s="11"/>
      <c r="W1559" s="11"/>
      <c r="X1559" s="11"/>
      <c r="Y1559" s="11"/>
      <c r="Z1559" s="11"/>
      <c r="AA1559" s="11"/>
      <c r="AB1559" s="11"/>
      <c r="AC1559" s="11"/>
      <c r="AD1559" s="11"/>
      <c r="AE1559" s="11"/>
      <c r="AF1559" s="11"/>
      <c r="AG1559" s="11"/>
      <c r="AH1559" s="11"/>
      <c r="AI1559" s="11"/>
      <c r="AJ1559" s="11"/>
      <c r="AK1559" s="11"/>
      <c r="AL1559" s="11"/>
    </row>
    <row r="1570" spans="1:38">
      <c r="A1570" s="14"/>
      <c r="B1570" s="14"/>
      <c r="C1570" s="14"/>
      <c r="D1570" s="14"/>
      <c r="E1570" s="14"/>
      <c r="F1570" s="14"/>
      <c r="G1570" s="14"/>
      <c r="H1570" s="14"/>
      <c r="I1570" s="14"/>
      <c r="J1570" s="14"/>
      <c r="K1570" s="14"/>
      <c r="L1570" s="14"/>
      <c r="M1570" s="14"/>
      <c r="N1570" s="14"/>
      <c r="O1570" s="14"/>
      <c r="P1570" s="14"/>
      <c r="Q1570" s="14"/>
      <c r="R1570" s="14"/>
      <c r="S1570" s="14"/>
      <c r="T1570" s="14"/>
      <c r="U1570" s="14"/>
      <c r="V1570" s="14"/>
      <c r="W1570" s="14"/>
      <c r="X1570" s="14"/>
      <c r="Y1570" s="14"/>
      <c r="Z1570" s="14"/>
      <c r="AA1570" s="14"/>
      <c r="AB1570" s="14"/>
      <c r="AC1570" s="14"/>
      <c r="AD1570" s="14"/>
      <c r="AE1570" s="14"/>
      <c r="AF1570" s="14"/>
      <c r="AG1570" s="14"/>
      <c r="AH1570" s="14"/>
      <c r="AI1570" s="14"/>
      <c r="AJ1570" s="14"/>
      <c r="AK1570" s="14"/>
      <c r="AL1570" s="14"/>
    </row>
    <row r="1571" spans="1:38">
      <c r="A1571" s="9"/>
      <c r="B1571" s="9"/>
      <c r="C1571" s="9"/>
      <c r="D1571" s="9"/>
      <c r="E1571" s="9"/>
      <c r="F1571" s="9"/>
      <c r="G1571" s="9"/>
      <c r="H1571" s="9"/>
      <c r="I1571" s="9"/>
      <c r="J1571" s="9"/>
      <c r="K1571" s="9"/>
      <c r="L1571" s="9"/>
      <c r="M1571" s="9"/>
      <c r="N1571" s="9"/>
      <c r="O1571" s="9"/>
      <c r="P1571" s="9"/>
      <c r="Q1571" s="9"/>
      <c r="R1571" s="9"/>
      <c r="S1571" s="9"/>
      <c r="T1571" s="9"/>
      <c r="U1571" s="9"/>
      <c r="V1571" s="9"/>
      <c r="W1571" s="9"/>
      <c r="X1571" s="9"/>
      <c r="Y1571" s="9"/>
      <c r="Z1571" s="9"/>
      <c r="AA1571" s="9"/>
      <c r="AB1571" s="9"/>
      <c r="AC1571" s="9"/>
      <c r="AD1571" s="9"/>
      <c r="AE1571" s="9"/>
      <c r="AF1571" s="9"/>
      <c r="AG1571" s="9"/>
      <c r="AH1571" s="9"/>
      <c r="AI1571" s="9"/>
      <c r="AJ1571" s="9"/>
      <c r="AK1571" s="9"/>
      <c r="AL1571" s="9"/>
    </row>
    <row r="1572" spans="1:38">
      <c r="A1572" s="10"/>
      <c r="B1572" s="10"/>
      <c r="C1572" s="10"/>
      <c r="D1572" s="10"/>
      <c r="E1572" s="10"/>
      <c r="F1572" s="10"/>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0"/>
      <c r="AH1572" s="10"/>
      <c r="AI1572" s="10"/>
      <c r="AJ1572" s="10"/>
      <c r="AK1572" s="10"/>
      <c r="AL1572" s="10"/>
    </row>
    <row r="1573" spans="1:38">
      <c r="A1573" s="10"/>
      <c r="B1573" s="10"/>
      <c r="C1573" s="10"/>
      <c r="D1573" s="10"/>
      <c r="E1573" s="10"/>
      <c r="F1573" s="10"/>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0"/>
      <c r="AH1573" s="10"/>
      <c r="AI1573" s="10"/>
      <c r="AJ1573" s="10"/>
      <c r="AK1573" s="10"/>
      <c r="AL1573" s="10"/>
    </row>
    <row r="1574" spans="1:38">
      <c r="A1574" s="10"/>
      <c r="B1574" s="10"/>
      <c r="C1574" s="10"/>
      <c r="D1574" s="10"/>
      <c r="E1574" s="10"/>
      <c r="F1574" s="10"/>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0"/>
      <c r="AH1574" s="10"/>
      <c r="AI1574" s="10"/>
      <c r="AJ1574" s="10"/>
      <c r="AK1574" s="10"/>
      <c r="AL1574" s="10"/>
    </row>
    <row r="1575" spans="1:38">
      <c r="A1575" s="10"/>
      <c r="B1575" s="10"/>
      <c r="C1575" s="10"/>
      <c r="D1575" s="10"/>
      <c r="E1575" s="10"/>
      <c r="F1575" s="10"/>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0"/>
      <c r="AH1575" s="10"/>
      <c r="AI1575" s="10"/>
      <c r="AJ1575" s="10"/>
      <c r="AK1575" s="10"/>
      <c r="AL1575" s="10"/>
    </row>
    <row r="1576" spans="1:38">
      <c r="A1576" s="10"/>
      <c r="B1576" s="10"/>
      <c r="C1576" s="10"/>
      <c r="D1576" s="10"/>
      <c r="E1576" s="10"/>
      <c r="F1576" s="10"/>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0"/>
      <c r="AH1576" s="10"/>
      <c r="AI1576" s="10"/>
      <c r="AJ1576" s="10"/>
      <c r="AK1576" s="10"/>
      <c r="AL1576" s="10"/>
    </row>
    <row r="1577" spans="1:38">
      <c r="A1577" s="10"/>
      <c r="B1577" s="10"/>
      <c r="C1577" s="10"/>
      <c r="D1577" s="10"/>
      <c r="E1577" s="10"/>
      <c r="F1577" s="10"/>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0"/>
      <c r="AH1577" s="10"/>
      <c r="AI1577" s="10"/>
      <c r="AJ1577" s="10"/>
      <c r="AK1577" s="10"/>
      <c r="AL1577" s="10"/>
    </row>
    <row r="1578" spans="1:38">
      <c r="A1578" s="10"/>
      <c r="B1578" s="10"/>
      <c r="C1578" s="10"/>
      <c r="D1578" s="10"/>
      <c r="E1578" s="10"/>
      <c r="F1578" s="10"/>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0"/>
      <c r="AH1578" s="10"/>
      <c r="AI1578" s="10"/>
      <c r="AJ1578" s="10"/>
      <c r="AK1578" s="10"/>
      <c r="AL1578" s="10"/>
    </row>
    <row r="1579" spans="1:38">
      <c r="A1579" s="10"/>
      <c r="B1579" s="10"/>
      <c r="C1579" s="10"/>
      <c r="D1579" s="10"/>
      <c r="E1579" s="10"/>
      <c r="F1579" s="10"/>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0"/>
      <c r="AH1579" s="10"/>
      <c r="AI1579" s="10"/>
      <c r="AJ1579" s="10"/>
      <c r="AK1579" s="10"/>
      <c r="AL1579" s="10"/>
    </row>
    <row r="1580" spans="1:38">
      <c r="A1580" s="10"/>
      <c r="B1580" s="10"/>
      <c r="C1580" s="10"/>
      <c r="D1580" s="10"/>
      <c r="E1580" s="10"/>
      <c r="F1580" s="10"/>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0"/>
      <c r="AH1580" s="10"/>
      <c r="AI1580" s="10"/>
      <c r="AJ1580" s="10"/>
      <c r="AK1580" s="10"/>
      <c r="AL1580" s="10"/>
    </row>
    <row r="1581" spans="1:38">
      <c r="A1581" s="10"/>
      <c r="B1581" s="10"/>
      <c r="C1581" s="10"/>
      <c r="D1581" s="10"/>
      <c r="E1581" s="10"/>
      <c r="F1581" s="10"/>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0"/>
      <c r="AH1581" s="10"/>
      <c r="AI1581" s="10"/>
      <c r="AJ1581" s="10"/>
      <c r="AK1581" s="10"/>
      <c r="AL1581" s="10"/>
    </row>
    <row r="1582" spans="1:38">
      <c r="A1582" s="9"/>
      <c r="B1582" s="9"/>
      <c r="C1582" s="9"/>
      <c r="D1582" s="9"/>
      <c r="E1582" s="9"/>
      <c r="F1582" s="9"/>
      <c r="G1582" s="9"/>
      <c r="H1582" s="9"/>
      <c r="I1582" s="9"/>
      <c r="J1582" s="9"/>
      <c r="K1582" s="9"/>
      <c r="L1582" s="9"/>
      <c r="M1582" s="9"/>
      <c r="N1582" s="9"/>
      <c r="O1582" s="9"/>
      <c r="P1582" s="9"/>
      <c r="Q1582" s="9"/>
      <c r="R1582" s="9"/>
      <c r="S1582" s="9"/>
      <c r="T1582" s="9"/>
      <c r="U1582" s="9"/>
      <c r="V1582" s="9"/>
      <c r="W1582" s="9"/>
      <c r="X1582" s="9"/>
      <c r="Y1582" s="9"/>
      <c r="Z1582" s="9"/>
      <c r="AA1582" s="9"/>
      <c r="AB1582" s="9"/>
      <c r="AC1582" s="9"/>
      <c r="AD1582" s="9"/>
      <c r="AE1582" s="9"/>
      <c r="AF1582" s="9"/>
      <c r="AG1582" s="9"/>
      <c r="AH1582" s="9"/>
      <c r="AI1582" s="9"/>
      <c r="AJ1582" s="9"/>
      <c r="AK1582" s="9"/>
      <c r="AL1582" s="9"/>
    </row>
    <row r="1583" spans="1:38">
      <c r="A1583" s="11"/>
      <c r="B1583" s="11"/>
      <c r="C1583" s="11"/>
      <c r="D1583" s="11"/>
      <c r="E1583" s="11"/>
      <c r="F1583" s="11"/>
      <c r="G1583" s="11"/>
      <c r="H1583" s="11"/>
      <c r="I1583" s="11"/>
      <c r="J1583" s="11"/>
      <c r="K1583" s="11"/>
      <c r="L1583" s="11"/>
      <c r="M1583" s="11"/>
      <c r="N1583" s="11"/>
      <c r="O1583" s="11"/>
      <c r="P1583" s="11"/>
      <c r="Q1583" s="11"/>
      <c r="R1583" s="11"/>
      <c r="S1583" s="11"/>
      <c r="T1583" s="11"/>
      <c r="U1583" s="11"/>
      <c r="V1583" s="11"/>
      <c r="W1583" s="11"/>
      <c r="X1583" s="11"/>
      <c r="Y1583" s="11"/>
      <c r="Z1583" s="11"/>
      <c r="AA1583" s="11"/>
      <c r="AB1583" s="11"/>
      <c r="AC1583" s="11"/>
      <c r="AD1583" s="11"/>
      <c r="AE1583" s="11"/>
      <c r="AF1583" s="11"/>
      <c r="AG1583" s="11"/>
      <c r="AH1583" s="11"/>
      <c r="AI1583" s="11"/>
      <c r="AJ1583" s="11"/>
      <c r="AK1583" s="11"/>
      <c r="AL1583" s="11"/>
    </row>
    <row r="1596" spans="1:38">
      <c r="A1596" s="14"/>
      <c r="B1596" s="14"/>
      <c r="C1596" s="14"/>
      <c r="D1596" s="14"/>
      <c r="E1596" s="14"/>
      <c r="F1596" s="14"/>
      <c r="G1596" s="14"/>
      <c r="H1596" s="14"/>
      <c r="I1596" s="14"/>
      <c r="J1596" s="14"/>
      <c r="K1596" s="14"/>
      <c r="L1596" s="14"/>
      <c r="M1596" s="14"/>
      <c r="N1596" s="14"/>
      <c r="O1596" s="14"/>
      <c r="P1596" s="14"/>
      <c r="Q1596" s="14"/>
      <c r="R1596" s="14"/>
      <c r="S1596" s="14"/>
      <c r="T1596" s="14"/>
      <c r="U1596" s="14"/>
      <c r="V1596" s="14"/>
      <c r="W1596" s="14"/>
      <c r="X1596" s="14"/>
      <c r="Y1596" s="14"/>
      <c r="Z1596" s="14"/>
      <c r="AA1596" s="14"/>
      <c r="AB1596" s="14"/>
      <c r="AC1596" s="14"/>
      <c r="AD1596" s="14"/>
      <c r="AE1596" s="14"/>
      <c r="AF1596" s="14"/>
      <c r="AG1596" s="14"/>
      <c r="AH1596" s="14"/>
      <c r="AI1596" s="14"/>
      <c r="AJ1596" s="14"/>
      <c r="AK1596" s="14"/>
      <c r="AL1596" s="14"/>
    </row>
    <row r="1597" spans="1:38">
      <c r="A1597" s="9"/>
      <c r="B1597" s="9"/>
      <c r="C1597" s="9"/>
      <c r="D1597" s="9"/>
      <c r="E1597" s="9"/>
      <c r="F1597" s="9"/>
      <c r="G1597" s="9"/>
      <c r="H1597" s="9"/>
      <c r="I1597" s="9"/>
      <c r="J1597" s="9"/>
      <c r="K1597" s="9"/>
      <c r="L1597" s="9"/>
      <c r="M1597" s="9"/>
      <c r="N1597" s="9"/>
      <c r="O1597" s="9"/>
      <c r="P1597" s="9"/>
      <c r="Q1597" s="9"/>
      <c r="R1597" s="9"/>
      <c r="S1597" s="9"/>
      <c r="T1597" s="9"/>
      <c r="U1597" s="9"/>
      <c r="V1597" s="9"/>
      <c r="W1597" s="9"/>
      <c r="X1597" s="9"/>
      <c r="Y1597" s="9"/>
      <c r="Z1597" s="9"/>
      <c r="AA1597" s="9"/>
      <c r="AB1597" s="9"/>
      <c r="AC1597" s="9"/>
      <c r="AD1597" s="9"/>
      <c r="AE1597" s="9"/>
      <c r="AF1597" s="9"/>
      <c r="AG1597" s="9"/>
      <c r="AH1597" s="9"/>
      <c r="AI1597" s="9"/>
      <c r="AJ1597" s="9"/>
      <c r="AK1597" s="9"/>
      <c r="AL1597" s="9"/>
    </row>
    <row r="1598" spans="1:38">
      <c r="A1598" s="10"/>
      <c r="B1598" s="10"/>
      <c r="C1598" s="10"/>
      <c r="D1598" s="10"/>
      <c r="E1598" s="10"/>
      <c r="F1598" s="10"/>
      <c r="G1598" s="10"/>
      <c r="H1598" s="10"/>
      <c r="I1598" s="10"/>
      <c r="J1598" s="10"/>
      <c r="K1598" s="10"/>
      <c r="L1598" s="10"/>
      <c r="M1598" s="10"/>
      <c r="N1598" s="10"/>
      <c r="O1598" s="10"/>
      <c r="P1598" s="10"/>
      <c r="Q1598" s="10"/>
      <c r="R1598" s="10"/>
      <c r="S1598" s="10"/>
      <c r="T1598" s="10"/>
      <c r="U1598" s="10"/>
      <c r="V1598" s="10"/>
      <c r="W1598" s="10"/>
      <c r="X1598" s="10"/>
      <c r="Y1598" s="10"/>
      <c r="Z1598" s="10"/>
      <c r="AA1598" s="10"/>
      <c r="AB1598" s="10"/>
      <c r="AC1598" s="10"/>
      <c r="AD1598" s="10"/>
      <c r="AE1598" s="10"/>
      <c r="AF1598" s="10"/>
      <c r="AG1598" s="10"/>
      <c r="AH1598" s="10"/>
      <c r="AI1598" s="10"/>
      <c r="AJ1598" s="10"/>
      <c r="AK1598" s="10"/>
      <c r="AL1598" s="10"/>
    </row>
    <row r="1599" spans="1:38">
      <c r="A1599" s="10"/>
      <c r="B1599" s="10"/>
      <c r="C1599" s="10"/>
      <c r="D1599" s="10"/>
      <c r="E1599" s="10"/>
      <c r="F1599" s="10"/>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0"/>
      <c r="AH1599" s="10"/>
      <c r="AI1599" s="10"/>
      <c r="AJ1599" s="10"/>
      <c r="AK1599" s="10"/>
      <c r="AL1599" s="10"/>
    </row>
    <row r="1600" spans="1:38">
      <c r="A1600" s="10"/>
      <c r="B1600" s="10"/>
      <c r="C1600" s="10"/>
      <c r="D1600" s="10"/>
      <c r="E1600" s="10"/>
      <c r="F1600" s="10"/>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0"/>
      <c r="AH1600" s="10"/>
      <c r="AI1600" s="10"/>
      <c r="AJ1600" s="10"/>
      <c r="AK1600" s="10"/>
      <c r="AL1600" s="10"/>
    </row>
    <row r="1601" spans="1:38">
      <c r="A1601" s="10"/>
      <c r="B1601" s="10"/>
      <c r="C1601" s="10"/>
      <c r="D1601" s="10"/>
      <c r="E1601" s="10"/>
      <c r="F1601" s="10"/>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0"/>
      <c r="AH1601" s="10"/>
      <c r="AI1601" s="10"/>
      <c r="AJ1601" s="10"/>
      <c r="AK1601" s="10"/>
      <c r="AL1601" s="10"/>
    </row>
    <row r="1602" spans="1:38">
      <c r="A1602" s="10"/>
      <c r="B1602" s="10"/>
      <c r="C1602" s="10"/>
      <c r="D1602" s="10"/>
      <c r="E1602" s="10"/>
      <c r="F1602" s="10"/>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0"/>
      <c r="AH1602" s="10"/>
      <c r="AI1602" s="10"/>
      <c r="AJ1602" s="10"/>
      <c r="AK1602" s="10"/>
      <c r="AL1602" s="10"/>
    </row>
    <row r="1603" spans="1:38">
      <c r="A1603" s="10"/>
      <c r="B1603" s="10"/>
      <c r="C1603" s="10"/>
      <c r="D1603" s="10"/>
      <c r="E1603" s="10"/>
      <c r="F1603" s="10"/>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0"/>
      <c r="AH1603" s="10"/>
      <c r="AI1603" s="10"/>
      <c r="AJ1603" s="10"/>
      <c r="AK1603" s="10"/>
      <c r="AL1603" s="10"/>
    </row>
    <row r="1604" spans="1:38">
      <c r="A1604" s="10"/>
      <c r="B1604" s="10"/>
      <c r="C1604" s="10"/>
      <c r="D1604" s="10"/>
      <c r="E1604" s="10"/>
      <c r="F1604" s="10"/>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0"/>
      <c r="AH1604" s="10"/>
      <c r="AI1604" s="10"/>
      <c r="AJ1604" s="10"/>
      <c r="AK1604" s="10"/>
      <c r="AL1604" s="10"/>
    </row>
    <row r="1605" spans="1:38">
      <c r="A1605" s="10"/>
      <c r="B1605" s="10"/>
      <c r="C1605" s="10"/>
      <c r="D1605" s="10"/>
      <c r="E1605" s="10"/>
      <c r="F1605" s="10"/>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0"/>
      <c r="AH1605" s="10"/>
      <c r="AI1605" s="10"/>
      <c r="AJ1605" s="10"/>
      <c r="AK1605" s="10"/>
      <c r="AL1605" s="10"/>
    </row>
    <row r="1606" spans="1:38">
      <c r="A1606" s="10"/>
      <c r="B1606" s="10"/>
      <c r="C1606" s="10"/>
      <c r="D1606" s="10"/>
      <c r="E1606" s="10"/>
      <c r="F1606" s="10"/>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0"/>
      <c r="AH1606" s="10"/>
      <c r="AI1606" s="10"/>
      <c r="AJ1606" s="10"/>
      <c r="AK1606" s="10"/>
      <c r="AL1606" s="10"/>
    </row>
    <row r="1607" spans="1:38">
      <c r="A1607" s="10"/>
      <c r="B1607" s="10"/>
      <c r="C1607" s="10"/>
      <c r="D1607" s="10"/>
      <c r="E1607" s="10"/>
      <c r="F1607" s="10"/>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0"/>
      <c r="AH1607" s="10"/>
      <c r="AI1607" s="10"/>
      <c r="AJ1607" s="10"/>
      <c r="AK1607" s="10"/>
      <c r="AL1607" s="10"/>
    </row>
    <row r="1608" spans="1:38">
      <c r="A1608" s="9"/>
      <c r="B1608" s="9"/>
      <c r="C1608" s="9"/>
      <c r="D1608" s="9"/>
      <c r="E1608" s="9"/>
      <c r="F1608" s="9"/>
      <c r="G1608" s="9"/>
      <c r="H1608" s="9"/>
      <c r="I1608" s="9"/>
      <c r="J1608" s="9"/>
      <c r="K1608" s="9"/>
      <c r="L1608" s="9"/>
      <c r="M1608" s="9"/>
      <c r="N1608" s="9"/>
      <c r="O1608" s="9"/>
      <c r="P1608" s="9"/>
      <c r="Q1608" s="9"/>
      <c r="R1608" s="9"/>
      <c r="S1608" s="9"/>
      <c r="T1608" s="9"/>
      <c r="U1608" s="9"/>
      <c r="V1608" s="9"/>
      <c r="W1608" s="9"/>
      <c r="X1608" s="9"/>
      <c r="Y1608" s="9"/>
      <c r="Z1608" s="9"/>
      <c r="AA1608" s="9"/>
      <c r="AB1608" s="9"/>
      <c r="AC1608" s="9"/>
      <c r="AD1608" s="9"/>
      <c r="AE1608" s="9"/>
      <c r="AF1608" s="9"/>
      <c r="AG1608" s="9"/>
      <c r="AH1608" s="9"/>
      <c r="AI1608" s="9"/>
      <c r="AJ1608" s="9"/>
      <c r="AK1608" s="9"/>
      <c r="AL1608" s="9"/>
    </row>
    <row r="1609" spans="1:38">
      <c r="A1609" s="11"/>
      <c r="B1609" s="11"/>
      <c r="C1609" s="11"/>
      <c r="D1609" s="11"/>
      <c r="E1609" s="11"/>
      <c r="F1609" s="11"/>
      <c r="G1609" s="11"/>
      <c r="H1609" s="11"/>
      <c r="I1609" s="11"/>
      <c r="J1609" s="11"/>
      <c r="K1609" s="11"/>
      <c r="L1609" s="11"/>
      <c r="M1609" s="11"/>
      <c r="N1609" s="11"/>
      <c r="O1609" s="11"/>
      <c r="P1609" s="11"/>
      <c r="Q1609" s="11"/>
      <c r="R1609" s="11"/>
      <c r="S1609" s="11"/>
      <c r="T1609" s="11"/>
      <c r="U1609" s="11"/>
      <c r="V1609" s="11"/>
      <c r="W1609" s="11"/>
      <c r="X1609" s="11"/>
      <c r="Y1609" s="11"/>
      <c r="Z1609" s="11"/>
      <c r="AA1609" s="11"/>
      <c r="AB1609" s="11"/>
      <c r="AC1609" s="11"/>
      <c r="AD1609" s="11"/>
      <c r="AE1609" s="11"/>
      <c r="AF1609" s="11"/>
      <c r="AG1609" s="11"/>
      <c r="AH1609" s="11"/>
      <c r="AI1609" s="11"/>
      <c r="AJ1609" s="11"/>
      <c r="AK1609" s="11"/>
      <c r="AL1609" s="11"/>
    </row>
    <row r="1619" spans="1:38">
      <c r="A1619" s="14"/>
      <c r="B1619" s="14"/>
      <c r="C1619" s="14"/>
      <c r="D1619" s="14"/>
      <c r="E1619" s="14"/>
      <c r="F1619" s="14"/>
      <c r="G1619" s="14"/>
      <c r="H1619" s="14"/>
      <c r="I1619" s="14"/>
      <c r="J1619" s="14"/>
      <c r="K1619" s="14"/>
      <c r="L1619" s="14"/>
      <c r="M1619" s="14"/>
      <c r="N1619" s="14"/>
      <c r="O1619" s="14"/>
      <c r="P1619" s="14"/>
      <c r="Q1619" s="14"/>
      <c r="R1619" s="14"/>
      <c r="S1619" s="14"/>
      <c r="T1619" s="14"/>
      <c r="U1619" s="14"/>
      <c r="V1619" s="14"/>
      <c r="W1619" s="14"/>
      <c r="X1619" s="14"/>
      <c r="Y1619" s="14"/>
      <c r="Z1619" s="14"/>
      <c r="AA1619" s="14"/>
      <c r="AB1619" s="14"/>
      <c r="AC1619" s="14"/>
      <c r="AD1619" s="14"/>
      <c r="AE1619" s="14"/>
      <c r="AF1619" s="14"/>
      <c r="AG1619" s="14"/>
      <c r="AH1619" s="14"/>
      <c r="AI1619" s="14"/>
      <c r="AJ1619" s="14"/>
      <c r="AK1619" s="14"/>
      <c r="AL1619" s="14"/>
    </row>
    <row r="1620" spans="1:38">
      <c r="A1620" s="9"/>
      <c r="B1620" s="9"/>
      <c r="C1620" s="9"/>
      <c r="D1620" s="9"/>
      <c r="E1620" s="9"/>
      <c r="F1620" s="9"/>
      <c r="G1620" s="9"/>
      <c r="H1620" s="9"/>
      <c r="I1620" s="9"/>
      <c r="J1620" s="9"/>
      <c r="K1620" s="9"/>
      <c r="L1620" s="9"/>
      <c r="M1620" s="9"/>
      <c r="N1620" s="9"/>
      <c r="O1620" s="9"/>
      <c r="P1620" s="9"/>
      <c r="Q1620" s="9"/>
      <c r="R1620" s="9"/>
      <c r="S1620" s="9"/>
      <c r="T1620" s="9"/>
      <c r="U1620" s="9"/>
      <c r="V1620" s="9"/>
      <c r="W1620" s="9"/>
      <c r="X1620" s="9"/>
      <c r="Y1620" s="9"/>
      <c r="Z1620" s="9"/>
      <c r="AA1620" s="9"/>
      <c r="AB1620" s="9"/>
      <c r="AC1620" s="9"/>
      <c r="AD1620" s="9"/>
      <c r="AE1620" s="9"/>
      <c r="AF1620" s="9"/>
      <c r="AG1620" s="9"/>
      <c r="AH1620" s="9"/>
      <c r="AI1620" s="9"/>
      <c r="AJ1620" s="9"/>
      <c r="AK1620" s="9"/>
      <c r="AL1620" s="9"/>
    </row>
    <row r="1621" spans="1:38">
      <c r="A1621" s="10"/>
      <c r="B1621" s="10"/>
      <c r="C1621" s="10"/>
      <c r="D1621" s="10"/>
      <c r="E1621" s="10"/>
      <c r="F1621" s="10"/>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0"/>
      <c r="AH1621" s="10"/>
      <c r="AI1621" s="10"/>
      <c r="AJ1621" s="10"/>
      <c r="AK1621" s="10"/>
      <c r="AL1621" s="10"/>
    </row>
    <row r="1622" spans="1:38">
      <c r="A1622" s="10"/>
      <c r="B1622" s="10"/>
      <c r="C1622" s="10"/>
      <c r="D1622" s="10"/>
      <c r="E1622" s="10"/>
      <c r="F1622" s="10"/>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0"/>
      <c r="AH1622" s="10"/>
      <c r="AI1622" s="10"/>
      <c r="AJ1622" s="10"/>
      <c r="AK1622" s="10"/>
      <c r="AL1622" s="10"/>
    </row>
    <row r="1623" spans="1:38">
      <c r="A1623" s="10"/>
      <c r="B1623" s="10"/>
      <c r="C1623" s="10"/>
      <c r="D1623" s="10"/>
      <c r="E1623" s="10"/>
      <c r="F1623" s="10"/>
      <c r="G1623" s="10"/>
      <c r="H1623" s="10"/>
      <c r="I1623" s="10"/>
      <c r="J1623" s="10"/>
      <c r="K1623" s="10"/>
      <c r="L1623" s="10"/>
      <c r="M1623" s="10"/>
      <c r="N1623" s="10"/>
      <c r="O1623" s="10"/>
      <c r="P1623" s="10"/>
      <c r="Q1623" s="10"/>
      <c r="R1623" s="10"/>
      <c r="S1623" s="10"/>
      <c r="T1623" s="10"/>
      <c r="U1623" s="10"/>
      <c r="V1623" s="10"/>
      <c r="W1623" s="10"/>
      <c r="X1623" s="10"/>
      <c r="Y1623" s="10"/>
      <c r="Z1623" s="10"/>
      <c r="AA1623" s="10"/>
      <c r="AB1623" s="10"/>
      <c r="AC1623" s="10"/>
      <c r="AD1623" s="10"/>
      <c r="AE1623" s="10"/>
      <c r="AF1623" s="10"/>
      <c r="AG1623" s="10"/>
      <c r="AH1623" s="10"/>
      <c r="AI1623" s="10"/>
      <c r="AJ1623" s="10"/>
      <c r="AK1623" s="10"/>
      <c r="AL1623" s="10"/>
    </row>
    <row r="1624" spans="1:38">
      <c r="A1624" s="10"/>
      <c r="B1624" s="10"/>
      <c r="C1624" s="10"/>
      <c r="D1624" s="10"/>
      <c r="E1624" s="10"/>
      <c r="F1624" s="10"/>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0"/>
      <c r="AH1624" s="10"/>
      <c r="AI1624" s="10"/>
      <c r="AJ1624" s="10"/>
      <c r="AK1624" s="10"/>
      <c r="AL1624" s="10"/>
    </row>
    <row r="1625" spans="1:38">
      <c r="A1625" s="10"/>
      <c r="B1625" s="10"/>
      <c r="C1625" s="10"/>
      <c r="D1625" s="10"/>
      <c r="E1625" s="10"/>
      <c r="F1625" s="10"/>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0"/>
      <c r="AH1625" s="10"/>
      <c r="AI1625" s="10"/>
      <c r="AJ1625" s="10"/>
      <c r="AK1625" s="10"/>
      <c r="AL1625" s="10"/>
    </row>
    <row r="1626" spans="1:38">
      <c r="A1626" s="10"/>
      <c r="B1626" s="10"/>
      <c r="C1626" s="10"/>
      <c r="D1626" s="10"/>
      <c r="E1626" s="10"/>
      <c r="F1626" s="10"/>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0"/>
      <c r="AH1626" s="10"/>
      <c r="AI1626" s="10"/>
      <c r="AJ1626" s="10"/>
      <c r="AK1626" s="10"/>
      <c r="AL1626" s="10"/>
    </row>
    <row r="1627" spans="1:38">
      <c r="A1627" s="10"/>
      <c r="B1627" s="10"/>
      <c r="C1627" s="10"/>
      <c r="D1627" s="10"/>
      <c r="E1627" s="10"/>
      <c r="F1627" s="10"/>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0"/>
      <c r="AH1627" s="10"/>
      <c r="AI1627" s="10"/>
      <c r="AJ1627" s="10"/>
      <c r="AK1627" s="10"/>
      <c r="AL1627" s="10"/>
    </row>
    <row r="1628" spans="1:38">
      <c r="A1628" s="10"/>
      <c r="B1628" s="10"/>
      <c r="C1628" s="10"/>
      <c r="D1628" s="10"/>
      <c r="E1628" s="10"/>
      <c r="F1628" s="10"/>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0"/>
      <c r="AH1628" s="10"/>
      <c r="AI1628" s="10"/>
      <c r="AJ1628" s="10"/>
      <c r="AK1628" s="10"/>
      <c r="AL1628" s="10"/>
    </row>
    <row r="1629" spans="1:38">
      <c r="A1629" s="10"/>
      <c r="B1629" s="10"/>
      <c r="C1629" s="10"/>
      <c r="D1629" s="10"/>
      <c r="E1629" s="10"/>
      <c r="F1629" s="10"/>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0"/>
      <c r="AH1629" s="10"/>
      <c r="AI1629" s="10"/>
      <c r="AJ1629" s="10"/>
      <c r="AK1629" s="10"/>
      <c r="AL1629" s="10"/>
    </row>
    <row r="1630" spans="1:38">
      <c r="A1630" s="10"/>
      <c r="B1630" s="10"/>
      <c r="C1630" s="10"/>
      <c r="D1630" s="10"/>
      <c r="E1630" s="10"/>
      <c r="F1630" s="10"/>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0"/>
      <c r="AH1630" s="10"/>
      <c r="AI1630" s="10"/>
      <c r="AJ1630" s="10"/>
      <c r="AK1630" s="10"/>
      <c r="AL1630" s="10"/>
    </row>
    <row r="1631" spans="1:38">
      <c r="A1631" s="9"/>
      <c r="B1631" s="9"/>
      <c r="C1631" s="9"/>
      <c r="D1631" s="9"/>
      <c r="E1631" s="9"/>
      <c r="F1631" s="9"/>
      <c r="G1631" s="9"/>
      <c r="H1631" s="9"/>
      <c r="I1631" s="9"/>
      <c r="J1631" s="9"/>
      <c r="K1631" s="9"/>
      <c r="L1631" s="9"/>
      <c r="M1631" s="9"/>
      <c r="N1631" s="9"/>
      <c r="O1631" s="9"/>
      <c r="P1631" s="9"/>
      <c r="Q1631" s="9"/>
      <c r="R1631" s="9"/>
      <c r="S1631" s="9"/>
      <c r="T1631" s="9"/>
      <c r="U1631" s="9"/>
      <c r="V1631" s="9"/>
      <c r="W1631" s="9"/>
      <c r="X1631" s="9"/>
      <c r="Y1631" s="9"/>
      <c r="Z1631" s="9"/>
      <c r="AA1631" s="9"/>
      <c r="AB1631" s="9"/>
      <c r="AC1631" s="9"/>
      <c r="AD1631" s="9"/>
      <c r="AE1631" s="9"/>
      <c r="AF1631" s="9"/>
      <c r="AG1631" s="9"/>
      <c r="AH1631" s="9"/>
      <c r="AI1631" s="9"/>
      <c r="AJ1631" s="9"/>
      <c r="AK1631" s="9"/>
      <c r="AL1631" s="9"/>
    </row>
    <row r="1632" spans="1:38">
      <c r="A1632" s="11"/>
      <c r="B1632" s="11"/>
      <c r="C1632" s="11"/>
      <c r="D1632" s="11"/>
      <c r="E1632" s="11"/>
      <c r="F1632" s="11"/>
      <c r="G1632" s="11"/>
      <c r="H1632" s="11"/>
      <c r="I1632" s="11"/>
      <c r="J1632" s="11"/>
      <c r="K1632" s="11"/>
      <c r="L1632" s="11"/>
      <c r="M1632" s="11"/>
      <c r="N1632" s="11"/>
      <c r="O1632" s="11"/>
      <c r="P1632" s="11"/>
      <c r="Q1632" s="11"/>
      <c r="R1632" s="11"/>
      <c r="S1632" s="11"/>
      <c r="T1632" s="11"/>
      <c r="U1632" s="11"/>
      <c r="V1632" s="11"/>
      <c r="W1632" s="11"/>
      <c r="X1632" s="11"/>
      <c r="Y1632" s="11"/>
      <c r="Z1632" s="11"/>
      <c r="AA1632" s="11"/>
      <c r="AB1632" s="11"/>
      <c r="AC1632" s="11"/>
      <c r="AD1632" s="11"/>
      <c r="AE1632" s="11"/>
      <c r="AF1632" s="11"/>
      <c r="AG1632" s="11"/>
      <c r="AH1632" s="11"/>
      <c r="AI1632" s="11"/>
      <c r="AJ1632" s="11"/>
      <c r="AK1632" s="11"/>
      <c r="AL1632" s="11"/>
    </row>
    <row r="1642" spans="1:38">
      <c r="A1642" s="14"/>
      <c r="B1642" s="14"/>
      <c r="C1642" s="14"/>
      <c r="D1642" s="14"/>
      <c r="E1642" s="14"/>
      <c r="F1642" s="14"/>
      <c r="G1642" s="14"/>
      <c r="H1642" s="14"/>
      <c r="I1642" s="14"/>
      <c r="J1642" s="14"/>
      <c r="K1642" s="14"/>
      <c r="L1642" s="14"/>
      <c r="M1642" s="14"/>
      <c r="N1642" s="14"/>
      <c r="O1642" s="14"/>
      <c r="P1642" s="14"/>
      <c r="Q1642" s="14"/>
      <c r="R1642" s="14"/>
      <c r="S1642" s="14"/>
      <c r="T1642" s="14"/>
      <c r="U1642" s="14"/>
      <c r="V1642" s="14"/>
      <c r="W1642" s="14"/>
      <c r="X1642" s="14"/>
      <c r="Y1642" s="14"/>
      <c r="Z1642" s="14"/>
      <c r="AA1642" s="14"/>
      <c r="AB1642" s="14"/>
      <c r="AC1642" s="14"/>
      <c r="AD1642" s="14"/>
      <c r="AE1642" s="14"/>
      <c r="AF1642" s="14"/>
      <c r="AG1642" s="14"/>
      <c r="AH1642" s="14"/>
      <c r="AI1642" s="14"/>
      <c r="AJ1642" s="14"/>
      <c r="AK1642" s="14"/>
      <c r="AL1642" s="14"/>
    </row>
    <row r="1643" spans="1:38">
      <c r="A1643" s="9"/>
      <c r="B1643" s="9"/>
      <c r="C1643" s="9"/>
      <c r="D1643" s="9"/>
      <c r="E1643" s="9"/>
      <c r="F1643" s="9"/>
      <c r="G1643" s="9"/>
      <c r="H1643" s="9"/>
      <c r="I1643" s="9"/>
      <c r="J1643" s="9"/>
      <c r="K1643" s="9"/>
      <c r="L1643" s="9"/>
      <c r="M1643" s="9"/>
      <c r="N1643" s="9"/>
      <c r="O1643" s="9"/>
      <c r="P1643" s="9"/>
      <c r="Q1643" s="9"/>
      <c r="R1643" s="9"/>
      <c r="S1643" s="9"/>
      <c r="T1643" s="9"/>
      <c r="U1643" s="9"/>
      <c r="V1643" s="9"/>
      <c r="W1643" s="9"/>
      <c r="X1643" s="9"/>
      <c r="Y1643" s="9"/>
      <c r="Z1643" s="9"/>
      <c r="AA1643" s="9"/>
      <c r="AB1643" s="9"/>
      <c r="AC1643" s="9"/>
      <c r="AD1643" s="9"/>
      <c r="AE1643" s="9"/>
      <c r="AF1643" s="9"/>
      <c r="AG1643" s="9"/>
      <c r="AH1643" s="9"/>
      <c r="AI1643" s="9"/>
      <c r="AJ1643" s="9"/>
      <c r="AK1643" s="9"/>
      <c r="AL1643" s="9"/>
    </row>
    <row r="1644" spans="1:38">
      <c r="A1644" s="10"/>
      <c r="B1644" s="10"/>
      <c r="C1644" s="10"/>
      <c r="D1644" s="10"/>
      <c r="E1644" s="10"/>
      <c r="F1644" s="10"/>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0"/>
      <c r="AH1644" s="10"/>
      <c r="AI1644" s="10"/>
      <c r="AJ1644" s="10"/>
      <c r="AK1644" s="10"/>
      <c r="AL1644" s="10"/>
    </row>
    <row r="1645" spans="1:38">
      <c r="A1645" s="10"/>
      <c r="B1645" s="10"/>
      <c r="C1645" s="10"/>
      <c r="D1645" s="10"/>
      <c r="E1645" s="10"/>
      <c r="F1645" s="10"/>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0"/>
      <c r="AH1645" s="10"/>
      <c r="AI1645" s="10"/>
      <c r="AJ1645" s="10"/>
      <c r="AK1645" s="10"/>
      <c r="AL1645" s="10"/>
    </row>
    <row r="1646" spans="1:38">
      <c r="A1646" s="10"/>
      <c r="B1646" s="10"/>
      <c r="C1646" s="10"/>
      <c r="D1646" s="10"/>
      <c r="E1646" s="10"/>
      <c r="F1646" s="10"/>
      <c r="G1646" s="10"/>
      <c r="H1646" s="10"/>
      <c r="I1646" s="10"/>
      <c r="J1646" s="10"/>
      <c r="K1646" s="10"/>
      <c r="L1646" s="10"/>
      <c r="M1646" s="10"/>
      <c r="N1646" s="10"/>
      <c r="O1646" s="10"/>
      <c r="P1646" s="10"/>
      <c r="Q1646" s="10"/>
      <c r="R1646" s="10"/>
      <c r="S1646" s="10"/>
      <c r="T1646" s="10"/>
      <c r="U1646" s="10"/>
      <c r="V1646" s="10"/>
      <c r="W1646" s="10"/>
      <c r="X1646" s="10"/>
      <c r="Y1646" s="10"/>
      <c r="Z1646" s="10"/>
      <c r="AA1646" s="10"/>
      <c r="AB1646" s="10"/>
      <c r="AC1646" s="10"/>
      <c r="AD1646" s="10"/>
      <c r="AE1646" s="10"/>
      <c r="AF1646" s="10"/>
      <c r="AG1646" s="10"/>
      <c r="AH1646" s="10"/>
      <c r="AI1646" s="10"/>
      <c r="AJ1646" s="10"/>
      <c r="AK1646" s="10"/>
      <c r="AL1646" s="10"/>
    </row>
    <row r="1647" spans="1:38">
      <c r="A1647" s="10"/>
      <c r="B1647" s="10"/>
      <c r="C1647" s="10"/>
      <c r="D1647" s="10"/>
      <c r="E1647" s="10"/>
      <c r="F1647" s="10"/>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0"/>
      <c r="AH1647" s="10"/>
      <c r="AI1647" s="10"/>
      <c r="AJ1647" s="10"/>
      <c r="AK1647" s="10"/>
      <c r="AL1647" s="10"/>
    </row>
    <row r="1648" spans="1:38">
      <c r="A1648" s="10"/>
      <c r="B1648" s="10"/>
      <c r="C1648" s="10"/>
      <c r="D1648" s="10"/>
      <c r="E1648" s="10"/>
      <c r="F1648" s="10"/>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0"/>
      <c r="AH1648" s="10"/>
      <c r="AI1648" s="10"/>
      <c r="AJ1648" s="10"/>
      <c r="AK1648" s="10"/>
      <c r="AL1648" s="10"/>
    </row>
    <row r="1649" spans="1:38">
      <c r="A1649" s="10"/>
      <c r="B1649" s="10"/>
      <c r="C1649" s="10"/>
      <c r="D1649" s="10"/>
      <c r="E1649" s="10"/>
      <c r="F1649" s="10"/>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0"/>
      <c r="AH1649" s="10"/>
      <c r="AI1649" s="10"/>
      <c r="AJ1649" s="10"/>
      <c r="AK1649" s="10"/>
      <c r="AL1649" s="10"/>
    </row>
    <row r="1650" spans="1:38">
      <c r="A1650" s="10"/>
      <c r="B1650" s="10"/>
      <c r="C1650" s="10"/>
      <c r="D1650" s="10"/>
      <c r="E1650" s="10"/>
      <c r="F1650" s="10"/>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0"/>
      <c r="AH1650" s="10"/>
      <c r="AI1650" s="10"/>
      <c r="AJ1650" s="10"/>
      <c r="AK1650" s="10"/>
      <c r="AL1650" s="10"/>
    </row>
    <row r="1651" spans="1:38">
      <c r="A1651" s="10"/>
      <c r="B1651" s="10"/>
      <c r="C1651" s="10"/>
      <c r="D1651" s="10"/>
      <c r="E1651" s="10"/>
      <c r="F1651" s="10"/>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0"/>
      <c r="AH1651" s="10"/>
      <c r="AI1651" s="10"/>
      <c r="AJ1651" s="10"/>
      <c r="AK1651" s="10"/>
      <c r="AL1651" s="10"/>
    </row>
    <row r="1652" spans="1:38">
      <c r="A1652" s="10"/>
      <c r="B1652" s="10"/>
      <c r="C1652" s="10"/>
      <c r="D1652" s="10"/>
      <c r="E1652" s="10"/>
      <c r="F1652" s="10"/>
      <c r="G1652" s="10"/>
      <c r="H1652" s="10"/>
      <c r="I1652" s="10"/>
      <c r="J1652" s="10"/>
      <c r="K1652" s="10"/>
      <c r="L1652" s="10"/>
      <c r="M1652" s="10"/>
      <c r="N1652" s="10"/>
      <c r="O1652" s="10"/>
      <c r="P1652" s="10"/>
      <c r="Q1652" s="10"/>
      <c r="R1652" s="10"/>
      <c r="S1652" s="10"/>
      <c r="T1652" s="10"/>
      <c r="U1652" s="10"/>
      <c r="V1652" s="10"/>
      <c r="W1652" s="10"/>
      <c r="X1652" s="10"/>
      <c r="Y1652" s="10"/>
      <c r="Z1652" s="10"/>
      <c r="AA1652" s="10"/>
      <c r="AB1652" s="10"/>
      <c r="AC1652" s="10"/>
      <c r="AD1652" s="10"/>
      <c r="AE1652" s="10"/>
      <c r="AF1652" s="10"/>
      <c r="AG1652" s="10"/>
      <c r="AH1652" s="10"/>
      <c r="AI1652" s="10"/>
      <c r="AJ1652" s="10"/>
      <c r="AK1652" s="10"/>
      <c r="AL1652" s="10"/>
    </row>
    <row r="1653" spans="1:38">
      <c r="A1653" s="10"/>
      <c r="B1653" s="10"/>
      <c r="C1653" s="10"/>
      <c r="D1653" s="10"/>
      <c r="E1653" s="10"/>
      <c r="F1653" s="10"/>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0"/>
      <c r="AH1653" s="10"/>
      <c r="AI1653" s="10"/>
      <c r="AJ1653" s="10"/>
      <c r="AK1653" s="10"/>
      <c r="AL1653" s="10"/>
    </row>
    <row r="1654" spans="1:38">
      <c r="A1654" s="9"/>
      <c r="B1654" s="9"/>
      <c r="C1654" s="9"/>
      <c r="D1654" s="9"/>
      <c r="E1654" s="9"/>
      <c r="F1654" s="9"/>
      <c r="G1654" s="9"/>
      <c r="H1654" s="9"/>
      <c r="I1654" s="9"/>
      <c r="J1654" s="9"/>
      <c r="K1654" s="9"/>
      <c r="L1654" s="9"/>
      <c r="M1654" s="9"/>
      <c r="N1654" s="9"/>
      <c r="O1654" s="9"/>
      <c r="P1654" s="9"/>
      <c r="Q1654" s="9"/>
      <c r="R1654" s="9"/>
      <c r="S1654" s="9"/>
      <c r="T1654" s="9"/>
      <c r="U1654" s="9"/>
      <c r="V1654" s="9"/>
      <c r="W1654" s="9"/>
      <c r="X1654" s="9"/>
      <c r="Y1654" s="9"/>
      <c r="Z1654" s="9"/>
      <c r="AA1654" s="9"/>
      <c r="AB1654" s="9"/>
      <c r="AC1654" s="9"/>
      <c r="AD1654" s="9"/>
      <c r="AE1654" s="9"/>
      <c r="AF1654" s="9"/>
      <c r="AG1654" s="9"/>
      <c r="AH1654" s="9"/>
      <c r="AI1654" s="9"/>
      <c r="AJ1654" s="9"/>
      <c r="AK1654" s="9"/>
      <c r="AL1654" s="9"/>
    </row>
    <row r="1655" spans="1:38">
      <c r="A1655" s="11"/>
      <c r="B1655" s="11"/>
      <c r="C1655" s="11"/>
      <c r="D1655" s="11"/>
      <c r="E1655" s="11"/>
      <c r="F1655" s="11"/>
      <c r="G1655" s="11"/>
      <c r="H1655" s="11"/>
      <c r="I1655" s="11"/>
      <c r="J1655" s="11"/>
      <c r="K1655" s="11"/>
      <c r="L1655" s="11"/>
      <c r="M1655" s="11"/>
      <c r="N1655" s="11"/>
      <c r="O1655" s="11"/>
      <c r="P1655" s="11"/>
      <c r="Q1655" s="11"/>
      <c r="R1655" s="11"/>
      <c r="S1655" s="11"/>
      <c r="T1655" s="11"/>
      <c r="U1655" s="11"/>
      <c r="V1655" s="11"/>
      <c r="W1655" s="11"/>
      <c r="X1655" s="11"/>
      <c r="Y1655" s="11"/>
      <c r="Z1655" s="11"/>
      <c r="AA1655" s="11"/>
      <c r="AB1655" s="11"/>
      <c r="AC1655" s="11"/>
      <c r="AD1655" s="11"/>
      <c r="AE1655" s="11"/>
      <c r="AF1655" s="11"/>
      <c r="AG1655" s="11"/>
      <c r="AH1655" s="11"/>
      <c r="AI1655" s="11"/>
      <c r="AJ1655" s="11"/>
      <c r="AK1655" s="11"/>
      <c r="AL1655" s="11"/>
    </row>
    <row r="1669" spans="1:38">
      <c r="A1669" s="14"/>
      <c r="B1669" s="14"/>
      <c r="C1669" s="14"/>
      <c r="D1669" s="14"/>
      <c r="E1669" s="14"/>
      <c r="F1669" s="14"/>
      <c r="G1669" s="14"/>
      <c r="H1669" s="14"/>
      <c r="I1669" s="14"/>
      <c r="J1669" s="14"/>
      <c r="K1669" s="14"/>
      <c r="L1669" s="14"/>
      <c r="M1669" s="14"/>
      <c r="N1669" s="14"/>
      <c r="O1669" s="14"/>
      <c r="P1669" s="14"/>
      <c r="Q1669" s="14"/>
      <c r="R1669" s="14"/>
      <c r="S1669" s="14"/>
      <c r="T1669" s="14"/>
      <c r="U1669" s="14"/>
      <c r="V1669" s="14"/>
      <c r="W1669" s="14"/>
      <c r="X1669" s="14"/>
      <c r="Y1669" s="14"/>
      <c r="Z1669" s="14"/>
      <c r="AA1669" s="14"/>
      <c r="AB1669" s="14"/>
      <c r="AC1669" s="14"/>
      <c r="AD1669" s="14"/>
      <c r="AE1669" s="14"/>
      <c r="AF1669" s="14"/>
      <c r="AG1669" s="14"/>
      <c r="AH1669" s="14"/>
      <c r="AI1669" s="14"/>
      <c r="AJ1669" s="14"/>
      <c r="AK1669" s="14"/>
      <c r="AL1669" s="14"/>
    </row>
    <row r="1670" spans="1:38">
      <c r="A1670" s="9"/>
      <c r="B1670" s="9"/>
      <c r="C1670" s="9"/>
      <c r="D1670" s="9"/>
      <c r="E1670" s="9"/>
      <c r="F1670" s="9"/>
      <c r="G1670" s="9"/>
      <c r="H1670" s="9"/>
      <c r="I1670" s="9"/>
      <c r="J1670" s="9"/>
      <c r="K1670" s="9"/>
      <c r="L1670" s="9"/>
      <c r="M1670" s="9"/>
      <c r="N1670" s="9"/>
      <c r="O1670" s="9"/>
      <c r="P1670" s="9"/>
      <c r="Q1670" s="9"/>
      <c r="R1670" s="9"/>
      <c r="S1670" s="9"/>
      <c r="T1670" s="9"/>
      <c r="U1670" s="9"/>
      <c r="V1670" s="9"/>
      <c r="W1670" s="9"/>
      <c r="X1670" s="9"/>
      <c r="Y1670" s="9"/>
      <c r="Z1670" s="9"/>
      <c r="AA1670" s="9"/>
      <c r="AB1670" s="9"/>
      <c r="AC1670" s="9"/>
      <c r="AD1670" s="9"/>
      <c r="AE1670" s="9"/>
      <c r="AF1670" s="9"/>
      <c r="AG1670" s="9"/>
      <c r="AH1670" s="9"/>
      <c r="AI1670" s="9"/>
      <c r="AJ1670" s="9"/>
      <c r="AK1670" s="9"/>
      <c r="AL1670" s="9"/>
    </row>
    <row r="1671" spans="1:38">
      <c r="A1671" s="10"/>
      <c r="B1671" s="10"/>
      <c r="C1671" s="10"/>
      <c r="D1671" s="10"/>
      <c r="E1671" s="10"/>
      <c r="F1671" s="10"/>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0"/>
      <c r="AH1671" s="10"/>
      <c r="AI1671" s="10"/>
      <c r="AJ1671" s="10"/>
      <c r="AK1671" s="10"/>
      <c r="AL1671" s="10"/>
    </row>
    <row r="1672" spans="1:38">
      <c r="A1672" s="10"/>
      <c r="B1672" s="10"/>
      <c r="C1672" s="10"/>
      <c r="D1672" s="10"/>
      <c r="E1672" s="10"/>
      <c r="F1672" s="10"/>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0"/>
      <c r="AH1672" s="10"/>
      <c r="AI1672" s="10"/>
      <c r="AJ1672" s="10"/>
      <c r="AK1672" s="10"/>
      <c r="AL1672" s="10"/>
    </row>
    <row r="1673" spans="1:38">
      <c r="A1673" s="10"/>
      <c r="B1673" s="10"/>
      <c r="C1673" s="10"/>
      <c r="D1673" s="10"/>
      <c r="E1673" s="10"/>
      <c r="F1673" s="10"/>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0"/>
      <c r="AH1673" s="10"/>
      <c r="AI1673" s="10"/>
      <c r="AJ1673" s="10"/>
      <c r="AK1673" s="10"/>
      <c r="AL1673" s="10"/>
    </row>
    <row r="1674" spans="1:38">
      <c r="A1674" s="10"/>
      <c r="B1674" s="10"/>
      <c r="C1674" s="10"/>
      <c r="D1674" s="10"/>
      <c r="E1674" s="10"/>
      <c r="F1674" s="10"/>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0"/>
      <c r="AH1674" s="10"/>
      <c r="AI1674" s="10"/>
      <c r="AJ1674" s="10"/>
      <c r="AK1674" s="10"/>
      <c r="AL1674" s="10"/>
    </row>
    <row r="1675" spans="1:38">
      <c r="A1675" s="10"/>
      <c r="B1675" s="10"/>
      <c r="C1675" s="10"/>
      <c r="D1675" s="10"/>
      <c r="E1675" s="10"/>
      <c r="F1675" s="10"/>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0"/>
      <c r="AH1675" s="10"/>
      <c r="AI1675" s="10"/>
      <c r="AJ1675" s="10"/>
      <c r="AK1675" s="10"/>
      <c r="AL1675" s="10"/>
    </row>
    <row r="1676" spans="1:38">
      <c r="A1676" s="10"/>
      <c r="B1676" s="10"/>
      <c r="C1676" s="10"/>
      <c r="D1676" s="10"/>
      <c r="E1676" s="10"/>
      <c r="F1676" s="10"/>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0"/>
      <c r="AH1676" s="10"/>
      <c r="AI1676" s="10"/>
      <c r="AJ1676" s="10"/>
      <c r="AK1676" s="10"/>
      <c r="AL1676" s="10"/>
    </row>
    <row r="1677" spans="1:38">
      <c r="A1677" s="10"/>
      <c r="B1677" s="10"/>
      <c r="C1677" s="10"/>
      <c r="D1677" s="10"/>
      <c r="E1677" s="10"/>
      <c r="F1677" s="10"/>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0"/>
      <c r="AH1677" s="10"/>
      <c r="AI1677" s="10"/>
      <c r="AJ1677" s="10"/>
      <c r="AK1677" s="10"/>
      <c r="AL1677" s="10"/>
    </row>
    <row r="1678" spans="1:38">
      <c r="A1678" s="10"/>
      <c r="B1678" s="10"/>
      <c r="C1678" s="10"/>
      <c r="D1678" s="10"/>
      <c r="E1678" s="10"/>
      <c r="F1678" s="10"/>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0"/>
      <c r="AH1678" s="10"/>
      <c r="AI1678" s="10"/>
      <c r="AJ1678" s="10"/>
      <c r="AK1678" s="10"/>
      <c r="AL1678" s="10"/>
    </row>
    <row r="1679" spans="1:38">
      <c r="A1679" s="10"/>
      <c r="B1679" s="10"/>
      <c r="C1679" s="10"/>
      <c r="D1679" s="10"/>
      <c r="E1679" s="10"/>
      <c r="F1679" s="10"/>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0"/>
      <c r="AH1679" s="10"/>
      <c r="AI1679" s="10"/>
      <c r="AJ1679" s="10"/>
      <c r="AK1679" s="10"/>
      <c r="AL1679" s="10"/>
    </row>
    <row r="1680" spans="1:38">
      <c r="A1680" s="10"/>
      <c r="B1680" s="10"/>
      <c r="C1680" s="10"/>
      <c r="D1680" s="10"/>
      <c r="E1680" s="10"/>
      <c r="F1680" s="10"/>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0"/>
      <c r="AH1680" s="10"/>
      <c r="AI1680" s="10"/>
      <c r="AJ1680" s="10"/>
      <c r="AK1680" s="10"/>
      <c r="AL1680" s="10"/>
    </row>
    <row r="1681" spans="1:38">
      <c r="A1681" s="9"/>
      <c r="B1681" s="9"/>
      <c r="C1681" s="9"/>
      <c r="D1681" s="9"/>
      <c r="E1681" s="9"/>
      <c r="F1681" s="9"/>
      <c r="G1681" s="9"/>
      <c r="H1681" s="9"/>
      <c r="I1681" s="9"/>
      <c r="J1681" s="9"/>
      <c r="K1681" s="9"/>
      <c r="L1681" s="9"/>
      <c r="M1681" s="9"/>
      <c r="N1681" s="9"/>
      <c r="O1681" s="9"/>
      <c r="P1681" s="9"/>
      <c r="Q1681" s="9"/>
      <c r="R1681" s="9"/>
      <c r="S1681" s="9"/>
      <c r="T1681" s="9"/>
      <c r="U1681" s="9"/>
      <c r="V1681" s="9"/>
      <c r="W1681" s="9"/>
      <c r="X1681" s="9"/>
      <c r="Y1681" s="9"/>
      <c r="Z1681" s="9"/>
      <c r="AA1681" s="9"/>
      <c r="AB1681" s="9"/>
      <c r="AC1681" s="9"/>
      <c r="AD1681" s="9"/>
      <c r="AE1681" s="9"/>
      <c r="AF1681" s="9"/>
      <c r="AG1681" s="9"/>
      <c r="AH1681" s="9"/>
      <c r="AI1681" s="9"/>
      <c r="AJ1681" s="9"/>
      <c r="AK1681" s="9"/>
      <c r="AL1681" s="9"/>
    </row>
    <row r="1682" spans="1:38">
      <c r="A1682" s="11"/>
      <c r="B1682" s="11"/>
      <c r="C1682" s="11"/>
      <c r="D1682" s="11"/>
      <c r="E1682" s="11"/>
      <c r="F1682" s="11"/>
      <c r="G1682" s="11"/>
      <c r="H1682" s="11"/>
      <c r="I1682" s="11"/>
      <c r="J1682" s="11"/>
      <c r="K1682" s="11"/>
      <c r="L1682" s="11"/>
      <c r="M1682" s="11"/>
      <c r="N1682" s="11"/>
      <c r="O1682" s="11"/>
      <c r="P1682" s="11"/>
      <c r="Q1682" s="11"/>
      <c r="R1682" s="11"/>
      <c r="S1682" s="11"/>
      <c r="T1682" s="11"/>
      <c r="U1682" s="11"/>
      <c r="V1682" s="11"/>
      <c r="W1682" s="11"/>
      <c r="X1682" s="11"/>
      <c r="Y1682" s="11"/>
      <c r="Z1682" s="11"/>
      <c r="AA1682" s="11"/>
      <c r="AB1682" s="11"/>
      <c r="AC1682" s="11"/>
      <c r="AD1682" s="11"/>
      <c r="AE1682" s="11"/>
      <c r="AF1682" s="11"/>
      <c r="AG1682" s="11"/>
      <c r="AH1682" s="11"/>
      <c r="AI1682" s="11"/>
      <c r="AJ1682" s="11"/>
      <c r="AK1682" s="11"/>
      <c r="AL1682" s="11"/>
    </row>
    <row r="1690" spans="1:38">
      <c r="A1690" s="14"/>
      <c r="B1690" s="14"/>
      <c r="C1690" s="14"/>
      <c r="D1690" s="14"/>
      <c r="E1690" s="14"/>
      <c r="F1690" s="14"/>
      <c r="G1690" s="14"/>
      <c r="H1690" s="14"/>
      <c r="I1690" s="14"/>
      <c r="J1690" s="14"/>
      <c r="K1690" s="14"/>
      <c r="L1690" s="14"/>
      <c r="M1690" s="14"/>
      <c r="N1690" s="14"/>
      <c r="O1690" s="14"/>
      <c r="P1690" s="14"/>
      <c r="Q1690" s="14"/>
      <c r="R1690" s="14"/>
      <c r="S1690" s="14"/>
      <c r="T1690" s="14"/>
      <c r="U1690" s="14"/>
      <c r="V1690" s="14"/>
      <c r="W1690" s="14"/>
      <c r="X1690" s="14"/>
      <c r="Y1690" s="14"/>
      <c r="Z1690" s="14"/>
      <c r="AA1690" s="14"/>
      <c r="AB1690" s="14"/>
      <c r="AC1690" s="14"/>
      <c r="AD1690" s="14"/>
      <c r="AE1690" s="14"/>
      <c r="AF1690" s="14"/>
      <c r="AG1690" s="14"/>
      <c r="AH1690" s="14"/>
      <c r="AI1690" s="14"/>
      <c r="AJ1690" s="14"/>
      <c r="AK1690" s="14"/>
      <c r="AL1690" s="14"/>
    </row>
    <row r="1691" spans="1:38">
      <c r="A1691" s="9"/>
      <c r="B1691" s="9"/>
      <c r="C1691" s="9"/>
      <c r="D1691" s="9"/>
      <c r="E1691" s="9"/>
      <c r="F1691" s="9"/>
      <c r="G1691" s="9"/>
      <c r="H1691" s="9"/>
      <c r="I1691" s="9"/>
      <c r="J1691" s="9"/>
      <c r="K1691" s="9"/>
      <c r="L1691" s="9"/>
      <c r="M1691" s="9"/>
      <c r="N1691" s="9"/>
      <c r="O1691" s="9"/>
      <c r="P1691" s="9"/>
      <c r="Q1691" s="9"/>
      <c r="R1691" s="9"/>
      <c r="S1691" s="9"/>
      <c r="T1691" s="9"/>
      <c r="U1691" s="9"/>
      <c r="V1691" s="9"/>
      <c r="W1691" s="9"/>
      <c r="X1691" s="9"/>
      <c r="Y1691" s="9"/>
      <c r="Z1691" s="9"/>
      <c r="AA1691" s="9"/>
      <c r="AB1691" s="9"/>
      <c r="AC1691" s="9"/>
      <c r="AD1691" s="9"/>
      <c r="AE1691" s="9"/>
      <c r="AF1691" s="9"/>
      <c r="AG1691" s="9"/>
      <c r="AH1691" s="9"/>
      <c r="AI1691" s="9"/>
      <c r="AJ1691" s="9"/>
      <c r="AK1691" s="9"/>
      <c r="AL1691" s="9"/>
    </row>
    <row r="1692" spans="1:38">
      <c r="A1692" s="10"/>
      <c r="B1692" s="10"/>
      <c r="C1692" s="10"/>
      <c r="D1692" s="10"/>
      <c r="E1692" s="10"/>
      <c r="F1692" s="10"/>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0"/>
      <c r="AH1692" s="10"/>
      <c r="AI1692" s="10"/>
      <c r="AJ1692" s="10"/>
      <c r="AK1692" s="10"/>
      <c r="AL1692" s="10"/>
    </row>
    <row r="1693" spans="1:38">
      <c r="A1693" s="10"/>
      <c r="B1693" s="10"/>
      <c r="C1693" s="10"/>
      <c r="D1693" s="10"/>
      <c r="E1693" s="10"/>
      <c r="F1693" s="10"/>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0"/>
      <c r="AH1693" s="10"/>
      <c r="AI1693" s="10"/>
      <c r="AJ1693" s="10"/>
      <c r="AK1693" s="10"/>
      <c r="AL1693" s="10"/>
    </row>
    <row r="1694" spans="1:38">
      <c r="A1694" s="10"/>
      <c r="B1694" s="10"/>
      <c r="C1694" s="10"/>
      <c r="D1694" s="10"/>
      <c r="E1694" s="10"/>
      <c r="F1694" s="10"/>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0"/>
      <c r="AH1694" s="10"/>
      <c r="AI1694" s="10"/>
      <c r="AJ1694" s="10"/>
      <c r="AK1694" s="10"/>
      <c r="AL1694" s="10"/>
    </row>
    <row r="1695" spans="1:38">
      <c r="A1695" s="10"/>
      <c r="B1695" s="10"/>
      <c r="C1695" s="10"/>
      <c r="D1695" s="10"/>
      <c r="E1695" s="10"/>
      <c r="F1695" s="10"/>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0"/>
      <c r="AH1695" s="10"/>
      <c r="AI1695" s="10"/>
      <c r="AJ1695" s="10"/>
      <c r="AK1695" s="10"/>
      <c r="AL1695" s="10"/>
    </row>
    <row r="1696" spans="1:38">
      <c r="A1696" s="10"/>
      <c r="B1696" s="10"/>
      <c r="C1696" s="10"/>
      <c r="D1696" s="10"/>
      <c r="E1696" s="10"/>
      <c r="F1696" s="10"/>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0"/>
      <c r="AH1696" s="10"/>
      <c r="AI1696" s="10"/>
      <c r="AJ1696" s="10"/>
      <c r="AK1696" s="10"/>
      <c r="AL1696" s="10"/>
    </row>
    <row r="1697" spans="1:38">
      <c r="A1697" s="10"/>
      <c r="B1697" s="10"/>
      <c r="C1697" s="10"/>
      <c r="D1697" s="10"/>
      <c r="E1697" s="10"/>
      <c r="F1697" s="10"/>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0"/>
      <c r="AH1697" s="10"/>
      <c r="AI1697" s="10"/>
      <c r="AJ1697" s="10"/>
      <c r="AK1697" s="10"/>
      <c r="AL1697" s="10"/>
    </row>
    <row r="1698" spans="1:38">
      <c r="A1698" s="10"/>
      <c r="B1698" s="10"/>
      <c r="C1698" s="10"/>
      <c r="D1698" s="10"/>
      <c r="E1698" s="10"/>
      <c r="F1698" s="10"/>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0"/>
      <c r="AH1698" s="10"/>
      <c r="AI1698" s="10"/>
      <c r="AJ1698" s="10"/>
      <c r="AK1698" s="10"/>
      <c r="AL1698" s="10"/>
    </row>
    <row r="1699" spans="1:38">
      <c r="A1699" s="10"/>
      <c r="B1699" s="10"/>
      <c r="C1699" s="10"/>
      <c r="D1699" s="10"/>
      <c r="E1699" s="10"/>
      <c r="F1699" s="10"/>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0"/>
      <c r="AH1699" s="10"/>
      <c r="AI1699" s="10"/>
      <c r="AJ1699" s="10"/>
      <c r="AK1699" s="10"/>
      <c r="AL1699" s="10"/>
    </row>
    <row r="1700" spans="1:38">
      <c r="A1700" s="10"/>
      <c r="B1700" s="10"/>
      <c r="C1700" s="10"/>
      <c r="D1700" s="10"/>
      <c r="E1700" s="10"/>
      <c r="F1700" s="10"/>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0"/>
      <c r="AH1700" s="10"/>
      <c r="AI1700" s="10"/>
      <c r="AJ1700" s="10"/>
      <c r="AK1700" s="10"/>
      <c r="AL1700" s="10"/>
    </row>
    <row r="1701" spans="1:38">
      <c r="A1701" s="10"/>
      <c r="B1701" s="10"/>
      <c r="C1701" s="10"/>
      <c r="D1701" s="10"/>
      <c r="E1701" s="10"/>
      <c r="F1701" s="10"/>
      <c r="G1701" s="10"/>
      <c r="H1701" s="10"/>
      <c r="I1701" s="10"/>
      <c r="J1701" s="10"/>
      <c r="K1701" s="10"/>
      <c r="L1701" s="10"/>
      <c r="M1701" s="10"/>
      <c r="N1701" s="10"/>
      <c r="O1701" s="10"/>
      <c r="P1701" s="10"/>
      <c r="Q1701" s="10"/>
      <c r="R1701" s="10"/>
      <c r="S1701" s="10"/>
      <c r="T1701" s="10"/>
      <c r="U1701" s="10"/>
      <c r="V1701" s="10"/>
      <c r="W1701" s="10"/>
      <c r="X1701" s="10"/>
      <c r="Y1701" s="10"/>
      <c r="Z1701" s="10"/>
      <c r="AA1701" s="10"/>
      <c r="AB1701" s="10"/>
      <c r="AC1701" s="10"/>
      <c r="AD1701" s="10"/>
      <c r="AE1701" s="10"/>
      <c r="AF1701" s="10"/>
      <c r="AG1701" s="10"/>
      <c r="AH1701" s="10"/>
      <c r="AI1701" s="10"/>
      <c r="AJ1701" s="10"/>
      <c r="AK1701" s="10"/>
      <c r="AL1701" s="10"/>
    </row>
    <row r="1702" spans="1:38">
      <c r="A1702" s="9"/>
      <c r="B1702" s="9"/>
      <c r="C1702" s="9"/>
      <c r="D1702" s="9"/>
      <c r="E1702" s="9"/>
      <c r="F1702" s="9"/>
      <c r="G1702" s="9"/>
      <c r="H1702" s="9"/>
      <c r="I1702" s="9"/>
      <c r="J1702" s="9"/>
      <c r="K1702" s="9"/>
      <c r="L1702" s="9"/>
      <c r="M1702" s="9"/>
      <c r="N1702" s="9"/>
      <c r="O1702" s="9"/>
      <c r="P1702" s="9"/>
      <c r="Q1702" s="9"/>
      <c r="R1702" s="9"/>
      <c r="S1702" s="9"/>
      <c r="T1702" s="9"/>
      <c r="U1702" s="9"/>
      <c r="V1702" s="9"/>
      <c r="W1702" s="9"/>
      <c r="X1702" s="9"/>
      <c r="Y1702" s="9"/>
      <c r="Z1702" s="9"/>
      <c r="AA1702" s="9"/>
      <c r="AB1702" s="9"/>
      <c r="AC1702" s="9"/>
      <c r="AD1702" s="9"/>
      <c r="AE1702" s="9"/>
      <c r="AF1702" s="9"/>
      <c r="AG1702" s="9"/>
      <c r="AH1702" s="9"/>
      <c r="AI1702" s="9"/>
      <c r="AJ1702" s="9"/>
      <c r="AK1702" s="9"/>
      <c r="AL1702" s="9"/>
    </row>
    <row r="1703" spans="1:38">
      <c r="A1703" s="11"/>
      <c r="B1703" s="11"/>
      <c r="C1703" s="11"/>
      <c r="D1703" s="11"/>
      <c r="E1703" s="11"/>
      <c r="F1703" s="11"/>
      <c r="G1703" s="11"/>
      <c r="H1703" s="11"/>
      <c r="I1703" s="11"/>
      <c r="J1703" s="11"/>
      <c r="K1703" s="11"/>
      <c r="L1703" s="11"/>
      <c r="M1703" s="11"/>
      <c r="N1703" s="11"/>
      <c r="O1703" s="11"/>
      <c r="P1703" s="11"/>
      <c r="Q1703" s="11"/>
      <c r="R1703" s="11"/>
      <c r="S1703" s="11"/>
      <c r="T1703" s="11"/>
      <c r="U1703" s="11"/>
      <c r="V1703" s="11"/>
      <c r="W1703" s="11"/>
      <c r="X1703" s="11"/>
      <c r="Y1703" s="11"/>
      <c r="Z1703" s="11"/>
      <c r="AA1703" s="11"/>
      <c r="AB1703" s="11"/>
      <c r="AC1703" s="11"/>
      <c r="AD1703" s="11"/>
      <c r="AE1703" s="11"/>
      <c r="AF1703" s="11"/>
      <c r="AG1703" s="11"/>
      <c r="AH1703" s="11"/>
      <c r="AI1703" s="11"/>
      <c r="AJ1703" s="11"/>
      <c r="AK1703" s="11"/>
      <c r="AL1703" s="11"/>
    </row>
    <row r="1711" spans="1:38">
      <c r="A1711" s="14"/>
      <c r="B1711" s="14"/>
      <c r="C1711" s="14"/>
      <c r="D1711" s="14"/>
      <c r="E1711" s="14"/>
      <c r="F1711" s="14"/>
      <c r="G1711" s="14"/>
      <c r="H1711" s="14"/>
      <c r="I1711" s="14"/>
      <c r="J1711" s="14"/>
      <c r="K1711" s="14"/>
      <c r="L1711" s="14"/>
      <c r="M1711" s="14"/>
      <c r="N1711" s="14"/>
      <c r="O1711" s="14"/>
      <c r="P1711" s="14"/>
      <c r="Q1711" s="14"/>
      <c r="R1711" s="14"/>
      <c r="S1711" s="14"/>
      <c r="T1711" s="14"/>
      <c r="U1711" s="14"/>
      <c r="V1711" s="14"/>
      <c r="W1711" s="14"/>
      <c r="X1711" s="14"/>
      <c r="Y1711" s="14"/>
      <c r="Z1711" s="14"/>
      <c r="AA1711" s="14"/>
      <c r="AB1711" s="14"/>
      <c r="AC1711" s="14"/>
      <c r="AD1711" s="14"/>
      <c r="AE1711" s="14"/>
      <c r="AF1711" s="14"/>
      <c r="AG1711" s="14"/>
      <c r="AH1711" s="14"/>
      <c r="AI1711" s="14"/>
      <c r="AJ1711" s="14"/>
      <c r="AK1711" s="14"/>
      <c r="AL1711" s="14"/>
    </row>
    <row r="1712" spans="1:38">
      <c r="A1712" s="9"/>
      <c r="B1712" s="9"/>
      <c r="C1712" s="9"/>
      <c r="D1712" s="9"/>
      <c r="E1712" s="9"/>
      <c r="F1712" s="9"/>
      <c r="G1712" s="9"/>
      <c r="H1712" s="9"/>
      <c r="I1712" s="9"/>
      <c r="J1712" s="9"/>
      <c r="K1712" s="9"/>
      <c r="L1712" s="9"/>
      <c r="M1712" s="9"/>
      <c r="N1712" s="9"/>
      <c r="O1712" s="9"/>
      <c r="P1712" s="9"/>
      <c r="Q1712" s="9"/>
      <c r="R1712" s="9"/>
      <c r="S1712" s="9"/>
      <c r="T1712" s="9"/>
      <c r="U1712" s="9"/>
      <c r="V1712" s="9"/>
      <c r="W1712" s="9"/>
      <c r="X1712" s="9"/>
      <c r="Y1712" s="9"/>
      <c r="Z1712" s="9"/>
      <c r="AA1712" s="9"/>
      <c r="AB1712" s="9"/>
      <c r="AC1712" s="9"/>
      <c r="AD1712" s="9"/>
      <c r="AE1712" s="9"/>
      <c r="AF1712" s="9"/>
      <c r="AG1712" s="9"/>
      <c r="AH1712" s="9"/>
      <c r="AI1712" s="9"/>
      <c r="AJ1712" s="9"/>
      <c r="AK1712" s="9"/>
      <c r="AL1712" s="9"/>
    </row>
    <row r="1713" spans="1:38">
      <c r="A1713" s="10"/>
      <c r="B1713" s="10"/>
      <c r="C1713" s="10"/>
      <c r="D1713" s="10"/>
      <c r="E1713" s="10"/>
      <c r="F1713" s="10"/>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0"/>
      <c r="AH1713" s="10"/>
      <c r="AI1713" s="10"/>
      <c r="AJ1713" s="10"/>
      <c r="AK1713" s="10"/>
      <c r="AL1713" s="10"/>
    </row>
    <row r="1714" spans="1:38">
      <c r="A1714" s="10"/>
      <c r="B1714" s="10"/>
      <c r="C1714" s="10"/>
      <c r="D1714" s="10"/>
      <c r="E1714" s="10"/>
      <c r="F1714" s="10"/>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0"/>
      <c r="AH1714" s="10"/>
      <c r="AI1714" s="10"/>
      <c r="AJ1714" s="10"/>
      <c r="AK1714" s="10"/>
      <c r="AL1714" s="10"/>
    </row>
    <row r="1715" spans="1:38">
      <c r="A1715" s="10"/>
      <c r="B1715" s="10"/>
      <c r="C1715" s="10"/>
      <c r="D1715" s="10"/>
      <c r="E1715" s="10"/>
      <c r="F1715" s="10"/>
      <c r="G1715" s="10"/>
      <c r="H1715" s="10"/>
      <c r="I1715" s="10"/>
      <c r="J1715" s="10"/>
      <c r="K1715" s="10"/>
      <c r="L1715" s="10"/>
      <c r="M1715" s="10"/>
      <c r="N1715" s="10"/>
      <c r="O1715" s="10"/>
      <c r="P1715" s="10"/>
      <c r="Q1715" s="10"/>
      <c r="R1715" s="10"/>
      <c r="S1715" s="10"/>
      <c r="T1715" s="10"/>
      <c r="U1715" s="10"/>
      <c r="V1715" s="10"/>
      <c r="W1715" s="10"/>
      <c r="X1715" s="10"/>
      <c r="Y1715" s="10"/>
      <c r="Z1715" s="10"/>
      <c r="AA1715" s="10"/>
      <c r="AB1715" s="10"/>
      <c r="AC1715" s="10"/>
      <c r="AD1715" s="10"/>
      <c r="AE1715" s="10"/>
      <c r="AF1715" s="10"/>
      <c r="AG1715" s="10"/>
      <c r="AH1715" s="10"/>
      <c r="AI1715" s="10"/>
      <c r="AJ1715" s="10"/>
      <c r="AK1715" s="10"/>
      <c r="AL1715" s="10"/>
    </row>
    <row r="1716" spans="1:38">
      <c r="A1716" s="10"/>
      <c r="B1716" s="10"/>
      <c r="C1716" s="10"/>
      <c r="D1716" s="10"/>
      <c r="E1716" s="10"/>
      <c r="F1716" s="10"/>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0"/>
      <c r="AH1716" s="10"/>
      <c r="AI1716" s="10"/>
      <c r="AJ1716" s="10"/>
      <c r="AK1716" s="10"/>
      <c r="AL1716" s="10"/>
    </row>
    <row r="1717" spans="1:38">
      <c r="A1717" s="10"/>
      <c r="B1717" s="10"/>
      <c r="C1717" s="10"/>
      <c r="D1717" s="10"/>
      <c r="E1717" s="10"/>
      <c r="F1717" s="10"/>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0"/>
      <c r="AH1717" s="10"/>
      <c r="AI1717" s="10"/>
      <c r="AJ1717" s="10"/>
      <c r="AK1717" s="10"/>
      <c r="AL1717" s="10"/>
    </row>
    <row r="1718" spans="1:38">
      <c r="A1718" s="10"/>
      <c r="B1718" s="10"/>
      <c r="C1718" s="10"/>
      <c r="D1718" s="10"/>
      <c r="E1718" s="10"/>
      <c r="F1718" s="10"/>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0"/>
      <c r="AH1718" s="10"/>
      <c r="AI1718" s="10"/>
      <c r="AJ1718" s="10"/>
      <c r="AK1718" s="10"/>
      <c r="AL1718" s="10"/>
    </row>
    <row r="1719" spans="1:38">
      <c r="A1719" s="10"/>
      <c r="B1719" s="10"/>
      <c r="C1719" s="10"/>
      <c r="D1719" s="10"/>
      <c r="E1719" s="10"/>
      <c r="F1719" s="10"/>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0"/>
      <c r="AH1719" s="10"/>
      <c r="AI1719" s="10"/>
      <c r="AJ1719" s="10"/>
      <c r="AK1719" s="10"/>
      <c r="AL1719" s="10"/>
    </row>
    <row r="1720" spans="1:38">
      <c r="A1720" s="10"/>
      <c r="B1720" s="10"/>
      <c r="C1720" s="10"/>
      <c r="D1720" s="10"/>
      <c r="E1720" s="10"/>
      <c r="F1720" s="10"/>
      <c r="G1720" s="10"/>
      <c r="H1720" s="10"/>
      <c r="I1720" s="10"/>
      <c r="J1720" s="10"/>
      <c r="K1720" s="10"/>
      <c r="L1720" s="10"/>
      <c r="M1720" s="10"/>
      <c r="N1720" s="10"/>
      <c r="O1720" s="10"/>
      <c r="P1720" s="10"/>
      <c r="Q1720" s="10"/>
      <c r="R1720" s="10"/>
      <c r="S1720" s="10"/>
      <c r="T1720" s="10"/>
      <c r="U1720" s="10"/>
      <c r="V1720" s="10"/>
      <c r="W1720" s="10"/>
      <c r="X1720" s="10"/>
      <c r="Y1720" s="10"/>
      <c r="Z1720" s="10"/>
      <c r="AA1720" s="10"/>
      <c r="AB1720" s="10"/>
      <c r="AC1720" s="10"/>
      <c r="AD1720" s="10"/>
      <c r="AE1720" s="10"/>
      <c r="AF1720" s="10"/>
      <c r="AG1720" s="10"/>
      <c r="AH1720" s="10"/>
      <c r="AI1720" s="10"/>
      <c r="AJ1720" s="10"/>
      <c r="AK1720" s="10"/>
      <c r="AL1720" s="10"/>
    </row>
    <row r="1721" spans="1:38">
      <c r="A1721" s="10"/>
      <c r="B1721" s="10"/>
      <c r="C1721" s="10"/>
      <c r="D1721" s="10"/>
      <c r="E1721" s="10"/>
      <c r="F1721" s="10"/>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0"/>
      <c r="AH1721" s="10"/>
      <c r="AI1721" s="10"/>
      <c r="AJ1721" s="10"/>
      <c r="AK1721" s="10"/>
      <c r="AL1721" s="10"/>
    </row>
    <row r="1722" spans="1:38">
      <c r="A1722" s="10"/>
      <c r="B1722" s="10"/>
      <c r="C1722" s="10"/>
      <c r="D1722" s="10"/>
      <c r="E1722" s="10"/>
      <c r="F1722" s="10"/>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0"/>
      <c r="AH1722" s="10"/>
      <c r="AI1722" s="10"/>
      <c r="AJ1722" s="10"/>
      <c r="AK1722" s="10"/>
      <c r="AL1722" s="10"/>
    </row>
    <row r="1723" spans="1:38">
      <c r="A1723" s="9"/>
      <c r="B1723" s="9"/>
      <c r="C1723" s="9"/>
      <c r="D1723" s="9"/>
      <c r="E1723" s="9"/>
      <c r="F1723" s="9"/>
      <c r="G1723" s="9"/>
      <c r="H1723" s="9"/>
      <c r="I1723" s="9"/>
      <c r="J1723" s="9"/>
      <c r="K1723" s="9"/>
      <c r="L1723" s="9"/>
      <c r="M1723" s="9"/>
      <c r="N1723" s="9"/>
      <c r="O1723" s="9"/>
      <c r="P1723" s="9"/>
      <c r="Q1723" s="9"/>
      <c r="R1723" s="9"/>
      <c r="S1723" s="9"/>
      <c r="T1723" s="9"/>
      <c r="U1723" s="9"/>
      <c r="V1723" s="9"/>
      <c r="W1723" s="9"/>
      <c r="X1723" s="9"/>
      <c r="Y1723" s="9"/>
      <c r="Z1723" s="9"/>
      <c r="AA1723" s="9"/>
      <c r="AB1723" s="9"/>
      <c r="AC1723" s="9"/>
      <c r="AD1723" s="9"/>
      <c r="AE1723" s="9"/>
      <c r="AF1723" s="9"/>
      <c r="AG1723" s="9"/>
      <c r="AH1723" s="9"/>
      <c r="AI1723" s="9"/>
      <c r="AJ1723" s="9"/>
      <c r="AK1723" s="9"/>
      <c r="AL1723" s="9"/>
    </row>
    <row r="1724" spans="1:38">
      <c r="A1724" s="11"/>
      <c r="B1724" s="11"/>
      <c r="C1724" s="11"/>
      <c r="D1724" s="11"/>
      <c r="E1724" s="11"/>
      <c r="F1724" s="11"/>
      <c r="G1724" s="11"/>
      <c r="H1724" s="11"/>
      <c r="I1724" s="11"/>
      <c r="J1724" s="11"/>
      <c r="K1724" s="11"/>
      <c r="L1724" s="11"/>
      <c r="M1724" s="11"/>
      <c r="N1724" s="11"/>
      <c r="O1724" s="11"/>
      <c r="P1724" s="11"/>
      <c r="Q1724" s="11"/>
      <c r="R1724" s="11"/>
      <c r="S1724" s="11"/>
      <c r="T1724" s="11"/>
      <c r="U1724" s="11"/>
      <c r="V1724" s="11"/>
      <c r="W1724" s="11"/>
      <c r="X1724" s="11"/>
      <c r="Y1724" s="11"/>
      <c r="Z1724" s="11"/>
      <c r="AA1724" s="11"/>
      <c r="AB1724" s="11"/>
      <c r="AC1724" s="11"/>
      <c r="AD1724" s="11"/>
      <c r="AE1724" s="11"/>
      <c r="AF1724" s="11"/>
      <c r="AG1724" s="11"/>
      <c r="AH1724" s="11"/>
      <c r="AI1724" s="11"/>
      <c r="AJ1724" s="11"/>
      <c r="AK1724" s="11"/>
      <c r="AL1724" s="11"/>
    </row>
    <row r="1738" spans="1:38">
      <c r="A1738" s="14"/>
      <c r="B1738" s="14"/>
      <c r="C1738" s="14"/>
      <c r="D1738" s="14"/>
      <c r="E1738" s="14"/>
      <c r="F1738" s="14"/>
      <c r="G1738" s="14"/>
      <c r="H1738" s="14"/>
      <c r="I1738" s="14"/>
      <c r="J1738" s="14"/>
      <c r="K1738" s="14"/>
      <c r="L1738" s="14"/>
      <c r="M1738" s="14"/>
      <c r="N1738" s="14"/>
      <c r="O1738" s="14"/>
      <c r="P1738" s="14"/>
      <c r="Q1738" s="14"/>
      <c r="R1738" s="14"/>
      <c r="S1738" s="14"/>
      <c r="T1738" s="14"/>
      <c r="U1738" s="14"/>
      <c r="V1738" s="14"/>
      <c r="W1738" s="14"/>
      <c r="X1738" s="14"/>
      <c r="Y1738" s="14"/>
      <c r="Z1738" s="14"/>
      <c r="AA1738" s="14"/>
      <c r="AB1738" s="14"/>
      <c r="AC1738" s="14"/>
      <c r="AD1738" s="14"/>
      <c r="AE1738" s="14"/>
      <c r="AF1738" s="14"/>
      <c r="AG1738" s="14"/>
      <c r="AH1738" s="14"/>
      <c r="AI1738" s="14"/>
      <c r="AJ1738" s="14"/>
      <c r="AK1738" s="14"/>
      <c r="AL1738" s="14"/>
    </row>
    <row r="1739" spans="1:38">
      <c r="A1739" s="9"/>
      <c r="B1739" s="9"/>
      <c r="C1739" s="9"/>
      <c r="D1739" s="9"/>
      <c r="E1739" s="9"/>
      <c r="F1739" s="9"/>
      <c r="G1739" s="9"/>
      <c r="H1739" s="9"/>
      <c r="I1739" s="9"/>
      <c r="J1739" s="9"/>
      <c r="K1739" s="9"/>
      <c r="L1739" s="9"/>
      <c r="M1739" s="9"/>
      <c r="N1739" s="9"/>
      <c r="O1739" s="9"/>
      <c r="P1739" s="9"/>
      <c r="Q1739" s="9"/>
      <c r="R1739" s="9"/>
      <c r="S1739" s="9"/>
      <c r="T1739" s="9"/>
      <c r="U1739" s="9"/>
      <c r="V1739" s="9"/>
      <c r="W1739" s="9"/>
      <c r="X1739" s="9"/>
      <c r="Y1739" s="9"/>
      <c r="Z1739" s="9"/>
      <c r="AA1739" s="9"/>
      <c r="AB1739" s="9"/>
      <c r="AC1739" s="9"/>
      <c r="AD1739" s="9"/>
      <c r="AE1739" s="9"/>
      <c r="AF1739" s="9"/>
      <c r="AG1739" s="9"/>
      <c r="AH1739" s="9"/>
      <c r="AI1739" s="9"/>
      <c r="AJ1739" s="9"/>
      <c r="AK1739" s="9"/>
      <c r="AL1739" s="9"/>
    </row>
    <row r="1740" spans="1:38">
      <c r="A1740" s="10"/>
      <c r="B1740" s="10"/>
      <c r="C1740" s="10"/>
      <c r="D1740" s="10"/>
      <c r="E1740" s="10"/>
      <c r="F1740" s="10"/>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0"/>
      <c r="AH1740" s="10"/>
      <c r="AI1740" s="10"/>
      <c r="AJ1740" s="10"/>
      <c r="AK1740" s="10"/>
      <c r="AL1740" s="10"/>
    </row>
    <row r="1741" spans="1:38">
      <c r="A1741" s="10"/>
      <c r="B1741" s="10"/>
      <c r="C1741" s="10"/>
      <c r="D1741" s="10"/>
      <c r="E1741" s="10"/>
      <c r="F1741" s="10"/>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0"/>
      <c r="AH1741" s="10"/>
      <c r="AI1741" s="10"/>
      <c r="AJ1741" s="10"/>
      <c r="AK1741" s="10"/>
      <c r="AL1741" s="10"/>
    </row>
    <row r="1742" spans="1:38">
      <c r="A1742" s="10"/>
      <c r="B1742" s="10"/>
      <c r="C1742" s="10"/>
      <c r="D1742" s="10"/>
      <c r="E1742" s="10"/>
      <c r="F1742" s="10"/>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0"/>
      <c r="AH1742" s="10"/>
      <c r="AI1742" s="10"/>
      <c r="AJ1742" s="10"/>
      <c r="AK1742" s="10"/>
      <c r="AL1742" s="10"/>
    </row>
    <row r="1743" spans="1:38">
      <c r="A1743" s="10"/>
      <c r="B1743" s="10"/>
      <c r="C1743" s="10"/>
      <c r="D1743" s="10"/>
      <c r="E1743" s="10"/>
      <c r="F1743" s="10"/>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0"/>
      <c r="AH1743" s="10"/>
      <c r="AI1743" s="10"/>
      <c r="AJ1743" s="10"/>
      <c r="AK1743" s="10"/>
      <c r="AL1743" s="10"/>
    </row>
    <row r="1744" spans="1:38">
      <c r="A1744" s="10"/>
      <c r="B1744" s="10"/>
      <c r="C1744" s="10"/>
      <c r="D1744" s="10"/>
      <c r="E1744" s="10"/>
      <c r="F1744" s="10"/>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0"/>
      <c r="AH1744" s="10"/>
      <c r="AI1744" s="10"/>
      <c r="AJ1744" s="10"/>
      <c r="AK1744" s="10"/>
      <c r="AL1744" s="10"/>
    </row>
    <row r="1745" spans="1:38">
      <c r="A1745" s="10"/>
      <c r="B1745" s="10"/>
      <c r="C1745" s="10"/>
      <c r="D1745" s="10"/>
      <c r="E1745" s="10"/>
      <c r="F1745" s="10"/>
      <c r="G1745" s="10"/>
      <c r="H1745" s="10"/>
      <c r="I1745" s="10"/>
      <c r="J1745" s="10"/>
      <c r="K1745" s="10"/>
      <c r="L1745" s="10"/>
      <c r="M1745" s="10"/>
      <c r="N1745" s="10"/>
      <c r="O1745" s="10"/>
      <c r="P1745" s="10"/>
      <c r="Q1745" s="10"/>
      <c r="R1745" s="10"/>
      <c r="S1745" s="10"/>
      <c r="T1745" s="10"/>
      <c r="U1745" s="10"/>
      <c r="V1745" s="10"/>
      <c r="W1745" s="10"/>
      <c r="X1745" s="10"/>
      <c r="Y1745" s="10"/>
      <c r="Z1745" s="10"/>
      <c r="AA1745" s="10"/>
      <c r="AB1745" s="10"/>
      <c r="AC1745" s="10"/>
      <c r="AD1745" s="10"/>
      <c r="AE1745" s="10"/>
      <c r="AF1745" s="10"/>
      <c r="AG1745" s="10"/>
      <c r="AH1745" s="10"/>
      <c r="AI1745" s="10"/>
      <c r="AJ1745" s="10"/>
      <c r="AK1745" s="10"/>
      <c r="AL1745" s="10"/>
    </row>
    <row r="1746" spans="1:38">
      <c r="A1746" s="10"/>
      <c r="B1746" s="10"/>
      <c r="C1746" s="10"/>
      <c r="D1746" s="10"/>
      <c r="E1746" s="10"/>
      <c r="F1746" s="10"/>
      <c r="G1746" s="10"/>
      <c r="H1746" s="10"/>
      <c r="I1746" s="10"/>
      <c r="J1746" s="10"/>
      <c r="K1746" s="10"/>
      <c r="L1746" s="10"/>
      <c r="M1746" s="10"/>
      <c r="N1746" s="10"/>
      <c r="O1746" s="10"/>
      <c r="P1746" s="10"/>
      <c r="Q1746" s="10"/>
      <c r="R1746" s="10"/>
      <c r="S1746" s="10"/>
      <c r="T1746" s="10"/>
      <c r="U1746" s="10"/>
      <c r="V1746" s="10"/>
      <c r="W1746" s="10"/>
      <c r="X1746" s="10"/>
      <c r="Y1746" s="10"/>
      <c r="Z1746" s="10"/>
      <c r="AA1746" s="10"/>
      <c r="AB1746" s="10"/>
      <c r="AC1746" s="10"/>
      <c r="AD1746" s="10"/>
      <c r="AE1746" s="10"/>
      <c r="AF1746" s="10"/>
      <c r="AG1746" s="10"/>
      <c r="AH1746" s="10"/>
      <c r="AI1746" s="10"/>
      <c r="AJ1746" s="10"/>
      <c r="AK1746" s="10"/>
      <c r="AL1746" s="10"/>
    </row>
    <row r="1747" spans="1:38">
      <c r="A1747" s="10"/>
      <c r="B1747" s="10"/>
      <c r="C1747" s="10"/>
      <c r="D1747" s="10"/>
      <c r="E1747" s="10"/>
      <c r="F1747" s="10"/>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0"/>
      <c r="AH1747" s="10"/>
      <c r="AI1747" s="10"/>
      <c r="AJ1747" s="10"/>
      <c r="AK1747" s="10"/>
      <c r="AL1747" s="10"/>
    </row>
    <row r="1748" spans="1:38">
      <c r="A1748" s="10"/>
      <c r="B1748" s="10"/>
      <c r="C1748" s="10"/>
      <c r="D1748" s="10"/>
      <c r="E1748" s="10"/>
      <c r="F1748" s="10"/>
      <c r="G1748" s="10"/>
      <c r="H1748" s="10"/>
      <c r="I1748" s="10"/>
      <c r="J1748" s="10"/>
      <c r="K1748" s="10"/>
      <c r="L1748" s="10"/>
      <c r="M1748" s="10"/>
      <c r="N1748" s="10"/>
      <c r="O1748" s="10"/>
      <c r="P1748" s="10"/>
      <c r="Q1748" s="10"/>
      <c r="R1748" s="10"/>
      <c r="S1748" s="10"/>
      <c r="T1748" s="10"/>
      <c r="U1748" s="10"/>
      <c r="V1748" s="10"/>
      <c r="W1748" s="10"/>
      <c r="X1748" s="10"/>
      <c r="Y1748" s="10"/>
      <c r="Z1748" s="10"/>
      <c r="AA1748" s="10"/>
      <c r="AB1748" s="10"/>
      <c r="AC1748" s="10"/>
      <c r="AD1748" s="10"/>
      <c r="AE1748" s="10"/>
      <c r="AF1748" s="10"/>
      <c r="AG1748" s="10"/>
      <c r="AH1748" s="10"/>
      <c r="AI1748" s="10"/>
      <c r="AJ1748" s="10"/>
      <c r="AK1748" s="10"/>
      <c r="AL1748" s="10"/>
    </row>
    <row r="1749" spans="1:38">
      <c r="A1749" s="10"/>
      <c r="B1749" s="10"/>
      <c r="C1749" s="10"/>
      <c r="D1749" s="10"/>
      <c r="E1749" s="10"/>
      <c r="F1749" s="10"/>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0"/>
      <c r="AH1749" s="10"/>
      <c r="AI1749" s="10"/>
      <c r="AJ1749" s="10"/>
      <c r="AK1749" s="10"/>
      <c r="AL1749" s="10"/>
    </row>
    <row r="1750" spans="1:38">
      <c r="A1750" s="9"/>
      <c r="B1750" s="9"/>
      <c r="C1750" s="9"/>
      <c r="D1750" s="9"/>
      <c r="E1750" s="9"/>
      <c r="F1750" s="9"/>
      <c r="G1750" s="9"/>
      <c r="H1750" s="9"/>
      <c r="I1750" s="9"/>
      <c r="J1750" s="9"/>
      <c r="K1750" s="9"/>
      <c r="L1750" s="9"/>
      <c r="M1750" s="9"/>
      <c r="N1750" s="9"/>
      <c r="O1750" s="9"/>
      <c r="P1750" s="9"/>
      <c r="Q1750" s="9"/>
      <c r="R1750" s="9"/>
      <c r="S1750" s="9"/>
      <c r="T1750" s="9"/>
      <c r="U1750" s="9"/>
      <c r="V1750" s="9"/>
      <c r="W1750" s="9"/>
      <c r="X1750" s="9"/>
      <c r="Y1750" s="9"/>
      <c r="Z1750" s="9"/>
      <c r="AA1750" s="9"/>
      <c r="AB1750" s="9"/>
      <c r="AC1750" s="9"/>
      <c r="AD1750" s="9"/>
      <c r="AE1750" s="9"/>
      <c r="AF1750" s="9"/>
      <c r="AG1750" s="9"/>
      <c r="AH1750" s="9"/>
      <c r="AI1750" s="9"/>
      <c r="AJ1750" s="9"/>
      <c r="AK1750" s="9"/>
      <c r="AL1750" s="9"/>
    </row>
    <row r="1751" spans="1:38">
      <c r="A1751" s="11"/>
      <c r="B1751" s="11"/>
      <c r="C1751" s="11"/>
      <c r="D1751" s="11"/>
      <c r="E1751" s="11"/>
      <c r="F1751" s="11"/>
      <c r="G1751" s="11"/>
      <c r="H1751" s="11"/>
      <c r="I1751" s="11"/>
      <c r="J1751" s="11"/>
      <c r="K1751" s="11"/>
      <c r="L1751" s="11"/>
      <c r="M1751" s="11"/>
      <c r="N1751" s="11"/>
      <c r="O1751" s="11"/>
      <c r="P1751" s="11"/>
      <c r="Q1751" s="11"/>
      <c r="R1751" s="11"/>
      <c r="S1751" s="11"/>
      <c r="T1751" s="11"/>
      <c r="U1751" s="11"/>
      <c r="V1751" s="11"/>
      <c r="W1751" s="11"/>
      <c r="X1751" s="11"/>
      <c r="Y1751" s="11"/>
      <c r="Z1751" s="11"/>
      <c r="AA1751" s="11"/>
      <c r="AB1751" s="11"/>
      <c r="AC1751" s="11"/>
      <c r="AD1751" s="11"/>
      <c r="AE1751" s="11"/>
      <c r="AF1751" s="11"/>
      <c r="AG1751" s="11"/>
      <c r="AH1751" s="11"/>
      <c r="AI1751" s="11"/>
      <c r="AJ1751" s="11"/>
      <c r="AK1751" s="11"/>
      <c r="AL1751" s="11"/>
    </row>
    <row r="1769" spans="1:38">
      <c r="A1769" s="14"/>
      <c r="B1769" s="14"/>
      <c r="C1769" s="14"/>
      <c r="D1769" s="14"/>
      <c r="E1769" s="14"/>
      <c r="F1769" s="14"/>
      <c r="G1769" s="14"/>
      <c r="H1769" s="14"/>
      <c r="I1769" s="14"/>
      <c r="J1769" s="14"/>
      <c r="K1769" s="14"/>
      <c r="L1769" s="14"/>
      <c r="M1769" s="14"/>
      <c r="N1769" s="14"/>
      <c r="O1769" s="14"/>
      <c r="P1769" s="14"/>
      <c r="Q1769" s="14"/>
      <c r="R1769" s="14"/>
      <c r="S1769" s="14"/>
      <c r="T1769" s="14"/>
      <c r="U1769" s="14"/>
      <c r="V1769" s="14"/>
      <c r="W1769" s="14"/>
      <c r="X1769" s="14"/>
      <c r="Y1769" s="14"/>
      <c r="Z1769" s="14"/>
      <c r="AA1769" s="14"/>
      <c r="AB1769" s="14"/>
      <c r="AC1769" s="14"/>
      <c r="AD1769" s="14"/>
      <c r="AE1769" s="14"/>
      <c r="AF1769" s="14"/>
      <c r="AG1769" s="14"/>
      <c r="AH1769" s="14"/>
      <c r="AI1769" s="14"/>
      <c r="AJ1769" s="14"/>
      <c r="AK1769" s="14"/>
      <c r="AL1769" s="14"/>
    </row>
    <row r="1770" spans="1:38">
      <c r="A1770" s="9"/>
      <c r="B1770" s="9"/>
      <c r="C1770" s="9"/>
      <c r="D1770" s="9"/>
      <c r="E1770" s="9"/>
      <c r="F1770" s="9"/>
      <c r="G1770" s="9"/>
      <c r="H1770" s="9"/>
      <c r="I1770" s="9"/>
      <c r="J1770" s="9"/>
      <c r="K1770" s="9"/>
      <c r="L1770" s="9"/>
      <c r="M1770" s="9"/>
      <c r="N1770" s="9"/>
      <c r="O1770" s="9"/>
      <c r="P1770" s="9"/>
      <c r="Q1770" s="9"/>
      <c r="R1770" s="9"/>
      <c r="S1770" s="9"/>
      <c r="T1770" s="9"/>
      <c r="U1770" s="9"/>
      <c r="V1770" s="9"/>
      <c r="W1770" s="9"/>
      <c r="X1770" s="9"/>
      <c r="Y1770" s="9"/>
      <c r="Z1770" s="9"/>
      <c r="AA1770" s="9"/>
      <c r="AB1770" s="9"/>
      <c r="AC1770" s="9"/>
      <c r="AD1770" s="9"/>
      <c r="AE1770" s="9"/>
      <c r="AF1770" s="9"/>
      <c r="AG1770" s="9"/>
      <c r="AH1770" s="9"/>
      <c r="AI1770" s="9"/>
      <c r="AJ1770" s="9"/>
      <c r="AK1770" s="9"/>
      <c r="AL1770" s="9"/>
    </row>
    <row r="1771" spans="1:38">
      <c r="A1771" s="10"/>
      <c r="B1771" s="10"/>
      <c r="C1771" s="10"/>
      <c r="D1771" s="10"/>
      <c r="E1771" s="10"/>
      <c r="F1771" s="10"/>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0"/>
      <c r="AH1771" s="10"/>
      <c r="AI1771" s="10"/>
      <c r="AJ1771" s="10"/>
      <c r="AK1771" s="10"/>
      <c r="AL1771" s="10"/>
    </row>
    <row r="1772" spans="1:38">
      <c r="A1772" s="10"/>
      <c r="B1772" s="10"/>
      <c r="C1772" s="10"/>
      <c r="D1772" s="10"/>
      <c r="E1772" s="10"/>
      <c r="F1772" s="10"/>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0"/>
      <c r="AH1772" s="10"/>
      <c r="AI1772" s="10"/>
      <c r="AJ1772" s="10"/>
      <c r="AK1772" s="10"/>
      <c r="AL1772" s="10"/>
    </row>
    <row r="1773" spans="1:38">
      <c r="A1773" s="10"/>
      <c r="B1773" s="10"/>
      <c r="C1773" s="10"/>
      <c r="D1773" s="10"/>
      <c r="E1773" s="10"/>
      <c r="F1773" s="10"/>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0"/>
      <c r="AH1773" s="10"/>
      <c r="AI1773" s="10"/>
      <c r="AJ1773" s="10"/>
      <c r="AK1773" s="10"/>
      <c r="AL1773" s="10"/>
    </row>
    <row r="1774" spans="1:38">
      <c r="A1774" s="10"/>
      <c r="B1774" s="10"/>
      <c r="C1774" s="10"/>
      <c r="D1774" s="10"/>
      <c r="E1774" s="10"/>
      <c r="F1774" s="10"/>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0"/>
      <c r="AH1774" s="10"/>
      <c r="AI1774" s="10"/>
      <c r="AJ1774" s="10"/>
      <c r="AK1774" s="10"/>
      <c r="AL1774" s="10"/>
    </row>
    <row r="1775" spans="1:38">
      <c r="A1775" s="10"/>
      <c r="B1775" s="10"/>
      <c r="C1775" s="10"/>
      <c r="D1775" s="10"/>
      <c r="E1775" s="10"/>
      <c r="F1775" s="10"/>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0"/>
      <c r="AH1775" s="10"/>
      <c r="AI1775" s="10"/>
      <c r="AJ1775" s="10"/>
      <c r="AK1775" s="10"/>
      <c r="AL1775" s="10"/>
    </row>
    <row r="1776" spans="1:38">
      <c r="A1776" s="10"/>
      <c r="B1776" s="10"/>
      <c r="C1776" s="10"/>
      <c r="D1776" s="10"/>
      <c r="E1776" s="10"/>
      <c r="F1776" s="10"/>
      <c r="G1776" s="10"/>
      <c r="H1776" s="10"/>
      <c r="I1776" s="10"/>
      <c r="J1776" s="10"/>
      <c r="K1776" s="10"/>
      <c r="L1776" s="10"/>
      <c r="M1776" s="10"/>
      <c r="N1776" s="10"/>
      <c r="O1776" s="10"/>
      <c r="P1776" s="10"/>
      <c r="Q1776" s="10"/>
      <c r="R1776" s="10"/>
      <c r="S1776" s="10"/>
      <c r="T1776" s="10"/>
      <c r="U1776" s="10"/>
      <c r="V1776" s="10"/>
      <c r="W1776" s="10"/>
      <c r="X1776" s="10"/>
      <c r="Y1776" s="10"/>
      <c r="Z1776" s="10"/>
      <c r="AA1776" s="10"/>
      <c r="AB1776" s="10"/>
      <c r="AC1776" s="10"/>
      <c r="AD1776" s="10"/>
      <c r="AE1776" s="10"/>
      <c r="AF1776" s="10"/>
      <c r="AG1776" s="10"/>
      <c r="AH1776" s="10"/>
      <c r="AI1776" s="10"/>
      <c r="AJ1776" s="10"/>
      <c r="AK1776" s="10"/>
      <c r="AL1776" s="10"/>
    </row>
    <row r="1777" spans="1:38">
      <c r="A1777" s="10"/>
      <c r="B1777" s="10"/>
      <c r="C1777" s="10"/>
      <c r="D1777" s="10"/>
      <c r="E1777" s="10"/>
      <c r="F1777" s="10"/>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0"/>
      <c r="AH1777" s="10"/>
      <c r="AI1777" s="10"/>
      <c r="AJ1777" s="10"/>
      <c r="AK1777" s="10"/>
      <c r="AL1777" s="10"/>
    </row>
    <row r="1778" spans="1:38">
      <c r="A1778" s="10"/>
      <c r="B1778" s="10"/>
      <c r="C1778" s="10"/>
      <c r="D1778" s="10"/>
      <c r="E1778" s="10"/>
      <c r="F1778" s="10"/>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0"/>
      <c r="AH1778" s="10"/>
      <c r="AI1778" s="10"/>
      <c r="AJ1778" s="10"/>
      <c r="AK1778" s="10"/>
      <c r="AL1778" s="10"/>
    </row>
    <row r="1779" spans="1:38">
      <c r="A1779" s="10"/>
      <c r="B1779" s="10"/>
      <c r="C1779" s="10"/>
      <c r="D1779" s="10"/>
      <c r="E1779" s="10"/>
      <c r="F1779" s="10"/>
      <c r="G1779" s="10"/>
      <c r="H1779" s="10"/>
      <c r="I1779" s="10"/>
      <c r="J1779" s="10"/>
      <c r="K1779" s="10"/>
      <c r="L1779" s="10"/>
      <c r="M1779" s="10"/>
      <c r="N1779" s="10"/>
      <c r="O1779" s="10"/>
      <c r="P1779" s="10"/>
      <c r="Q1779" s="10"/>
      <c r="R1779" s="10"/>
      <c r="S1779" s="10"/>
      <c r="T1779" s="10"/>
      <c r="U1779" s="10"/>
      <c r="V1779" s="10"/>
      <c r="W1779" s="10"/>
      <c r="X1779" s="10"/>
      <c r="Y1779" s="10"/>
      <c r="Z1779" s="10"/>
      <c r="AA1779" s="10"/>
      <c r="AB1779" s="10"/>
      <c r="AC1779" s="10"/>
      <c r="AD1779" s="10"/>
      <c r="AE1779" s="10"/>
      <c r="AF1779" s="10"/>
      <c r="AG1779" s="10"/>
      <c r="AH1779" s="10"/>
      <c r="AI1779" s="10"/>
      <c r="AJ1779" s="10"/>
      <c r="AK1779" s="10"/>
      <c r="AL1779" s="10"/>
    </row>
    <row r="1780" spans="1:38">
      <c r="A1780" s="10"/>
      <c r="B1780" s="10"/>
      <c r="C1780" s="10"/>
      <c r="D1780" s="10"/>
      <c r="E1780" s="10"/>
      <c r="F1780" s="10"/>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0"/>
      <c r="AH1780" s="10"/>
      <c r="AI1780" s="10"/>
      <c r="AJ1780" s="10"/>
      <c r="AK1780" s="10"/>
      <c r="AL1780" s="10"/>
    </row>
    <row r="1782" spans="1:38">
      <c r="A1782" s="11"/>
      <c r="B1782" s="11"/>
      <c r="C1782" s="11"/>
      <c r="D1782" s="11"/>
      <c r="E1782" s="11"/>
      <c r="F1782" s="11"/>
      <c r="G1782" s="11"/>
      <c r="H1782" s="11"/>
      <c r="I1782" s="11"/>
      <c r="J1782" s="11"/>
      <c r="K1782" s="11"/>
      <c r="L1782" s="11"/>
      <c r="M1782" s="11"/>
      <c r="N1782" s="11"/>
      <c r="O1782" s="11"/>
      <c r="P1782" s="11"/>
      <c r="Q1782" s="11"/>
      <c r="R1782" s="11"/>
      <c r="S1782" s="11"/>
      <c r="T1782" s="11"/>
      <c r="U1782" s="11"/>
      <c r="V1782" s="11"/>
      <c r="W1782" s="11"/>
      <c r="X1782" s="11"/>
      <c r="Y1782" s="11"/>
      <c r="Z1782" s="11"/>
      <c r="AA1782" s="11"/>
      <c r="AB1782" s="11"/>
      <c r="AC1782" s="11"/>
      <c r="AD1782" s="11"/>
      <c r="AE1782" s="11"/>
      <c r="AF1782" s="11"/>
      <c r="AG1782" s="11"/>
      <c r="AH1782" s="11"/>
      <c r="AI1782" s="11"/>
      <c r="AJ1782" s="11"/>
      <c r="AK1782" s="11"/>
      <c r="AL1782" s="11"/>
    </row>
    <row r="1794" spans="1:38">
      <c r="A1794" s="14"/>
      <c r="B1794" s="14"/>
      <c r="C1794" s="14"/>
      <c r="D1794" s="14"/>
      <c r="E1794" s="14"/>
      <c r="F1794" s="14"/>
      <c r="G1794" s="14"/>
      <c r="H1794" s="14"/>
      <c r="I1794" s="14"/>
      <c r="J1794" s="14"/>
      <c r="K1794" s="14"/>
      <c r="L1794" s="14"/>
      <c r="M1794" s="14"/>
      <c r="N1794" s="14"/>
      <c r="O1794" s="14"/>
      <c r="P1794" s="14"/>
      <c r="Q1794" s="14"/>
      <c r="R1794" s="14"/>
      <c r="S1794" s="14"/>
      <c r="T1794" s="14"/>
      <c r="U1794" s="14"/>
      <c r="V1794" s="14"/>
      <c r="W1794" s="14"/>
      <c r="X1794" s="14"/>
      <c r="Y1794" s="14"/>
      <c r="Z1794" s="14"/>
      <c r="AA1794" s="14"/>
      <c r="AB1794" s="14"/>
      <c r="AC1794" s="14"/>
      <c r="AD1794" s="14"/>
      <c r="AE1794" s="14"/>
      <c r="AF1794" s="14"/>
      <c r="AG1794" s="14"/>
      <c r="AH1794" s="14"/>
      <c r="AI1794" s="14"/>
      <c r="AJ1794" s="14"/>
      <c r="AK1794" s="14"/>
      <c r="AL1794" s="14"/>
    </row>
    <row r="1795" spans="1:38">
      <c r="A1795" s="9"/>
      <c r="B1795" s="9"/>
      <c r="C1795" s="9"/>
      <c r="D1795" s="9"/>
      <c r="E1795" s="9"/>
      <c r="F1795" s="9"/>
      <c r="G1795" s="9"/>
      <c r="H1795" s="9"/>
      <c r="I1795" s="9"/>
      <c r="J1795" s="9"/>
      <c r="K1795" s="9"/>
      <c r="L1795" s="9"/>
      <c r="M1795" s="9"/>
      <c r="N1795" s="9"/>
      <c r="O1795" s="9"/>
      <c r="P1795" s="9"/>
      <c r="Q1795" s="9"/>
      <c r="R1795" s="9"/>
      <c r="S1795" s="9"/>
      <c r="T1795" s="9"/>
      <c r="U1795" s="9"/>
      <c r="V1795" s="9"/>
      <c r="W1795" s="9"/>
      <c r="X1795" s="9"/>
      <c r="Y1795" s="9"/>
      <c r="Z1795" s="9"/>
      <c r="AA1795" s="9"/>
      <c r="AB1795" s="9"/>
      <c r="AC1795" s="9"/>
      <c r="AD1795" s="9"/>
      <c r="AE1795" s="9"/>
      <c r="AF1795" s="9"/>
      <c r="AG1795" s="9"/>
      <c r="AH1795" s="9"/>
      <c r="AI1795" s="9"/>
      <c r="AJ1795" s="9"/>
      <c r="AK1795" s="9"/>
      <c r="AL1795" s="9"/>
    </row>
    <row r="1796" spans="1:38">
      <c r="A1796" s="10"/>
      <c r="B1796" s="10"/>
      <c r="C1796" s="10"/>
      <c r="D1796" s="10"/>
      <c r="E1796" s="10"/>
      <c r="F1796" s="10"/>
      <c r="G1796" s="10"/>
      <c r="H1796" s="10"/>
      <c r="I1796" s="10"/>
      <c r="J1796" s="10"/>
      <c r="K1796" s="10"/>
      <c r="L1796" s="10"/>
      <c r="M1796" s="10"/>
      <c r="N1796" s="10"/>
      <c r="O1796" s="10"/>
      <c r="P1796" s="10"/>
      <c r="Q1796" s="10"/>
      <c r="R1796" s="10"/>
      <c r="S1796" s="10"/>
      <c r="T1796" s="10"/>
      <c r="U1796" s="10"/>
      <c r="V1796" s="10"/>
      <c r="W1796" s="10"/>
      <c r="X1796" s="10"/>
      <c r="Y1796" s="10"/>
      <c r="Z1796" s="10"/>
      <c r="AA1796" s="10"/>
      <c r="AB1796" s="10"/>
      <c r="AC1796" s="10"/>
      <c r="AD1796" s="10"/>
      <c r="AE1796" s="10"/>
      <c r="AF1796" s="10"/>
      <c r="AG1796" s="10"/>
      <c r="AH1796" s="10"/>
      <c r="AI1796" s="10"/>
      <c r="AJ1796" s="10"/>
      <c r="AK1796" s="10"/>
      <c r="AL1796" s="10"/>
    </row>
    <row r="1797" spans="1:38">
      <c r="A1797" s="10"/>
      <c r="B1797" s="10"/>
      <c r="C1797" s="10"/>
      <c r="D1797" s="10"/>
      <c r="E1797" s="10"/>
      <c r="F1797" s="10"/>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0"/>
      <c r="AH1797" s="10"/>
      <c r="AI1797" s="10"/>
      <c r="AJ1797" s="10"/>
      <c r="AK1797" s="10"/>
      <c r="AL1797" s="10"/>
    </row>
    <row r="1798" spans="1:38">
      <c r="A1798" s="10"/>
      <c r="B1798" s="10"/>
      <c r="C1798" s="10"/>
      <c r="D1798" s="10"/>
      <c r="E1798" s="10"/>
      <c r="F1798" s="10"/>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0"/>
      <c r="AH1798" s="10"/>
      <c r="AI1798" s="10"/>
      <c r="AJ1798" s="10"/>
      <c r="AK1798" s="10"/>
      <c r="AL1798" s="10"/>
    </row>
    <row r="1799" spans="1:38">
      <c r="A1799" s="10"/>
      <c r="B1799" s="10"/>
      <c r="C1799" s="10"/>
      <c r="D1799" s="10"/>
      <c r="E1799" s="10"/>
      <c r="F1799" s="10"/>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0"/>
      <c r="AH1799" s="10"/>
      <c r="AI1799" s="10"/>
      <c r="AJ1799" s="10"/>
      <c r="AK1799" s="10"/>
      <c r="AL1799" s="10"/>
    </row>
    <row r="1800" spans="1:38">
      <c r="A1800" s="10"/>
      <c r="B1800" s="10"/>
      <c r="C1800" s="10"/>
      <c r="D1800" s="10"/>
      <c r="E1800" s="10"/>
      <c r="F1800" s="10"/>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0"/>
      <c r="AH1800" s="10"/>
      <c r="AI1800" s="10"/>
      <c r="AJ1800" s="10"/>
      <c r="AK1800" s="10"/>
      <c r="AL1800" s="10"/>
    </row>
    <row r="1801" spans="1:38">
      <c r="A1801" s="10"/>
      <c r="B1801" s="10"/>
      <c r="C1801" s="10"/>
      <c r="D1801" s="10"/>
      <c r="E1801" s="10"/>
      <c r="F1801" s="10"/>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0"/>
      <c r="AH1801" s="10"/>
      <c r="AI1801" s="10"/>
      <c r="AJ1801" s="10"/>
      <c r="AK1801" s="10"/>
      <c r="AL1801" s="10"/>
    </row>
    <row r="1802" spans="1:38">
      <c r="A1802" s="10"/>
      <c r="B1802" s="10"/>
      <c r="C1802" s="10"/>
      <c r="D1802" s="10"/>
      <c r="E1802" s="10"/>
      <c r="F1802" s="10"/>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0"/>
      <c r="AH1802" s="10"/>
      <c r="AI1802" s="10"/>
      <c r="AJ1802" s="10"/>
      <c r="AK1802" s="10"/>
      <c r="AL1802" s="10"/>
    </row>
    <row r="1803" spans="1:38">
      <c r="A1803" s="10"/>
      <c r="B1803" s="10"/>
      <c r="C1803" s="10"/>
      <c r="D1803" s="10"/>
      <c r="E1803" s="10"/>
      <c r="F1803" s="10"/>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0"/>
      <c r="AH1803" s="10"/>
      <c r="AI1803" s="10"/>
      <c r="AJ1803" s="10"/>
      <c r="AK1803" s="10"/>
      <c r="AL1803" s="10"/>
    </row>
    <row r="1804" spans="1:38">
      <c r="A1804" s="10"/>
      <c r="B1804" s="10"/>
      <c r="C1804" s="10"/>
      <c r="D1804" s="10"/>
      <c r="E1804" s="10"/>
      <c r="F1804" s="10"/>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0"/>
      <c r="AH1804" s="10"/>
      <c r="AI1804" s="10"/>
      <c r="AJ1804" s="10"/>
      <c r="AK1804" s="10"/>
      <c r="AL1804" s="10"/>
    </row>
    <row r="1805" spans="1:38">
      <c r="A1805" s="10"/>
      <c r="B1805" s="10"/>
      <c r="C1805" s="10"/>
      <c r="D1805" s="10"/>
      <c r="E1805" s="10"/>
      <c r="F1805" s="10"/>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0"/>
      <c r="AH1805" s="10"/>
      <c r="AI1805" s="10"/>
      <c r="AJ1805" s="10"/>
      <c r="AK1805" s="10"/>
      <c r="AL1805" s="10"/>
    </row>
    <row r="1806" spans="1:38">
      <c r="A1806" s="9"/>
      <c r="B1806" s="9"/>
      <c r="C1806" s="9"/>
      <c r="D1806" s="9"/>
      <c r="E1806" s="9"/>
      <c r="F1806" s="9"/>
      <c r="G1806" s="9"/>
      <c r="H1806" s="9"/>
      <c r="I1806" s="9"/>
      <c r="J1806" s="9"/>
      <c r="K1806" s="9"/>
      <c r="L1806" s="9"/>
      <c r="M1806" s="9"/>
      <c r="N1806" s="9"/>
      <c r="O1806" s="9"/>
      <c r="P1806" s="9"/>
      <c r="Q1806" s="9"/>
      <c r="R1806" s="9"/>
      <c r="S1806" s="9"/>
      <c r="T1806" s="9"/>
      <c r="U1806" s="9"/>
      <c r="V1806" s="9"/>
      <c r="W1806" s="9"/>
      <c r="X1806" s="9"/>
      <c r="Y1806" s="9"/>
      <c r="Z1806" s="9"/>
      <c r="AA1806" s="9"/>
      <c r="AB1806" s="9"/>
      <c r="AC1806" s="9"/>
      <c r="AD1806" s="9"/>
      <c r="AE1806" s="9"/>
      <c r="AF1806" s="9"/>
      <c r="AG1806" s="9"/>
      <c r="AH1806" s="9"/>
      <c r="AI1806" s="9"/>
      <c r="AJ1806" s="9"/>
      <c r="AK1806" s="9"/>
      <c r="AL1806" s="9"/>
    </row>
    <row r="1807" spans="1:38">
      <c r="A1807" s="11"/>
      <c r="B1807" s="11"/>
      <c r="C1807" s="11"/>
      <c r="D1807" s="11"/>
      <c r="E1807" s="11"/>
      <c r="F1807" s="11"/>
      <c r="G1807" s="11"/>
      <c r="H1807" s="11"/>
      <c r="I1807" s="11"/>
      <c r="J1807" s="11"/>
      <c r="K1807" s="11"/>
      <c r="L1807" s="11"/>
      <c r="M1807" s="11"/>
      <c r="N1807" s="11"/>
      <c r="O1807" s="11"/>
      <c r="P1807" s="11"/>
      <c r="Q1807" s="11"/>
      <c r="R1807" s="11"/>
      <c r="S1807" s="11"/>
      <c r="T1807" s="11"/>
      <c r="U1807" s="11"/>
      <c r="V1807" s="11"/>
      <c r="W1807" s="11"/>
      <c r="X1807" s="11"/>
      <c r="Y1807" s="11"/>
      <c r="Z1807" s="11"/>
      <c r="AA1807" s="11"/>
      <c r="AB1807" s="11"/>
      <c r="AC1807" s="11"/>
      <c r="AD1807" s="11"/>
      <c r="AE1807" s="11"/>
      <c r="AF1807" s="11"/>
      <c r="AG1807" s="11"/>
      <c r="AH1807" s="11"/>
      <c r="AI1807" s="11"/>
      <c r="AJ1807" s="11"/>
      <c r="AK1807" s="11"/>
      <c r="AL1807" s="11"/>
    </row>
    <row r="1821" spans="1:38">
      <c r="A1821" s="14"/>
      <c r="B1821" s="14"/>
      <c r="C1821" s="14"/>
      <c r="D1821" s="14"/>
      <c r="E1821" s="14"/>
      <c r="F1821" s="14"/>
      <c r="G1821" s="14"/>
      <c r="H1821" s="14"/>
      <c r="I1821" s="14"/>
      <c r="J1821" s="14"/>
      <c r="K1821" s="14"/>
      <c r="L1821" s="14"/>
      <c r="M1821" s="14"/>
      <c r="N1821" s="14"/>
      <c r="O1821" s="14"/>
      <c r="P1821" s="14"/>
      <c r="Q1821" s="14"/>
      <c r="R1821" s="14"/>
      <c r="S1821" s="14"/>
      <c r="T1821" s="14"/>
      <c r="U1821" s="14"/>
      <c r="V1821" s="14"/>
      <c r="W1821" s="14"/>
      <c r="X1821" s="14"/>
      <c r="Y1821" s="14"/>
      <c r="Z1821" s="14"/>
      <c r="AA1821" s="14"/>
      <c r="AB1821" s="14"/>
      <c r="AC1821" s="14"/>
      <c r="AD1821" s="14"/>
      <c r="AE1821" s="14"/>
      <c r="AF1821" s="14"/>
      <c r="AG1821" s="14"/>
      <c r="AH1821" s="14"/>
      <c r="AI1821" s="14"/>
      <c r="AJ1821" s="14"/>
      <c r="AK1821" s="14"/>
      <c r="AL1821" s="14"/>
    </row>
    <row r="1822" spans="1:38">
      <c r="A1822" s="9"/>
      <c r="B1822" s="9"/>
      <c r="C1822" s="9"/>
      <c r="D1822" s="9"/>
      <c r="E1822" s="9"/>
      <c r="F1822" s="9"/>
      <c r="G1822" s="9"/>
      <c r="H1822" s="9"/>
      <c r="I1822" s="9"/>
      <c r="J1822" s="9"/>
      <c r="K1822" s="9"/>
      <c r="L1822" s="9"/>
      <c r="M1822" s="9"/>
      <c r="N1822" s="9"/>
      <c r="O1822" s="9"/>
      <c r="P1822" s="9"/>
      <c r="Q1822" s="9"/>
      <c r="R1822" s="9"/>
      <c r="S1822" s="9"/>
      <c r="T1822" s="9"/>
      <c r="U1822" s="9"/>
      <c r="V1822" s="9"/>
      <c r="W1822" s="9"/>
      <c r="X1822" s="9"/>
      <c r="Y1822" s="9"/>
      <c r="Z1822" s="9"/>
      <c r="AA1822" s="9"/>
      <c r="AB1822" s="9"/>
      <c r="AC1822" s="9"/>
      <c r="AD1822" s="9"/>
      <c r="AE1822" s="9"/>
      <c r="AF1822" s="9"/>
      <c r="AG1822" s="9"/>
      <c r="AH1822" s="9"/>
      <c r="AI1822" s="9"/>
      <c r="AJ1822" s="9"/>
      <c r="AK1822" s="9"/>
      <c r="AL1822" s="9"/>
    </row>
    <row r="1823" spans="1:38">
      <c r="A1823" s="10"/>
      <c r="B1823" s="10"/>
      <c r="C1823" s="10"/>
      <c r="D1823" s="10"/>
      <c r="E1823" s="10"/>
      <c r="F1823" s="10"/>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0"/>
      <c r="AH1823" s="10"/>
      <c r="AI1823" s="10"/>
      <c r="AJ1823" s="10"/>
      <c r="AK1823" s="10"/>
      <c r="AL1823" s="10"/>
    </row>
    <row r="1824" spans="1:38">
      <c r="A1824" s="10"/>
      <c r="B1824" s="10"/>
      <c r="C1824" s="10"/>
      <c r="D1824" s="10"/>
      <c r="E1824" s="10"/>
      <c r="F1824" s="10"/>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0"/>
      <c r="AH1824" s="10"/>
      <c r="AI1824" s="10"/>
      <c r="AJ1824" s="10"/>
      <c r="AK1824" s="10"/>
      <c r="AL1824" s="10"/>
    </row>
    <row r="1825" spans="1:38">
      <c r="A1825" s="10"/>
      <c r="B1825" s="10"/>
      <c r="C1825" s="10"/>
      <c r="D1825" s="10"/>
      <c r="E1825" s="10"/>
      <c r="F1825" s="10"/>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0"/>
      <c r="AH1825" s="10"/>
      <c r="AI1825" s="10"/>
      <c r="AJ1825" s="10"/>
      <c r="AK1825" s="10"/>
      <c r="AL1825" s="10"/>
    </row>
    <row r="1826" spans="1:38">
      <c r="A1826" s="10"/>
      <c r="B1826" s="10"/>
      <c r="C1826" s="10"/>
      <c r="D1826" s="10"/>
      <c r="E1826" s="10"/>
      <c r="F1826" s="10"/>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0"/>
      <c r="AH1826" s="10"/>
      <c r="AI1826" s="10"/>
      <c r="AJ1826" s="10"/>
      <c r="AK1826" s="10"/>
      <c r="AL1826" s="10"/>
    </row>
    <row r="1827" spans="1:38">
      <c r="A1827" s="10"/>
      <c r="B1827" s="10"/>
      <c r="C1827" s="10"/>
      <c r="D1827" s="10"/>
      <c r="E1827" s="10"/>
      <c r="F1827" s="10"/>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0"/>
      <c r="AH1827" s="10"/>
      <c r="AI1827" s="10"/>
      <c r="AJ1827" s="10"/>
      <c r="AK1827" s="10"/>
      <c r="AL1827" s="10"/>
    </row>
    <row r="1828" spans="1:38">
      <c r="A1828" s="10"/>
      <c r="B1828" s="10"/>
      <c r="C1828" s="10"/>
      <c r="D1828" s="10"/>
      <c r="E1828" s="10"/>
      <c r="F1828" s="10"/>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0"/>
      <c r="AH1828" s="10"/>
      <c r="AI1828" s="10"/>
      <c r="AJ1828" s="10"/>
      <c r="AK1828" s="10"/>
      <c r="AL1828" s="10"/>
    </row>
    <row r="1829" spans="1:38">
      <c r="A1829" s="10"/>
      <c r="B1829" s="10"/>
      <c r="C1829" s="10"/>
      <c r="D1829" s="10"/>
      <c r="E1829" s="10"/>
      <c r="F1829" s="10"/>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0"/>
      <c r="AH1829" s="10"/>
      <c r="AI1829" s="10"/>
      <c r="AJ1829" s="10"/>
      <c r="AK1829" s="10"/>
      <c r="AL1829" s="10"/>
    </row>
    <row r="1830" spans="1:38">
      <c r="A1830" s="10"/>
      <c r="B1830" s="10"/>
      <c r="C1830" s="10"/>
      <c r="D1830" s="10"/>
      <c r="E1830" s="10"/>
      <c r="F1830" s="10"/>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0"/>
      <c r="AH1830" s="10"/>
      <c r="AI1830" s="10"/>
      <c r="AJ1830" s="10"/>
      <c r="AK1830" s="10"/>
      <c r="AL1830" s="10"/>
    </row>
    <row r="1831" spans="1:38">
      <c r="A1831" s="10"/>
      <c r="B1831" s="10"/>
      <c r="C1831" s="10"/>
      <c r="D1831" s="10"/>
      <c r="E1831" s="10"/>
      <c r="F1831" s="10"/>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0"/>
      <c r="AH1831" s="10"/>
      <c r="AI1831" s="10"/>
      <c r="AJ1831" s="10"/>
      <c r="AK1831" s="10"/>
      <c r="AL1831" s="10"/>
    </row>
    <row r="1832" spans="1:38">
      <c r="A1832" s="10"/>
      <c r="B1832" s="10"/>
      <c r="C1832" s="10"/>
      <c r="D1832" s="10"/>
      <c r="E1832" s="10"/>
      <c r="F1832" s="10"/>
      <c r="G1832" s="10"/>
      <c r="H1832" s="10"/>
      <c r="I1832" s="10"/>
      <c r="J1832" s="10"/>
      <c r="K1832" s="10"/>
      <c r="L1832" s="10"/>
      <c r="M1832" s="10"/>
      <c r="N1832" s="10"/>
      <c r="O1832" s="10"/>
      <c r="P1832" s="10"/>
      <c r="Q1832" s="10"/>
      <c r="R1832" s="10"/>
      <c r="S1832" s="10"/>
      <c r="T1832" s="10"/>
      <c r="U1832" s="10"/>
      <c r="V1832" s="10"/>
      <c r="W1832" s="10"/>
      <c r="X1832" s="10"/>
      <c r="Y1832" s="10"/>
      <c r="Z1832" s="10"/>
      <c r="AA1832" s="10"/>
      <c r="AB1832" s="10"/>
      <c r="AC1832" s="10"/>
      <c r="AD1832" s="10"/>
      <c r="AE1832" s="10"/>
      <c r="AF1832" s="10"/>
      <c r="AG1832" s="10"/>
      <c r="AH1832" s="10"/>
      <c r="AI1832" s="10"/>
      <c r="AJ1832" s="10"/>
      <c r="AK1832" s="10"/>
      <c r="AL1832" s="10"/>
    </row>
    <row r="1833" spans="1:38">
      <c r="A1833" s="9"/>
      <c r="B1833" s="9"/>
      <c r="C1833" s="9"/>
      <c r="D1833" s="9"/>
      <c r="E1833" s="9"/>
      <c r="F1833" s="9"/>
      <c r="G1833" s="9"/>
      <c r="H1833" s="9"/>
      <c r="I1833" s="9"/>
      <c r="J1833" s="9"/>
      <c r="K1833" s="9"/>
      <c r="L1833" s="9"/>
      <c r="M1833" s="9"/>
      <c r="N1833" s="9"/>
      <c r="O1833" s="9"/>
      <c r="P1833" s="9"/>
      <c r="Q1833" s="9"/>
      <c r="R1833" s="9"/>
      <c r="S1833" s="9"/>
      <c r="T1833" s="9"/>
      <c r="U1833" s="9"/>
      <c r="V1833" s="9"/>
      <c r="W1833" s="9"/>
      <c r="X1833" s="9"/>
      <c r="Y1833" s="9"/>
      <c r="Z1833" s="9"/>
      <c r="AA1833" s="9"/>
      <c r="AB1833" s="9"/>
      <c r="AC1833" s="9"/>
      <c r="AD1833" s="9"/>
      <c r="AE1833" s="9"/>
      <c r="AF1833" s="9"/>
      <c r="AG1833" s="9"/>
      <c r="AH1833" s="9"/>
      <c r="AI1833" s="9"/>
      <c r="AJ1833" s="9"/>
      <c r="AK1833" s="9"/>
      <c r="AL1833" s="9"/>
    </row>
    <row r="1842" spans="1:38">
      <c r="A1842" s="9"/>
      <c r="B1842" s="9"/>
      <c r="C1842" s="9"/>
      <c r="D1842" s="9"/>
      <c r="E1842" s="9"/>
      <c r="F1842" s="9"/>
      <c r="G1842" s="9"/>
      <c r="H1842" s="9"/>
      <c r="I1842" s="9"/>
      <c r="J1842" s="9"/>
      <c r="K1842" s="9"/>
      <c r="L1842" s="9"/>
      <c r="M1842" s="9"/>
      <c r="N1842" s="9"/>
      <c r="O1842" s="9"/>
      <c r="P1842" s="9"/>
      <c r="Q1842" s="9"/>
      <c r="R1842" s="9"/>
      <c r="S1842" s="9"/>
      <c r="T1842" s="9"/>
      <c r="U1842" s="9"/>
      <c r="V1842" s="9"/>
      <c r="W1842" s="9"/>
      <c r="X1842" s="9"/>
      <c r="Y1842" s="9"/>
      <c r="Z1842" s="9"/>
      <c r="AA1842" s="9"/>
      <c r="AB1842" s="9"/>
      <c r="AC1842" s="9"/>
      <c r="AD1842" s="9"/>
      <c r="AE1842" s="9"/>
      <c r="AF1842" s="9"/>
      <c r="AG1842" s="9"/>
      <c r="AH1842" s="9"/>
      <c r="AI1842" s="9"/>
      <c r="AJ1842" s="9"/>
      <c r="AK1842" s="9"/>
      <c r="AL1842" s="9"/>
    </row>
    <row r="1843" spans="1:38">
      <c r="A1843" s="10"/>
      <c r="B1843" s="10"/>
      <c r="C1843" s="10"/>
      <c r="D1843" s="10"/>
      <c r="E1843" s="10"/>
      <c r="F1843" s="10"/>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0"/>
      <c r="AH1843" s="10"/>
      <c r="AI1843" s="10"/>
      <c r="AJ1843" s="10"/>
      <c r="AK1843" s="10"/>
      <c r="AL1843" s="10"/>
    </row>
    <row r="1844" spans="1:38">
      <c r="A1844" s="10"/>
      <c r="B1844" s="10"/>
      <c r="C1844" s="10"/>
      <c r="D1844" s="10"/>
      <c r="E1844" s="10"/>
      <c r="F1844" s="10"/>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0"/>
      <c r="AH1844" s="10"/>
      <c r="AI1844" s="10"/>
      <c r="AJ1844" s="10"/>
      <c r="AK1844" s="10"/>
      <c r="AL1844" s="10"/>
    </row>
    <row r="1845" spans="1:38">
      <c r="A1845" s="10"/>
      <c r="B1845" s="10"/>
      <c r="C1845" s="10"/>
      <c r="D1845" s="10"/>
      <c r="E1845" s="10"/>
      <c r="F1845" s="10"/>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0"/>
      <c r="AH1845" s="10"/>
      <c r="AI1845" s="10"/>
      <c r="AJ1845" s="10"/>
      <c r="AK1845" s="10"/>
      <c r="AL1845" s="10"/>
    </row>
    <row r="1846" spans="1:38">
      <c r="A1846" s="10"/>
      <c r="B1846" s="10"/>
      <c r="C1846" s="10"/>
      <c r="D1846" s="10"/>
      <c r="E1846" s="10"/>
      <c r="F1846" s="10"/>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0"/>
      <c r="AH1846" s="10"/>
      <c r="AI1846" s="10"/>
      <c r="AJ1846" s="10"/>
      <c r="AK1846" s="10"/>
      <c r="AL1846" s="10"/>
    </row>
    <row r="1847" spans="1:38">
      <c r="A1847" s="10"/>
      <c r="B1847" s="10"/>
      <c r="C1847" s="10"/>
      <c r="D1847" s="10"/>
      <c r="E1847" s="10"/>
      <c r="F1847" s="10"/>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0"/>
      <c r="AH1847" s="10"/>
      <c r="AI1847" s="10"/>
      <c r="AJ1847" s="10"/>
      <c r="AK1847" s="10"/>
      <c r="AL1847" s="10"/>
    </row>
    <row r="1848" spans="1:38">
      <c r="A1848" s="10"/>
      <c r="B1848" s="10"/>
      <c r="C1848" s="10"/>
      <c r="D1848" s="10"/>
      <c r="E1848" s="10"/>
      <c r="F1848" s="10"/>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0"/>
      <c r="AH1848" s="10"/>
      <c r="AI1848" s="10"/>
      <c r="AJ1848" s="10"/>
      <c r="AK1848" s="10"/>
      <c r="AL1848" s="10"/>
    </row>
    <row r="1849" spans="1:38">
      <c r="A1849" s="10"/>
      <c r="B1849" s="10"/>
      <c r="C1849" s="10"/>
      <c r="D1849" s="10"/>
      <c r="E1849" s="10"/>
      <c r="F1849" s="10"/>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0"/>
      <c r="AH1849" s="10"/>
      <c r="AI1849" s="10"/>
      <c r="AJ1849" s="10"/>
      <c r="AK1849" s="10"/>
      <c r="AL1849" s="10"/>
    </row>
    <row r="1850" spans="1:38">
      <c r="A1850" s="10"/>
      <c r="B1850" s="10"/>
      <c r="C1850" s="10"/>
      <c r="D1850" s="10"/>
      <c r="E1850" s="10"/>
      <c r="F1850" s="10"/>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0"/>
      <c r="AH1850" s="10"/>
      <c r="AI1850" s="10"/>
      <c r="AJ1850" s="10"/>
      <c r="AK1850" s="10"/>
      <c r="AL1850" s="10"/>
    </row>
    <row r="1851" spans="1:38">
      <c r="A1851" s="10"/>
      <c r="B1851" s="10"/>
      <c r="C1851" s="10"/>
      <c r="D1851" s="10"/>
      <c r="E1851" s="10"/>
      <c r="F1851" s="10"/>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0"/>
      <c r="AH1851" s="10"/>
      <c r="AI1851" s="10"/>
      <c r="AJ1851" s="10"/>
      <c r="AK1851" s="10"/>
      <c r="AL1851" s="10"/>
    </row>
    <row r="1852" spans="1:38">
      <c r="A1852" s="10"/>
      <c r="B1852" s="10"/>
      <c r="C1852" s="10"/>
      <c r="D1852" s="10"/>
      <c r="E1852" s="10"/>
      <c r="F1852" s="10"/>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0"/>
      <c r="AH1852" s="10"/>
      <c r="AI1852" s="10"/>
      <c r="AJ1852" s="10"/>
      <c r="AK1852" s="10"/>
      <c r="AL1852" s="10"/>
    </row>
    <row r="1854" spans="1:38">
      <c r="A1854" s="9"/>
      <c r="B1854" s="9"/>
      <c r="C1854" s="9"/>
      <c r="D1854" s="9"/>
      <c r="E1854" s="9"/>
      <c r="F1854" s="9"/>
      <c r="G1854" s="9"/>
      <c r="H1854" s="9"/>
      <c r="I1854" s="9"/>
      <c r="J1854" s="9"/>
      <c r="K1854" s="9"/>
      <c r="L1854" s="9"/>
      <c r="M1854" s="9"/>
      <c r="N1854" s="9"/>
      <c r="O1854" s="9"/>
      <c r="P1854" s="9"/>
      <c r="Q1854" s="9"/>
      <c r="R1854" s="9"/>
      <c r="S1854" s="9"/>
      <c r="T1854" s="9"/>
      <c r="U1854" s="9"/>
      <c r="V1854" s="9"/>
      <c r="W1854" s="9"/>
      <c r="X1854" s="9"/>
      <c r="Y1854" s="9"/>
      <c r="Z1854" s="9"/>
      <c r="AA1854" s="9"/>
      <c r="AB1854" s="9"/>
      <c r="AC1854" s="9"/>
      <c r="AD1854" s="9"/>
      <c r="AE1854" s="9"/>
      <c r="AF1854" s="9"/>
      <c r="AG1854" s="9"/>
      <c r="AH1854" s="9"/>
      <c r="AI1854" s="9"/>
      <c r="AJ1854" s="9"/>
      <c r="AK1854" s="9"/>
      <c r="AL1854" s="9"/>
    </row>
    <row r="1855" spans="1:38">
      <c r="A1855" s="11"/>
      <c r="B1855" s="11"/>
      <c r="C1855" s="11"/>
      <c r="D1855" s="11"/>
      <c r="E1855" s="11"/>
      <c r="F1855" s="11"/>
      <c r="G1855" s="11"/>
      <c r="H1855" s="11"/>
      <c r="I1855" s="11"/>
      <c r="J1855" s="11"/>
      <c r="K1855" s="11"/>
      <c r="L1855" s="11"/>
      <c r="M1855" s="11"/>
      <c r="N1855" s="11"/>
      <c r="O1855" s="11"/>
      <c r="P1855" s="11"/>
      <c r="Q1855" s="11"/>
      <c r="R1855" s="11"/>
      <c r="S1855" s="11"/>
      <c r="T1855" s="11"/>
      <c r="U1855" s="11"/>
      <c r="V1855" s="11"/>
      <c r="W1855" s="11"/>
      <c r="X1855" s="11"/>
      <c r="Y1855" s="11"/>
      <c r="Z1855" s="11"/>
      <c r="AA1855" s="11"/>
      <c r="AB1855" s="11"/>
      <c r="AC1855" s="11"/>
      <c r="AD1855" s="11"/>
      <c r="AE1855" s="11"/>
      <c r="AF1855" s="11"/>
      <c r="AG1855" s="11"/>
      <c r="AH1855" s="11"/>
      <c r="AI1855" s="11"/>
      <c r="AJ1855" s="11"/>
      <c r="AK1855" s="11"/>
      <c r="AL1855" s="11"/>
    </row>
    <row r="1865" spans="1:38">
      <c r="A1865" s="14"/>
      <c r="B1865" s="14"/>
      <c r="C1865" s="14"/>
      <c r="D1865" s="14"/>
      <c r="E1865" s="14"/>
      <c r="F1865" s="14"/>
      <c r="G1865" s="14"/>
      <c r="H1865" s="14"/>
      <c r="I1865" s="14"/>
      <c r="J1865" s="14"/>
      <c r="K1865" s="14"/>
      <c r="L1865" s="14"/>
      <c r="M1865" s="14"/>
      <c r="N1865" s="14"/>
      <c r="O1865" s="14"/>
      <c r="P1865" s="14"/>
      <c r="Q1865" s="14"/>
      <c r="R1865" s="14"/>
      <c r="S1865" s="14"/>
      <c r="T1865" s="14"/>
      <c r="U1865" s="14"/>
      <c r="V1865" s="14"/>
      <c r="W1865" s="14"/>
      <c r="X1865" s="14"/>
      <c r="Y1865" s="14"/>
      <c r="Z1865" s="14"/>
      <c r="AA1865" s="14"/>
      <c r="AB1865" s="14"/>
      <c r="AC1865" s="14"/>
      <c r="AD1865" s="14"/>
      <c r="AE1865" s="14"/>
      <c r="AF1865" s="14"/>
      <c r="AG1865" s="14"/>
      <c r="AH1865" s="14"/>
      <c r="AI1865" s="14"/>
      <c r="AJ1865" s="14"/>
      <c r="AK1865" s="14"/>
      <c r="AL1865" s="14"/>
    </row>
    <row r="1866" spans="1:38">
      <c r="A1866" s="9"/>
      <c r="B1866" s="9"/>
      <c r="C1866" s="9"/>
      <c r="D1866" s="9"/>
      <c r="E1866" s="9"/>
      <c r="F1866" s="9"/>
      <c r="G1866" s="9"/>
      <c r="H1866" s="9"/>
      <c r="I1866" s="9"/>
      <c r="J1866" s="9"/>
      <c r="K1866" s="9"/>
      <c r="L1866" s="9"/>
      <c r="M1866" s="9"/>
      <c r="N1866" s="9"/>
      <c r="O1866" s="9"/>
      <c r="P1866" s="9"/>
      <c r="Q1866" s="9"/>
      <c r="R1866" s="9"/>
      <c r="S1866" s="9"/>
      <c r="T1866" s="9"/>
      <c r="U1866" s="9"/>
      <c r="V1866" s="9"/>
      <c r="W1866" s="9"/>
      <c r="X1866" s="9"/>
      <c r="Y1866" s="9"/>
      <c r="Z1866" s="9"/>
      <c r="AA1866" s="9"/>
      <c r="AB1866" s="9"/>
      <c r="AC1866" s="9"/>
      <c r="AD1866" s="9"/>
      <c r="AE1866" s="9"/>
      <c r="AF1866" s="9"/>
      <c r="AG1866" s="9"/>
      <c r="AH1866" s="9"/>
      <c r="AI1866" s="9"/>
      <c r="AJ1866" s="9"/>
      <c r="AK1866" s="9"/>
      <c r="AL1866" s="9"/>
    </row>
    <row r="1867" spans="1:38">
      <c r="A1867" s="10"/>
      <c r="B1867" s="10"/>
      <c r="C1867" s="10"/>
      <c r="D1867" s="10"/>
      <c r="E1867" s="10"/>
      <c r="F1867" s="10"/>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0"/>
      <c r="AH1867" s="10"/>
      <c r="AI1867" s="10"/>
      <c r="AJ1867" s="10"/>
      <c r="AK1867" s="10"/>
      <c r="AL1867" s="10"/>
    </row>
    <row r="1868" spans="1:38">
      <c r="A1868" s="10"/>
      <c r="B1868" s="10"/>
      <c r="C1868" s="10"/>
      <c r="D1868" s="10"/>
      <c r="E1868" s="10"/>
      <c r="F1868" s="10"/>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0"/>
      <c r="AH1868" s="10"/>
      <c r="AI1868" s="10"/>
      <c r="AJ1868" s="10"/>
      <c r="AK1868" s="10"/>
      <c r="AL1868" s="10"/>
    </row>
    <row r="1869" spans="1:38">
      <c r="A1869" s="10"/>
      <c r="B1869" s="10"/>
      <c r="C1869" s="10"/>
      <c r="D1869" s="10"/>
      <c r="E1869" s="10"/>
      <c r="F1869" s="10"/>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0"/>
      <c r="AH1869" s="10"/>
      <c r="AI1869" s="10"/>
      <c r="AJ1869" s="10"/>
      <c r="AK1869" s="10"/>
      <c r="AL1869" s="10"/>
    </row>
    <row r="1870" spans="1:38">
      <c r="A1870" s="10"/>
      <c r="B1870" s="10"/>
      <c r="C1870" s="10"/>
      <c r="D1870" s="10"/>
      <c r="E1870" s="10"/>
      <c r="F1870" s="10"/>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0"/>
      <c r="AH1870" s="10"/>
      <c r="AI1870" s="10"/>
      <c r="AJ1870" s="10"/>
      <c r="AK1870" s="10"/>
      <c r="AL1870" s="10"/>
    </row>
    <row r="1871" spans="1:38">
      <c r="A1871" s="10"/>
      <c r="B1871" s="10"/>
      <c r="C1871" s="10"/>
      <c r="D1871" s="10"/>
      <c r="E1871" s="10"/>
      <c r="F1871" s="10"/>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0"/>
      <c r="AH1871" s="10"/>
      <c r="AI1871" s="10"/>
      <c r="AJ1871" s="10"/>
      <c r="AK1871" s="10"/>
      <c r="AL1871" s="10"/>
    </row>
    <row r="1872" spans="1:38">
      <c r="A1872" s="10"/>
      <c r="B1872" s="10"/>
      <c r="C1872" s="10"/>
      <c r="D1872" s="10"/>
      <c r="E1872" s="10"/>
      <c r="F1872" s="10"/>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0"/>
      <c r="AH1872" s="10"/>
      <c r="AI1872" s="10"/>
      <c r="AJ1872" s="10"/>
      <c r="AK1872" s="10"/>
      <c r="AL1872" s="10"/>
    </row>
    <row r="1873" spans="1:38">
      <c r="A1873" s="10"/>
      <c r="B1873" s="10"/>
      <c r="C1873" s="10"/>
      <c r="D1873" s="10"/>
      <c r="E1873" s="10"/>
      <c r="F1873" s="10"/>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0"/>
      <c r="AH1873" s="10"/>
      <c r="AI1873" s="10"/>
      <c r="AJ1873" s="10"/>
      <c r="AK1873" s="10"/>
      <c r="AL1873" s="10"/>
    </row>
    <row r="1874" spans="1:38">
      <c r="A1874" s="10"/>
      <c r="B1874" s="10"/>
      <c r="C1874" s="10"/>
      <c r="D1874" s="10"/>
      <c r="E1874" s="10"/>
      <c r="F1874" s="10"/>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0"/>
      <c r="AH1874" s="10"/>
      <c r="AI1874" s="10"/>
      <c r="AJ1874" s="10"/>
      <c r="AK1874" s="10"/>
      <c r="AL1874" s="10"/>
    </row>
    <row r="1875" spans="1:38">
      <c r="A1875" s="10"/>
      <c r="B1875" s="10"/>
      <c r="C1875" s="10"/>
      <c r="D1875" s="10"/>
      <c r="E1875" s="10"/>
      <c r="F1875" s="10"/>
      <c r="G1875" s="10"/>
      <c r="H1875" s="10"/>
      <c r="I1875" s="10"/>
      <c r="J1875" s="10"/>
      <c r="K1875" s="10"/>
      <c r="L1875" s="10"/>
      <c r="M1875" s="10"/>
      <c r="N1875" s="10"/>
      <c r="O1875" s="10"/>
      <c r="P1875" s="10"/>
      <c r="Q1875" s="10"/>
      <c r="R1875" s="10"/>
      <c r="S1875" s="10"/>
      <c r="T1875" s="10"/>
      <c r="U1875" s="10"/>
      <c r="V1875" s="10"/>
      <c r="W1875" s="10"/>
      <c r="X1875" s="10"/>
      <c r="Y1875" s="10"/>
      <c r="Z1875" s="10"/>
      <c r="AA1875" s="10"/>
      <c r="AB1875" s="10"/>
      <c r="AC1875" s="10"/>
      <c r="AD1875" s="10"/>
      <c r="AE1875" s="10"/>
      <c r="AF1875" s="10"/>
      <c r="AG1875" s="10"/>
      <c r="AH1875" s="10"/>
      <c r="AI1875" s="10"/>
      <c r="AJ1875" s="10"/>
      <c r="AK1875" s="10"/>
      <c r="AL1875" s="10"/>
    </row>
    <row r="1876" spans="1:38">
      <c r="A1876" s="10"/>
      <c r="B1876" s="10"/>
      <c r="C1876" s="10"/>
      <c r="D1876" s="10"/>
      <c r="E1876" s="10"/>
      <c r="F1876" s="10"/>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0"/>
      <c r="AH1876" s="10"/>
      <c r="AI1876" s="10"/>
      <c r="AJ1876" s="10"/>
      <c r="AK1876" s="10"/>
      <c r="AL1876" s="10"/>
    </row>
    <row r="1877" spans="1:38">
      <c r="A1877" s="9"/>
      <c r="B1877" s="9"/>
      <c r="C1877" s="9"/>
      <c r="D1877" s="9"/>
      <c r="E1877" s="9"/>
      <c r="F1877" s="9"/>
      <c r="G1877" s="9"/>
      <c r="H1877" s="9"/>
      <c r="I1877" s="9"/>
      <c r="J1877" s="9"/>
      <c r="K1877" s="9"/>
      <c r="L1877" s="9"/>
      <c r="M1877" s="9"/>
      <c r="N1877" s="9"/>
      <c r="O1877" s="9"/>
      <c r="P1877" s="9"/>
      <c r="Q1877" s="9"/>
      <c r="R1877" s="9"/>
      <c r="S1877" s="9"/>
      <c r="T1877" s="9"/>
      <c r="U1877" s="9"/>
      <c r="V1877" s="9"/>
      <c r="W1877" s="9"/>
      <c r="X1877" s="9"/>
      <c r="Y1877" s="9"/>
      <c r="Z1877" s="9"/>
      <c r="AA1877" s="9"/>
      <c r="AB1877" s="9"/>
      <c r="AC1877" s="9"/>
      <c r="AD1877" s="9"/>
      <c r="AE1877" s="9"/>
      <c r="AF1877" s="9"/>
      <c r="AG1877" s="9"/>
      <c r="AH1877" s="9"/>
      <c r="AI1877" s="9"/>
      <c r="AJ1877" s="9"/>
      <c r="AK1877" s="9"/>
      <c r="AL1877" s="9"/>
    </row>
    <row r="1878" spans="1:38">
      <c r="A1878" s="11"/>
      <c r="B1878" s="11"/>
      <c r="C1878" s="11"/>
      <c r="D1878" s="11"/>
      <c r="E1878" s="11"/>
      <c r="F1878" s="11"/>
      <c r="G1878" s="11"/>
      <c r="H1878" s="11"/>
      <c r="I1878" s="11"/>
      <c r="J1878" s="11"/>
      <c r="K1878" s="11"/>
      <c r="L1878" s="11"/>
      <c r="M1878" s="11"/>
      <c r="N1878" s="11"/>
      <c r="O1878" s="11"/>
      <c r="P1878" s="11"/>
      <c r="Q1878" s="11"/>
      <c r="R1878" s="11"/>
      <c r="S1878" s="11"/>
      <c r="T1878" s="11"/>
      <c r="U1878" s="11"/>
      <c r="V1878" s="11"/>
      <c r="W1878" s="11"/>
      <c r="X1878" s="11"/>
      <c r="Y1878" s="11"/>
      <c r="Z1878" s="11"/>
      <c r="AA1878" s="11"/>
      <c r="AB1878" s="11"/>
      <c r="AC1878" s="11"/>
      <c r="AD1878" s="11"/>
      <c r="AE1878" s="11"/>
      <c r="AF1878" s="11"/>
      <c r="AG1878" s="11"/>
      <c r="AH1878" s="11"/>
      <c r="AI1878" s="11"/>
      <c r="AJ1878" s="11"/>
      <c r="AK1878" s="11"/>
      <c r="AL1878" s="11"/>
    </row>
    <row r="1888" spans="1:38">
      <c r="A1888" s="14"/>
      <c r="B1888" s="14"/>
      <c r="C1888" s="14"/>
      <c r="D1888" s="14"/>
      <c r="E1888" s="14"/>
      <c r="F1888" s="14"/>
      <c r="G1888" s="14"/>
      <c r="H1888" s="14"/>
      <c r="I1888" s="14"/>
      <c r="J1888" s="14"/>
      <c r="K1888" s="14"/>
      <c r="L1888" s="14"/>
      <c r="M1888" s="14"/>
      <c r="N1888" s="14"/>
      <c r="O1888" s="14"/>
      <c r="P1888" s="14"/>
      <c r="Q1888" s="14"/>
      <c r="R1888" s="14"/>
      <c r="S1888" s="14"/>
      <c r="T1888" s="14"/>
      <c r="U1888" s="14"/>
      <c r="V1888" s="14"/>
      <c r="W1888" s="14"/>
      <c r="X1888" s="14"/>
      <c r="Y1888" s="14"/>
      <c r="Z1888" s="14"/>
      <c r="AA1888" s="14"/>
      <c r="AB1888" s="14"/>
      <c r="AC1888" s="14"/>
      <c r="AD1888" s="14"/>
      <c r="AE1888" s="14"/>
      <c r="AF1888" s="14"/>
      <c r="AG1888" s="14"/>
      <c r="AH1888" s="14"/>
      <c r="AI1888" s="14"/>
      <c r="AJ1888" s="14"/>
      <c r="AK1888" s="14"/>
      <c r="AL1888" s="14"/>
    </row>
    <row r="1889" spans="1:38">
      <c r="A1889" s="9"/>
      <c r="B1889" s="9"/>
      <c r="C1889" s="9"/>
      <c r="D1889" s="9"/>
      <c r="E1889" s="9"/>
      <c r="F1889" s="9"/>
      <c r="G1889" s="9"/>
      <c r="H1889" s="9"/>
      <c r="I1889" s="9"/>
      <c r="J1889" s="9"/>
      <c r="K1889" s="9"/>
      <c r="L1889" s="9"/>
      <c r="M1889" s="9"/>
      <c r="N1889" s="9"/>
      <c r="O1889" s="9"/>
      <c r="P1889" s="9"/>
      <c r="Q1889" s="9"/>
      <c r="R1889" s="9"/>
      <c r="S1889" s="9"/>
      <c r="T1889" s="9"/>
      <c r="U1889" s="9"/>
      <c r="V1889" s="9"/>
      <c r="W1889" s="9"/>
      <c r="X1889" s="9"/>
      <c r="Y1889" s="9"/>
      <c r="Z1889" s="9"/>
      <c r="AA1889" s="9"/>
      <c r="AB1889" s="9"/>
      <c r="AC1889" s="9"/>
      <c r="AD1889" s="9"/>
      <c r="AE1889" s="9"/>
      <c r="AF1889" s="9"/>
      <c r="AG1889" s="9"/>
      <c r="AH1889" s="9"/>
      <c r="AI1889" s="9"/>
      <c r="AJ1889" s="9"/>
      <c r="AK1889" s="9"/>
      <c r="AL1889" s="9"/>
    </row>
    <row r="1890" spans="1:38">
      <c r="A1890" s="10"/>
      <c r="B1890" s="10"/>
      <c r="C1890" s="10"/>
      <c r="D1890" s="10"/>
      <c r="E1890" s="10"/>
      <c r="F1890" s="10"/>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0"/>
      <c r="AH1890" s="10"/>
      <c r="AI1890" s="10"/>
      <c r="AJ1890" s="10"/>
      <c r="AK1890" s="10"/>
      <c r="AL1890" s="10"/>
    </row>
    <row r="1891" spans="1:38">
      <c r="A1891" s="10"/>
      <c r="B1891" s="10"/>
      <c r="C1891" s="10"/>
      <c r="D1891" s="10"/>
      <c r="E1891" s="10"/>
      <c r="F1891" s="10"/>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0"/>
      <c r="AH1891" s="10"/>
      <c r="AI1891" s="10"/>
      <c r="AJ1891" s="10"/>
      <c r="AK1891" s="10"/>
      <c r="AL1891" s="10"/>
    </row>
    <row r="1892" spans="1:38">
      <c r="A1892" s="10"/>
      <c r="B1892" s="10"/>
      <c r="C1892" s="10"/>
      <c r="D1892" s="10"/>
      <c r="E1892" s="10"/>
      <c r="F1892" s="10"/>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0"/>
      <c r="AH1892" s="10"/>
      <c r="AI1892" s="10"/>
      <c r="AJ1892" s="10"/>
      <c r="AK1892" s="10"/>
      <c r="AL1892" s="10"/>
    </row>
    <row r="1893" spans="1:38">
      <c r="A1893" s="10"/>
      <c r="B1893" s="10"/>
      <c r="C1893" s="10"/>
      <c r="D1893" s="10"/>
      <c r="E1893" s="10"/>
      <c r="F1893" s="10"/>
      <c r="G1893" s="10"/>
      <c r="H1893" s="10"/>
      <c r="I1893" s="10"/>
      <c r="J1893" s="10"/>
      <c r="K1893" s="10"/>
      <c r="L1893" s="10"/>
      <c r="M1893" s="10"/>
      <c r="N1893" s="10"/>
      <c r="O1893" s="10"/>
      <c r="P1893" s="10"/>
      <c r="Q1893" s="10"/>
      <c r="R1893" s="10"/>
      <c r="S1893" s="10"/>
      <c r="T1893" s="10"/>
      <c r="U1893" s="10"/>
      <c r="V1893" s="10"/>
      <c r="W1893" s="10"/>
      <c r="X1893" s="10"/>
      <c r="Y1893" s="10"/>
      <c r="Z1893" s="10"/>
      <c r="AA1893" s="10"/>
      <c r="AB1893" s="10"/>
      <c r="AC1893" s="10"/>
      <c r="AD1893" s="10"/>
      <c r="AE1893" s="10"/>
      <c r="AF1893" s="10"/>
      <c r="AG1893" s="10"/>
      <c r="AH1893" s="10"/>
      <c r="AI1893" s="10"/>
      <c r="AJ1893" s="10"/>
      <c r="AK1893" s="10"/>
      <c r="AL1893" s="10"/>
    </row>
    <row r="1894" spans="1:38">
      <c r="A1894" s="10"/>
      <c r="B1894" s="10"/>
      <c r="C1894" s="10"/>
      <c r="D1894" s="10"/>
      <c r="E1894" s="10"/>
      <c r="F1894" s="10"/>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0"/>
      <c r="AH1894" s="10"/>
      <c r="AI1894" s="10"/>
      <c r="AJ1894" s="10"/>
      <c r="AK1894" s="10"/>
      <c r="AL1894" s="10"/>
    </row>
    <row r="1895" spans="1:38">
      <c r="A1895" s="10"/>
      <c r="B1895" s="10"/>
      <c r="C1895" s="10"/>
      <c r="D1895" s="10"/>
      <c r="E1895" s="10"/>
      <c r="F1895" s="10"/>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0"/>
      <c r="AH1895" s="10"/>
      <c r="AI1895" s="10"/>
      <c r="AJ1895" s="10"/>
      <c r="AK1895" s="10"/>
      <c r="AL1895" s="10"/>
    </row>
    <row r="1896" spans="1:38">
      <c r="A1896" s="10"/>
      <c r="B1896" s="10"/>
      <c r="C1896" s="10"/>
      <c r="D1896" s="10"/>
      <c r="E1896" s="10"/>
      <c r="F1896" s="10"/>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0"/>
      <c r="AH1896" s="10"/>
      <c r="AI1896" s="10"/>
      <c r="AJ1896" s="10"/>
      <c r="AK1896" s="10"/>
      <c r="AL1896" s="10"/>
    </row>
    <row r="1897" spans="1:38">
      <c r="A1897" s="10"/>
      <c r="B1897" s="10"/>
      <c r="C1897" s="10"/>
      <c r="D1897" s="10"/>
      <c r="E1897" s="10"/>
      <c r="F1897" s="10"/>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0"/>
      <c r="AH1897" s="10"/>
      <c r="AI1897" s="10"/>
      <c r="AJ1897" s="10"/>
      <c r="AK1897" s="10"/>
      <c r="AL1897" s="10"/>
    </row>
    <row r="1898" spans="1:38">
      <c r="A1898" s="10"/>
      <c r="B1898" s="10"/>
      <c r="C1898" s="10"/>
      <c r="D1898" s="10"/>
      <c r="E1898" s="10"/>
      <c r="F1898" s="10"/>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0"/>
      <c r="AH1898" s="10"/>
      <c r="AI1898" s="10"/>
      <c r="AJ1898" s="10"/>
      <c r="AK1898" s="10"/>
      <c r="AL1898" s="10"/>
    </row>
    <row r="1899" spans="1:38">
      <c r="A1899" s="10"/>
      <c r="B1899" s="10"/>
      <c r="C1899" s="10"/>
      <c r="D1899" s="10"/>
      <c r="E1899" s="10"/>
      <c r="F1899" s="10"/>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0"/>
      <c r="AH1899" s="10"/>
      <c r="AI1899" s="10"/>
      <c r="AJ1899" s="10"/>
      <c r="AK1899" s="10"/>
      <c r="AL1899" s="10"/>
    </row>
    <row r="1900" spans="1:38">
      <c r="A1900" s="9"/>
      <c r="B1900" s="9"/>
      <c r="C1900" s="9"/>
      <c r="D1900" s="9"/>
      <c r="E1900" s="9"/>
      <c r="F1900" s="9"/>
      <c r="G1900" s="9"/>
      <c r="H1900" s="9"/>
      <c r="I1900" s="9"/>
      <c r="J1900" s="9"/>
      <c r="K1900" s="9"/>
      <c r="L1900" s="9"/>
      <c r="M1900" s="9"/>
      <c r="N1900" s="9"/>
      <c r="O1900" s="9"/>
      <c r="P1900" s="9"/>
      <c r="Q1900" s="9"/>
      <c r="R1900" s="9"/>
      <c r="S1900" s="9"/>
      <c r="T1900" s="9"/>
      <c r="U1900" s="9"/>
      <c r="V1900" s="9"/>
      <c r="W1900" s="9"/>
      <c r="X1900" s="9"/>
      <c r="Y1900" s="9"/>
      <c r="Z1900" s="9"/>
      <c r="AA1900" s="9"/>
      <c r="AB1900" s="9"/>
      <c r="AC1900" s="9"/>
      <c r="AD1900" s="9"/>
      <c r="AE1900" s="9"/>
      <c r="AF1900" s="9"/>
      <c r="AG1900" s="9"/>
      <c r="AH1900" s="9"/>
      <c r="AI1900" s="9"/>
      <c r="AJ1900" s="9"/>
      <c r="AK1900" s="9"/>
      <c r="AL1900" s="9"/>
    </row>
    <row r="1901" spans="1:38">
      <c r="A1901" s="11"/>
      <c r="B1901" s="11"/>
      <c r="C1901" s="11"/>
      <c r="D1901" s="11"/>
      <c r="E1901" s="11"/>
      <c r="F1901" s="11"/>
      <c r="G1901" s="11"/>
      <c r="H1901" s="11"/>
      <c r="I1901" s="11"/>
      <c r="J1901" s="11"/>
      <c r="K1901" s="11"/>
      <c r="L1901" s="11"/>
      <c r="M1901" s="11"/>
      <c r="N1901" s="11"/>
      <c r="O1901" s="11"/>
      <c r="P1901" s="11"/>
      <c r="Q1901" s="11"/>
      <c r="R1901" s="11"/>
      <c r="S1901" s="11"/>
      <c r="T1901" s="11"/>
      <c r="U1901" s="11"/>
      <c r="V1901" s="11"/>
      <c r="W1901" s="11"/>
      <c r="X1901" s="11"/>
      <c r="Y1901" s="11"/>
      <c r="Z1901" s="11"/>
      <c r="AA1901" s="11"/>
      <c r="AB1901" s="11"/>
      <c r="AC1901" s="11"/>
      <c r="AD1901" s="11"/>
      <c r="AE1901" s="11"/>
      <c r="AF1901" s="11"/>
      <c r="AG1901" s="11"/>
      <c r="AH1901" s="11"/>
      <c r="AI1901" s="11"/>
      <c r="AJ1901" s="11"/>
      <c r="AK1901" s="11"/>
      <c r="AL1901" s="11"/>
    </row>
    <row r="1915" spans="1:38">
      <c r="A1915" s="14"/>
      <c r="B1915" s="14"/>
      <c r="C1915" s="14"/>
      <c r="D1915" s="14"/>
      <c r="E1915" s="14"/>
      <c r="F1915" s="14"/>
      <c r="G1915" s="14"/>
      <c r="H1915" s="14"/>
      <c r="I1915" s="14"/>
      <c r="J1915" s="14"/>
      <c r="K1915" s="14"/>
      <c r="L1915" s="14"/>
      <c r="M1915" s="14"/>
      <c r="N1915" s="14"/>
      <c r="O1915" s="14"/>
      <c r="P1915" s="14"/>
      <c r="Q1915" s="14"/>
      <c r="R1915" s="14"/>
      <c r="S1915" s="14"/>
      <c r="T1915" s="14"/>
      <c r="U1915" s="14"/>
      <c r="V1915" s="14"/>
      <c r="W1915" s="14"/>
      <c r="X1915" s="14"/>
      <c r="Y1915" s="14"/>
      <c r="Z1915" s="14"/>
      <c r="AA1915" s="14"/>
      <c r="AB1915" s="14"/>
      <c r="AC1915" s="14"/>
      <c r="AD1915" s="14"/>
      <c r="AE1915" s="14"/>
      <c r="AF1915" s="14"/>
      <c r="AG1915" s="14"/>
      <c r="AH1915" s="14"/>
      <c r="AI1915" s="14"/>
      <c r="AJ1915" s="14"/>
      <c r="AK1915" s="14"/>
      <c r="AL1915" s="14"/>
    </row>
    <row r="1916" spans="1:38">
      <c r="A1916" s="9"/>
      <c r="B1916" s="9"/>
      <c r="C1916" s="9"/>
      <c r="D1916" s="9"/>
      <c r="E1916" s="9"/>
      <c r="F1916" s="9"/>
      <c r="G1916" s="9"/>
      <c r="H1916" s="9"/>
      <c r="I1916" s="9"/>
      <c r="J1916" s="9"/>
      <c r="K1916" s="9"/>
      <c r="L1916" s="9"/>
      <c r="M1916" s="9"/>
      <c r="N1916" s="9"/>
      <c r="O1916" s="9"/>
      <c r="P1916" s="9"/>
      <c r="Q1916" s="9"/>
      <c r="R1916" s="9"/>
      <c r="S1916" s="9"/>
      <c r="T1916" s="9"/>
      <c r="U1916" s="9"/>
      <c r="V1916" s="9"/>
      <c r="W1916" s="9"/>
      <c r="X1916" s="9"/>
      <c r="Y1916" s="9"/>
      <c r="Z1916" s="9"/>
      <c r="AA1916" s="9"/>
      <c r="AB1916" s="9"/>
      <c r="AC1916" s="9"/>
      <c r="AD1916" s="9"/>
      <c r="AE1916" s="9"/>
      <c r="AF1916" s="9"/>
      <c r="AG1916" s="9"/>
      <c r="AH1916" s="9"/>
      <c r="AI1916" s="9"/>
      <c r="AJ1916" s="9"/>
      <c r="AK1916" s="9"/>
      <c r="AL1916" s="9"/>
    </row>
    <row r="1917" spans="1:38">
      <c r="A1917" s="10"/>
      <c r="B1917" s="10"/>
      <c r="C1917" s="10"/>
      <c r="D1917" s="10"/>
      <c r="E1917" s="10"/>
      <c r="F1917" s="10"/>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0"/>
      <c r="AH1917" s="10"/>
      <c r="AI1917" s="10"/>
      <c r="AJ1917" s="10"/>
      <c r="AK1917" s="10"/>
      <c r="AL1917" s="10"/>
    </row>
    <row r="1918" spans="1:38">
      <c r="A1918" s="10"/>
      <c r="B1918" s="10"/>
      <c r="C1918" s="10"/>
      <c r="D1918" s="10"/>
      <c r="E1918" s="10"/>
      <c r="F1918" s="10"/>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0"/>
      <c r="AH1918" s="10"/>
      <c r="AI1918" s="10"/>
      <c r="AJ1918" s="10"/>
      <c r="AK1918" s="10"/>
      <c r="AL1918" s="10"/>
    </row>
    <row r="1919" spans="1:38">
      <c r="A1919" s="10"/>
      <c r="B1919" s="10"/>
      <c r="C1919" s="10"/>
      <c r="D1919" s="10"/>
      <c r="E1919" s="10"/>
      <c r="F1919" s="10"/>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0"/>
      <c r="AH1919" s="10"/>
      <c r="AI1919" s="10"/>
      <c r="AJ1919" s="10"/>
      <c r="AK1919" s="10"/>
      <c r="AL1919" s="10"/>
    </row>
    <row r="1920" spans="1:38">
      <c r="A1920" s="10"/>
      <c r="B1920" s="10"/>
      <c r="C1920" s="10"/>
      <c r="D1920" s="10"/>
      <c r="E1920" s="10"/>
      <c r="F1920" s="10"/>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0"/>
      <c r="AH1920" s="10"/>
      <c r="AI1920" s="10"/>
      <c r="AJ1920" s="10"/>
      <c r="AK1920" s="10"/>
      <c r="AL1920" s="10"/>
    </row>
    <row r="1921" spans="1:38">
      <c r="A1921" s="10"/>
      <c r="B1921" s="10"/>
      <c r="C1921" s="10"/>
      <c r="D1921" s="10"/>
      <c r="E1921" s="10"/>
      <c r="F1921" s="10"/>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0"/>
      <c r="AH1921" s="10"/>
      <c r="AI1921" s="10"/>
      <c r="AJ1921" s="10"/>
      <c r="AK1921" s="10"/>
      <c r="AL1921" s="10"/>
    </row>
    <row r="1922" spans="1:38">
      <c r="A1922" s="10"/>
      <c r="B1922" s="10"/>
      <c r="C1922" s="10"/>
      <c r="D1922" s="10"/>
      <c r="E1922" s="10"/>
      <c r="F1922" s="10"/>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0"/>
      <c r="AH1922" s="10"/>
      <c r="AI1922" s="10"/>
      <c r="AJ1922" s="10"/>
      <c r="AK1922" s="10"/>
      <c r="AL1922" s="10"/>
    </row>
    <row r="1923" spans="1:38">
      <c r="A1923" s="10"/>
      <c r="B1923" s="10"/>
      <c r="C1923" s="10"/>
      <c r="D1923" s="10"/>
      <c r="E1923" s="10"/>
      <c r="F1923" s="10"/>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0"/>
      <c r="AH1923" s="10"/>
      <c r="AI1923" s="10"/>
      <c r="AJ1923" s="10"/>
      <c r="AK1923" s="10"/>
      <c r="AL1923" s="10"/>
    </row>
    <row r="1924" spans="1:38">
      <c r="A1924" s="10"/>
      <c r="B1924" s="10"/>
      <c r="C1924" s="10"/>
      <c r="D1924" s="10"/>
      <c r="E1924" s="10"/>
      <c r="F1924" s="10"/>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0"/>
      <c r="AH1924" s="10"/>
      <c r="AI1924" s="10"/>
      <c r="AJ1924" s="10"/>
      <c r="AK1924" s="10"/>
      <c r="AL1924" s="10"/>
    </row>
    <row r="1925" spans="1:38">
      <c r="A1925" s="10"/>
      <c r="B1925" s="10"/>
      <c r="C1925" s="10"/>
      <c r="D1925" s="10"/>
      <c r="E1925" s="10"/>
      <c r="F1925" s="10"/>
      <c r="G1925" s="10"/>
      <c r="H1925" s="10"/>
      <c r="I1925" s="10"/>
      <c r="J1925" s="10"/>
      <c r="K1925" s="10"/>
      <c r="L1925" s="10"/>
      <c r="M1925" s="10"/>
      <c r="N1925" s="10"/>
      <c r="O1925" s="10"/>
      <c r="P1925" s="10"/>
      <c r="Q1925" s="10"/>
      <c r="R1925" s="10"/>
      <c r="S1925" s="10"/>
      <c r="T1925" s="10"/>
      <c r="U1925" s="10"/>
      <c r="V1925" s="10"/>
      <c r="W1925" s="10"/>
      <c r="X1925" s="10"/>
      <c r="Y1925" s="10"/>
      <c r="Z1925" s="10"/>
      <c r="AA1925" s="10"/>
      <c r="AB1925" s="10"/>
      <c r="AC1925" s="10"/>
      <c r="AD1925" s="10"/>
      <c r="AE1925" s="10"/>
      <c r="AF1925" s="10"/>
      <c r="AG1925" s="10"/>
      <c r="AH1925" s="10"/>
      <c r="AI1925" s="10"/>
      <c r="AJ1925" s="10"/>
      <c r="AK1925" s="10"/>
      <c r="AL1925" s="10"/>
    </row>
    <row r="1926" spans="1:38">
      <c r="A1926" s="10"/>
      <c r="B1926" s="10"/>
      <c r="C1926" s="10"/>
      <c r="D1926" s="10"/>
      <c r="E1926" s="10"/>
      <c r="F1926" s="10"/>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0"/>
      <c r="AH1926" s="10"/>
      <c r="AI1926" s="10"/>
      <c r="AJ1926" s="10"/>
      <c r="AK1926" s="10"/>
      <c r="AL1926" s="10"/>
    </row>
    <row r="1927" spans="1:38">
      <c r="A1927" s="9"/>
      <c r="B1927" s="9"/>
      <c r="C1927" s="9"/>
      <c r="D1927" s="9"/>
      <c r="E1927" s="9"/>
      <c r="F1927" s="9"/>
      <c r="G1927" s="9"/>
      <c r="H1927" s="9"/>
      <c r="I1927" s="9"/>
      <c r="J1927" s="9"/>
      <c r="K1927" s="9"/>
      <c r="L1927" s="9"/>
      <c r="M1927" s="9"/>
      <c r="N1927" s="9"/>
      <c r="O1927" s="9"/>
      <c r="P1927" s="9"/>
      <c r="Q1927" s="9"/>
      <c r="R1927" s="9"/>
      <c r="S1927" s="9"/>
      <c r="T1927" s="9"/>
      <c r="U1927" s="9"/>
      <c r="V1927" s="9"/>
      <c r="W1927" s="9"/>
      <c r="X1927" s="9"/>
      <c r="Y1927" s="9"/>
      <c r="Z1927" s="9"/>
      <c r="AA1927" s="9"/>
      <c r="AB1927" s="9"/>
      <c r="AC1927" s="9"/>
      <c r="AD1927" s="9"/>
      <c r="AE1927" s="9"/>
      <c r="AF1927" s="9"/>
      <c r="AG1927" s="9"/>
      <c r="AH1927" s="9"/>
      <c r="AI1927" s="9"/>
      <c r="AJ1927" s="9"/>
      <c r="AK1927" s="9"/>
      <c r="AL1927" s="9"/>
    </row>
    <row r="1928" spans="1:38">
      <c r="A1928" s="11"/>
      <c r="B1928" s="11"/>
      <c r="C1928" s="11"/>
      <c r="D1928" s="11"/>
      <c r="E1928" s="11"/>
      <c r="F1928" s="11"/>
      <c r="G1928" s="11"/>
      <c r="H1928" s="11"/>
      <c r="I1928" s="11"/>
      <c r="J1928" s="11"/>
      <c r="K1928" s="11"/>
      <c r="L1928" s="11"/>
      <c r="M1928" s="11"/>
      <c r="N1928" s="11"/>
      <c r="O1928" s="11"/>
      <c r="P1928" s="11"/>
      <c r="Q1928" s="11"/>
      <c r="R1928" s="11"/>
      <c r="S1928" s="11"/>
      <c r="T1928" s="11"/>
      <c r="U1928" s="11"/>
      <c r="V1928" s="11"/>
      <c r="W1928" s="11"/>
      <c r="X1928" s="11"/>
      <c r="Y1928" s="11"/>
      <c r="Z1928" s="11"/>
      <c r="AA1928" s="11"/>
      <c r="AB1928" s="11"/>
      <c r="AC1928" s="11"/>
      <c r="AD1928" s="11"/>
      <c r="AE1928" s="11"/>
      <c r="AF1928" s="11"/>
      <c r="AG1928" s="11"/>
      <c r="AH1928" s="11"/>
      <c r="AI1928" s="11"/>
      <c r="AJ1928" s="11"/>
      <c r="AK1928" s="11"/>
      <c r="AL1928" s="11"/>
    </row>
    <row r="1938" spans="1:38">
      <c r="A1938" s="14"/>
      <c r="B1938" s="14"/>
      <c r="C1938" s="14"/>
      <c r="D1938" s="14"/>
      <c r="E1938" s="14"/>
      <c r="F1938" s="14"/>
      <c r="G1938" s="14"/>
      <c r="H1938" s="14"/>
      <c r="I1938" s="14"/>
      <c r="J1938" s="14"/>
      <c r="K1938" s="14"/>
      <c r="L1938" s="14"/>
      <c r="M1938" s="14"/>
      <c r="N1938" s="14"/>
      <c r="O1938" s="14"/>
      <c r="P1938" s="14"/>
      <c r="Q1938" s="14"/>
      <c r="R1938" s="14"/>
      <c r="S1938" s="14"/>
      <c r="T1938" s="14"/>
      <c r="U1938" s="14"/>
      <c r="V1938" s="14"/>
      <c r="W1938" s="14"/>
      <c r="X1938" s="14"/>
      <c r="Y1938" s="14"/>
      <c r="Z1938" s="14"/>
      <c r="AA1938" s="14"/>
      <c r="AB1938" s="14"/>
      <c r="AC1938" s="14"/>
      <c r="AD1938" s="14"/>
      <c r="AE1938" s="14"/>
      <c r="AF1938" s="14"/>
      <c r="AG1938" s="14"/>
      <c r="AH1938" s="14"/>
      <c r="AI1938" s="14"/>
      <c r="AJ1938" s="14"/>
      <c r="AK1938" s="14"/>
      <c r="AL1938" s="14"/>
    </row>
    <row r="1939" spans="1:38">
      <c r="A1939" s="9"/>
      <c r="B1939" s="9"/>
      <c r="C1939" s="9"/>
      <c r="D1939" s="9"/>
      <c r="E1939" s="9"/>
      <c r="F1939" s="9"/>
      <c r="G1939" s="9"/>
      <c r="H1939" s="9"/>
      <c r="I1939" s="9"/>
      <c r="J1939" s="9"/>
      <c r="K1939" s="9"/>
      <c r="L1939" s="9"/>
      <c r="M1939" s="9"/>
      <c r="N1939" s="9"/>
      <c r="O1939" s="9"/>
      <c r="P1939" s="9"/>
      <c r="Q1939" s="9"/>
      <c r="R1939" s="9"/>
      <c r="S1939" s="9"/>
      <c r="T1939" s="9"/>
      <c r="U1939" s="9"/>
      <c r="V1939" s="9"/>
      <c r="W1939" s="9"/>
      <c r="X1939" s="9"/>
      <c r="Y1939" s="9"/>
      <c r="Z1939" s="9"/>
      <c r="AA1939" s="9"/>
      <c r="AB1939" s="9"/>
      <c r="AC1939" s="9"/>
      <c r="AD1939" s="9"/>
      <c r="AE1939" s="9"/>
      <c r="AF1939" s="9"/>
      <c r="AG1939" s="9"/>
      <c r="AH1939" s="9"/>
      <c r="AI1939" s="9"/>
      <c r="AJ1939" s="9"/>
      <c r="AK1939" s="9"/>
      <c r="AL1939" s="9"/>
    </row>
    <row r="1940" spans="1:38">
      <c r="A1940" s="10"/>
      <c r="B1940" s="10"/>
      <c r="C1940" s="10"/>
      <c r="D1940" s="10"/>
      <c r="E1940" s="10"/>
      <c r="F1940" s="10"/>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0"/>
      <c r="AH1940" s="10"/>
      <c r="AI1940" s="10"/>
      <c r="AJ1940" s="10"/>
      <c r="AK1940" s="10"/>
      <c r="AL1940" s="10"/>
    </row>
    <row r="1941" spans="1:38">
      <c r="A1941" s="10"/>
      <c r="B1941" s="10"/>
      <c r="C1941" s="10"/>
      <c r="D1941" s="10"/>
      <c r="E1941" s="10"/>
      <c r="F1941" s="10"/>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0"/>
      <c r="AH1941" s="10"/>
      <c r="AI1941" s="10"/>
      <c r="AJ1941" s="10"/>
      <c r="AK1941" s="10"/>
      <c r="AL1941" s="10"/>
    </row>
    <row r="1942" spans="1:38">
      <c r="A1942" s="10"/>
      <c r="B1942" s="10"/>
      <c r="C1942" s="10"/>
      <c r="D1942" s="10"/>
      <c r="E1942" s="10"/>
      <c r="F1942" s="10"/>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0"/>
      <c r="AH1942" s="10"/>
      <c r="AI1942" s="10"/>
      <c r="AJ1942" s="10"/>
      <c r="AK1942" s="10"/>
      <c r="AL1942" s="10"/>
    </row>
    <row r="1943" spans="1:38">
      <c r="A1943" s="10"/>
      <c r="B1943" s="10"/>
      <c r="C1943" s="10"/>
      <c r="D1943" s="10"/>
      <c r="E1943" s="10"/>
      <c r="F1943" s="10"/>
      <c r="G1943" s="10"/>
      <c r="H1943" s="10"/>
      <c r="I1943" s="10"/>
      <c r="J1943" s="10"/>
      <c r="K1943" s="10"/>
      <c r="L1943" s="10"/>
      <c r="M1943" s="10"/>
      <c r="N1943" s="10"/>
      <c r="O1943" s="10"/>
      <c r="P1943" s="10"/>
      <c r="Q1943" s="10"/>
      <c r="R1943" s="10"/>
      <c r="S1943" s="10"/>
      <c r="T1943" s="10"/>
      <c r="U1943" s="10"/>
      <c r="V1943" s="10"/>
      <c r="W1943" s="10"/>
      <c r="X1943" s="10"/>
      <c r="Y1943" s="10"/>
      <c r="Z1943" s="10"/>
      <c r="AA1943" s="10"/>
      <c r="AB1943" s="10"/>
      <c r="AC1943" s="10"/>
      <c r="AD1943" s="10"/>
      <c r="AE1943" s="10"/>
      <c r="AF1943" s="10"/>
      <c r="AG1943" s="10"/>
      <c r="AH1943" s="10"/>
      <c r="AI1943" s="10"/>
      <c r="AJ1943" s="10"/>
      <c r="AK1943" s="10"/>
      <c r="AL1943" s="10"/>
    </row>
    <row r="1944" spans="1:38">
      <c r="A1944" s="10"/>
      <c r="B1944" s="10"/>
      <c r="C1944" s="10"/>
      <c r="D1944" s="10"/>
      <c r="E1944" s="10"/>
      <c r="F1944" s="10"/>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0"/>
      <c r="AH1944" s="10"/>
      <c r="AI1944" s="10"/>
      <c r="AJ1944" s="10"/>
      <c r="AK1944" s="10"/>
      <c r="AL1944" s="10"/>
    </row>
    <row r="1945" spans="1:38">
      <c r="A1945" s="10"/>
      <c r="B1945" s="10"/>
      <c r="C1945" s="10"/>
      <c r="D1945" s="10"/>
      <c r="E1945" s="10"/>
      <c r="F1945" s="10"/>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0"/>
      <c r="AH1945" s="10"/>
      <c r="AI1945" s="10"/>
      <c r="AJ1945" s="10"/>
      <c r="AK1945" s="10"/>
      <c r="AL1945" s="10"/>
    </row>
    <row r="1946" spans="1:38">
      <c r="A1946" s="10"/>
      <c r="B1946" s="10"/>
      <c r="C1946" s="10"/>
      <c r="D1946" s="10"/>
      <c r="E1946" s="10"/>
      <c r="F1946" s="10"/>
      <c r="G1946" s="10"/>
      <c r="H1946" s="10"/>
      <c r="I1946" s="10"/>
      <c r="J1946" s="10"/>
      <c r="K1946" s="10"/>
      <c r="L1946" s="10"/>
      <c r="M1946" s="10"/>
      <c r="N1946" s="10"/>
      <c r="O1946" s="10"/>
      <c r="P1946" s="10"/>
      <c r="Q1946" s="10"/>
      <c r="R1946" s="10"/>
      <c r="S1946" s="10"/>
      <c r="T1946" s="10"/>
      <c r="U1946" s="10"/>
      <c r="V1946" s="10"/>
      <c r="W1946" s="10"/>
      <c r="X1946" s="10"/>
      <c r="Y1946" s="10"/>
      <c r="Z1946" s="10"/>
      <c r="AA1946" s="10"/>
      <c r="AB1946" s="10"/>
      <c r="AC1946" s="10"/>
      <c r="AD1946" s="10"/>
      <c r="AE1946" s="10"/>
      <c r="AF1946" s="10"/>
      <c r="AG1946" s="10"/>
      <c r="AH1946" s="10"/>
      <c r="AI1946" s="10"/>
      <c r="AJ1946" s="10"/>
      <c r="AK1946" s="10"/>
      <c r="AL1946" s="10"/>
    </row>
    <row r="1947" spans="1:38">
      <c r="A1947" s="10"/>
      <c r="B1947" s="10"/>
      <c r="C1947" s="10"/>
      <c r="D1947" s="10"/>
      <c r="E1947" s="10"/>
      <c r="F1947" s="10"/>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0"/>
      <c r="AH1947" s="10"/>
      <c r="AI1947" s="10"/>
      <c r="AJ1947" s="10"/>
      <c r="AK1947" s="10"/>
      <c r="AL1947" s="10"/>
    </row>
    <row r="1948" spans="1:38">
      <c r="A1948" s="10"/>
      <c r="B1948" s="10"/>
      <c r="C1948" s="10"/>
      <c r="D1948" s="10"/>
      <c r="E1948" s="10"/>
      <c r="F1948" s="10"/>
      <c r="G1948" s="10"/>
      <c r="H1948" s="10"/>
      <c r="I1948" s="10"/>
      <c r="J1948" s="10"/>
      <c r="K1948" s="10"/>
      <c r="L1948" s="10"/>
      <c r="M1948" s="10"/>
      <c r="N1948" s="10"/>
      <c r="O1948" s="10"/>
      <c r="P1948" s="10"/>
      <c r="Q1948" s="10"/>
      <c r="R1948" s="10"/>
      <c r="S1948" s="10"/>
      <c r="T1948" s="10"/>
      <c r="U1948" s="10"/>
      <c r="V1948" s="10"/>
      <c r="W1948" s="10"/>
      <c r="X1948" s="10"/>
      <c r="Y1948" s="10"/>
      <c r="Z1948" s="10"/>
      <c r="AA1948" s="10"/>
      <c r="AB1948" s="10"/>
      <c r="AC1948" s="10"/>
      <c r="AD1948" s="10"/>
      <c r="AE1948" s="10"/>
      <c r="AF1948" s="10"/>
      <c r="AG1948" s="10"/>
      <c r="AH1948" s="10"/>
      <c r="AI1948" s="10"/>
      <c r="AJ1948" s="10"/>
      <c r="AK1948" s="10"/>
      <c r="AL1948" s="10"/>
    </row>
    <row r="1949" spans="1:38">
      <c r="A1949" s="10"/>
      <c r="B1949" s="10"/>
      <c r="C1949" s="10"/>
      <c r="D1949" s="10"/>
      <c r="E1949" s="10"/>
      <c r="F1949" s="10"/>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0"/>
      <c r="AH1949" s="10"/>
      <c r="AI1949" s="10"/>
      <c r="AJ1949" s="10"/>
      <c r="AK1949" s="10"/>
      <c r="AL1949" s="10"/>
    </row>
    <row r="1950" spans="1:38">
      <c r="A1950" s="9"/>
      <c r="B1950" s="9"/>
      <c r="C1950" s="9"/>
      <c r="D1950" s="9"/>
      <c r="E1950" s="9"/>
      <c r="F1950" s="9"/>
      <c r="G1950" s="9"/>
      <c r="H1950" s="9"/>
      <c r="I1950" s="9"/>
      <c r="J1950" s="9"/>
      <c r="K1950" s="9"/>
      <c r="L1950" s="9"/>
      <c r="M1950" s="9"/>
      <c r="N1950" s="9"/>
      <c r="O1950" s="9"/>
      <c r="P1950" s="9"/>
      <c r="Q1950" s="9"/>
      <c r="R1950" s="9"/>
      <c r="S1950" s="9"/>
      <c r="T1950" s="9"/>
      <c r="U1950" s="9"/>
      <c r="V1950" s="9"/>
      <c r="W1950" s="9"/>
      <c r="X1950" s="9"/>
      <c r="Y1950" s="9"/>
      <c r="Z1950" s="9"/>
      <c r="AA1950" s="9"/>
      <c r="AB1950" s="9"/>
      <c r="AC1950" s="9"/>
      <c r="AD1950" s="9"/>
      <c r="AE1950" s="9"/>
      <c r="AF1950" s="9"/>
      <c r="AG1950" s="9"/>
      <c r="AH1950" s="9"/>
      <c r="AI1950" s="9"/>
      <c r="AJ1950" s="9"/>
      <c r="AK1950" s="9"/>
      <c r="AL1950" s="9"/>
    </row>
    <row r="1951" spans="1:38">
      <c r="A1951" s="11"/>
      <c r="B1951" s="11"/>
      <c r="C1951" s="11"/>
      <c r="D1951" s="11"/>
      <c r="E1951" s="11"/>
      <c r="F1951" s="11"/>
      <c r="G1951" s="11"/>
      <c r="H1951" s="11"/>
      <c r="I1951" s="11"/>
      <c r="J1951" s="11"/>
      <c r="K1951" s="11"/>
      <c r="L1951" s="11"/>
      <c r="M1951" s="11"/>
      <c r="N1951" s="11"/>
      <c r="O1951" s="11"/>
      <c r="P1951" s="11"/>
      <c r="Q1951" s="11"/>
      <c r="R1951" s="11"/>
      <c r="S1951" s="11"/>
      <c r="T1951" s="11"/>
      <c r="U1951" s="11"/>
      <c r="V1951" s="11"/>
      <c r="W1951" s="11"/>
      <c r="X1951" s="11"/>
      <c r="Y1951" s="11"/>
      <c r="Z1951" s="11"/>
      <c r="AA1951" s="11"/>
      <c r="AB1951" s="11"/>
      <c r="AC1951" s="11"/>
      <c r="AD1951" s="11"/>
      <c r="AE1951" s="11"/>
      <c r="AF1951" s="11"/>
      <c r="AG1951" s="11"/>
      <c r="AH1951" s="11"/>
      <c r="AI1951" s="11"/>
      <c r="AJ1951" s="11"/>
      <c r="AK1951" s="11"/>
      <c r="AL1951" s="11"/>
    </row>
    <row r="1962" spans="1:38">
      <c r="A1962" s="14"/>
      <c r="B1962" s="14"/>
      <c r="C1962" s="14"/>
      <c r="D1962" s="14"/>
      <c r="E1962" s="14"/>
      <c r="F1962" s="14"/>
      <c r="G1962" s="14"/>
      <c r="H1962" s="14"/>
      <c r="I1962" s="14"/>
      <c r="J1962" s="14"/>
      <c r="K1962" s="14"/>
      <c r="L1962" s="14"/>
      <c r="M1962" s="14"/>
      <c r="N1962" s="14"/>
      <c r="O1962" s="14"/>
      <c r="P1962" s="14"/>
      <c r="Q1962" s="14"/>
      <c r="R1962" s="14"/>
      <c r="S1962" s="14"/>
      <c r="T1962" s="14"/>
      <c r="U1962" s="14"/>
      <c r="V1962" s="14"/>
      <c r="W1962" s="14"/>
      <c r="X1962" s="14"/>
      <c r="Y1962" s="14"/>
      <c r="Z1962" s="14"/>
      <c r="AA1962" s="14"/>
      <c r="AB1962" s="14"/>
      <c r="AC1962" s="14"/>
      <c r="AD1962" s="14"/>
      <c r="AE1962" s="14"/>
      <c r="AF1962" s="14"/>
      <c r="AG1962" s="14"/>
      <c r="AH1962" s="14"/>
      <c r="AI1962" s="14"/>
      <c r="AJ1962" s="14"/>
      <c r="AK1962" s="14"/>
      <c r="AL1962" s="14"/>
    </row>
    <row r="1963" spans="1:38">
      <c r="A1963" s="9"/>
      <c r="B1963" s="9"/>
      <c r="C1963" s="9"/>
      <c r="D1963" s="9"/>
      <c r="E1963" s="9"/>
      <c r="F1963" s="9"/>
      <c r="G1963" s="9"/>
      <c r="H1963" s="9"/>
      <c r="I1963" s="9"/>
      <c r="J1963" s="9"/>
      <c r="K1963" s="9"/>
      <c r="L1963" s="9"/>
      <c r="M1963" s="9"/>
      <c r="N1963" s="9"/>
      <c r="O1963" s="9"/>
      <c r="P1963" s="9"/>
      <c r="Q1963" s="9"/>
      <c r="R1963" s="9"/>
      <c r="S1963" s="9"/>
      <c r="T1963" s="9"/>
      <c r="U1963" s="9"/>
      <c r="V1963" s="9"/>
      <c r="W1963" s="9"/>
      <c r="X1963" s="9"/>
      <c r="Y1963" s="9"/>
      <c r="Z1963" s="9"/>
      <c r="AA1963" s="9"/>
      <c r="AB1963" s="9"/>
      <c r="AC1963" s="9"/>
      <c r="AD1963" s="9"/>
      <c r="AE1963" s="9"/>
      <c r="AF1963" s="9"/>
      <c r="AG1963" s="9"/>
      <c r="AH1963" s="9"/>
      <c r="AI1963" s="9"/>
      <c r="AJ1963" s="9"/>
      <c r="AK1963" s="9"/>
      <c r="AL1963" s="9"/>
    </row>
    <row r="1964" spans="1:38">
      <c r="A1964" s="10"/>
      <c r="B1964" s="10"/>
      <c r="C1964" s="10"/>
      <c r="D1964" s="10"/>
      <c r="E1964" s="10"/>
      <c r="F1964" s="10"/>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0"/>
      <c r="AH1964" s="10"/>
      <c r="AI1964" s="10"/>
      <c r="AJ1964" s="10"/>
      <c r="AK1964" s="10"/>
      <c r="AL1964" s="10"/>
    </row>
    <row r="1965" spans="1:38">
      <c r="A1965" s="10"/>
      <c r="B1965" s="10"/>
      <c r="C1965" s="10"/>
      <c r="D1965" s="10"/>
      <c r="E1965" s="10"/>
      <c r="F1965" s="10"/>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0"/>
      <c r="AH1965" s="10"/>
      <c r="AI1965" s="10"/>
      <c r="AJ1965" s="10"/>
      <c r="AK1965" s="10"/>
      <c r="AL1965" s="10"/>
    </row>
    <row r="1966" spans="1:38">
      <c r="A1966" s="10"/>
      <c r="B1966" s="10"/>
      <c r="C1966" s="10"/>
      <c r="D1966" s="10"/>
      <c r="E1966" s="10"/>
      <c r="F1966" s="10"/>
      <c r="G1966" s="10"/>
      <c r="H1966" s="10"/>
      <c r="I1966" s="10"/>
      <c r="J1966" s="10"/>
      <c r="K1966" s="10"/>
      <c r="L1966" s="10"/>
      <c r="M1966" s="10"/>
      <c r="N1966" s="10"/>
      <c r="O1966" s="10"/>
      <c r="P1966" s="10"/>
      <c r="Q1966" s="10"/>
      <c r="R1966" s="10"/>
      <c r="S1966" s="10"/>
      <c r="T1966" s="10"/>
      <c r="U1966" s="10"/>
      <c r="V1966" s="10"/>
      <c r="W1966" s="10"/>
      <c r="X1966" s="10"/>
      <c r="Y1966" s="10"/>
      <c r="Z1966" s="10"/>
      <c r="AA1966" s="10"/>
      <c r="AB1966" s="10"/>
      <c r="AC1966" s="10"/>
      <c r="AD1966" s="10"/>
      <c r="AE1966" s="10"/>
      <c r="AF1966" s="10"/>
      <c r="AG1966" s="10"/>
      <c r="AH1966" s="10"/>
      <c r="AI1966" s="10"/>
      <c r="AJ1966" s="10"/>
      <c r="AK1966" s="10"/>
      <c r="AL1966" s="10"/>
    </row>
    <row r="1967" spans="1:38">
      <c r="A1967" s="10"/>
      <c r="B1967" s="10"/>
      <c r="C1967" s="10"/>
      <c r="D1967" s="10"/>
      <c r="E1967" s="10"/>
      <c r="F1967" s="10"/>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0"/>
      <c r="AH1967" s="10"/>
      <c r="AI1967" s="10"/>
      <c r="AJ1967" s="10"/>
      <c r="AK1967" s="10"/>
      <c r="AL1967" s="10"/>
    </row>
    <row r="1968" spans="1:38">
      <c r="A1968" s="10"/>
      <c r="B1968" s="10"/>
      <c r="C1968" s="10"/>
      <c r="D1968" s="10"/>
      <c r="E1968" s="10"/>
      <c r="F1968" s="10"/>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0"/>
      <c r="AH1968" s="10"/>
      <c r="AI1968" s="10"/>
      <c r="AJ1968" s="10"/>
      <c r="AK1968" s="10"/>
      <c r="AL1968" s="10"/>
    </row>
    <row r="1969" spans="1:38">
      <c r="A1969" s="10"/>
      <c r="B1969" s="10"/>
      <c r="C1969" s="10"/>
      <c r="D1969" s="10"/>
      <c r="E1969" s="10"/>
      <c r="F1969" s="10"/>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0"/>
      <c r="AH1969" s="10"/>
      <c r="AI1969" s="10"/>
      <c r="AJ1969" s="10"/>
      <c r="AK1969" s="10"/>
      <c r="AL1969" s="10"/>
    </row>
    <row r="1970" spans="1:38">
      <c r="A1970" s="10"/>
      <c r="B1970" s="10"/>
      <c r="C1970" s="10"/>
      <c r="D1970" s="10"/>
      <c r="E1970" s="10"/>
      <c r="F1970" s="10"/>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0"/>
      <c r="AH1970" s="10"/>
      <c r="AI1970" s="10"/>
      <c r="AJ1970" s="10"/>
      <c r="AK1970" s="10"/>
      <c r="AL1970" s="10"/>
    </row>
    <row r="1971" spans="1:38">
      <c r="A1971" s="10"/>
      <c r="B1971" s="10"/>
      <c r="C1971" s="10"/>
      <c r="D1971" s="10"/>
      <c r="E1971" s="10"/>
      <c r="F1971" s="10"/>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0"/>
      <c r="AH1971" s="10"/>
      <c r="AI1971" s="10"/>
      <c r="AJ1971" s="10"/>
      <c r="AK1971" s="10"/>
      <c r="AL1971" s="10"/>
    </row>
    <row r="1972" spans="1:38">
      <c r="A1972" s="10"/>
      <c r="B1972" s="10"/>
      <c r="C1972" s="10"/>
      <c r="D1972" s="10"/>
      <c r="E1972" s="10"/>
      <c r="F1972" s="10"/>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0"/>
      <c r="AH1972" s="10"/>
      <c r="AI1972" s="10"/>
      <c r="AJ1972" s="10"/>
      <c r="AK1972" s="10"/>
      <c r="AL1972" s="10"/>
    </row>
    <row r="1973" spans="1:38">
      <c r="A1973" s="10"/>
      <c r="B1973" s="10"/>
      <c r="C1973" s="10"/>
      <c r="D1973" s="10"/>
      <c r="E1973" s="10"/>
      <c r="F1973" s="10"/>
      <c r="G1973" s="10"/>
      <c r="H1973" s="10"/>
      <c r="I1973" s="10"/>
      <c r="J1973" s="10"/>
      <c r="K1973" s="10"/>
      <c r="L1973" s="10"/>
      <c r="M1973" s="10"/>
      <c r="N1973" s="10"/>
      <c r="O1973" s="10"/>
      <c r="P1973" s="10"/>
      <c r="Q1973" s="10"/>
      <c r="R1973" s="10"/>
      <c r="S1973" s="10"/>
      <c r="T1973" s="10"/>
      <c r="U1973" s="10"/>
      <c r="V1973" s="10"/>
      <c r="W1973" s="10"/>
      <c r="X1973" s="10"/>
      <c r="Y1973" s="10"/>
      <c r="Z1973" s="10"/>
      <c r="AA1973" s="10"/>
      <c r="AB1973" s="10"/>
      <c r="AC1973" s="10"/>
      <c r="AD1973" s="10"/>
      <c r="AE1973" s="10"/>
      <c r="AF1973" s="10"/>
      <c r="AG1973" s="10"/>
      <c r="AH1973" s="10"/>
      <c r="AI1973" s="10"/>
      <c r="AJ1973" s="10"/>
      <c r="AK1973" s="10"/>
      <c r="AL1973" s="10"/>
    </row>
    <row r="1974" spans="1:38">
      <c r="A1974" s="9"/>
      <c r="B1974" s="9"/>
      <c r="C1974" s="9"/>
      <c r="D1974" s="9"/>
      <c r="E1974" s="9"/>
      <c r="F1974" s="9"/>
      <c r="G1974" s="9"/>
      <c r="H1974" s="9"/>
      <c r="I1974" s="9"/>
      <c r="J1974" s="9"/>
      <c r="K1974" s="9"/>
      <c r="L1974" s="9"/>
      <c r="M1974" s="9"/>
      <c r="N1974" s="9"/>
      <c r="O1974" s="9"/>
      <c r="P1974" s="9"/>
      <c r="Q1974" s="9"/>
      <c r="R1974" s="9"/>
      <c r="S1974" s="9"/>
      <c r="T1974" s="9"/>
      <c r="U1974" s="9"/>
      <c r="V1974" s="9"/>
      <c r="W1974" s="9"/>
      <c r="X1974" s="9"/>
      <c r="Y1974" s="9"/>
      <c r="Z1974" s="9"/>
      <c r="AA1974" s="9"/>
      <c r="AB1974" s="9"/>
      <c r="AC1974" s="9"/>
      <c r="AD1974" s="9"/>
      <c r="AE1974" s="9"/>
      <c r="AF1974" s="9"/>
      <c r="AG1974" s="9"/>
      <c r="AH1974" s="9"/>
      <c r="AI1974" s="9"/>
      <c r="AJ1974" s="9"/>
      <c r="AK1974" s="9"/>
      <c r="AL1974" s="9"/>
    </row>
    <row r="1975" spans="1:38">
      <c r="A1975" s="11"/>
      <c r="B1975" s="11"/>
      <c r="C1975" s="11"/>
      <c r="D1975" s="11"/>
      <c r="E1975" s="11"/>
      <c r="F1975" s="11"/>
      <c r="G1975" s="11"/>
      <c r="H1975" s="11"/>
      <c r="I1975" s="11"/>
      <c r="J1975" s="11"/>
      <c r="K1975" s="11"/>
      <c r="L1975" s="11"/>
      <c r="M1975" s="11"/>
      <c r="N1975" s="11"/>
      <c r="O1975" s="11"/>
      <c r="P1975" s="11"/>
      <c r="Q1975" s="11"/>
      <c r="R1975" s="11"/>
      <c r="S1975" s="11"/>
      <c r="T1975" s="11"/>
      <c r="U1975" s="11"/>
      <c r="V1975" s="11"/>
      <c r="W1975" s="11"/>
      <c r="X1975" s="11"/>
      <c r="Y1975" s="11"/>
      <c r="Z1975" s="11"/>
      <c r="AA1975" s="11"/>
      <c r="AB1975" s="11"/>
      <c r="AC1975" s="11"/>
      <c r="AD1975" s="11"/>
      <c r="AE1975" s="11"/>
      <c r="AF1975" s="11"/>
      <c r="AG1975" s="11"/>
      <c r="AH1975" s="11"/>
      <c r="AI1975" s="11"/>
      <c r="AJ1975" s="11"/>
      <c r="AK1975" s="11"/>
      <c r="AL1975" s="11"/>
    </row>
    <row r="1986" spans="1:38">
      <c r="A1986" s="14"/>
      <c r="B1986" s="14"/>
      <c r="C1986" s="14"/>
      <c r="D1986" s="14"/>
      <c r="E1986" s="14"/>
      <c r="F1986" s="14"/>
      <c r="G1986" s="14"/>
      <c r="H1986" s="14"/>
      <c r="I1986" s="14"/>
      <c r="J1986" s="14"/>
      <c r="K1986" s="14"/>
      <c r="L1986" s="14"/>
      <c r="M1986" s="14"/>
      <c r="N1986" s="14"/>
      <c r="O1986" s="14"/>
      <c r="P1986" s="14"/>
      <c r="Q1986" s="14"/>
      <c r="R1986" s="14"/>
      <c r="S1986" s="14"/>
      <c r="T1986" s="14"/>
      <c r="U1986" s="14"/>
      <c r="V1986" s="14"/>
      <c r="W1986" s="14"/>
      <c r="X1986" s="14"/>
      <c r="Y1986" s="14"/>
      <c r="Z1986" s="14"/>
      <c r="AA1986" s="14"/>
      <c r="AB1986" s="14"/>
      <c r="AC1986" s="14"/>
      <c r="AD1986" s="14"/>
      <c r="AE1986" s="14"/>
      <c r="AF1986" s="14"/>
      <c r="AG1986" s="14"/>
      <c r="AH1986" s="14"/>
      <c r="AI1986" s="14"/>
      <c r="AJ1986" s="14"/>
      <c r="AK1986" s="14"/>
      <c r="AL1986" s="14"/>
    </row>
    <row r="1987" spans="1:38">
      <c r="A1987" s="9"/>
      <c r="B1987" s="9"/>
      <c r="C1987" s="9"/>
      <c r="D1987" s="9"/>
      <c r="E1987" s="9"/>
      <c r="F1987" s="9"/>
      <c r="G1987" s="9"/>
      <c r="H1987" s="9"/>
      <c r="I1987" s="9"/>
      <c r="J1987" s="9"/>
      <c r="K1987" s="9"/>
      <c r="L1987" s="9"/>
      <c r="M1987" s="9"/>
      <c r="N1987" s="9"/>
      <c r="O1987" s="9"/>
      <c r="P1987" s="9"/>
      <c r="Q1987" s="9"/>
      <c r="R1987" s="9"/>
      <c r="S1987" s="9"/>
      <c r="T1987" s="9"/>
      <c r="U1987" s="9"/>
      <c r="V1987" s="9"/>
      <c r="W1987" s="9"/>
      <c r="X1987" s="9"/>
      <c r="Y1987" s="9"/>
      <c r="Z1987" s="9"/>
      <c r="AA1987" s="9"/>
      <c r="AB1987" s="9"/>
      <c r="AC1987" s="9"/>
      <c r="AD1987" s="9"/>
      <c r="AE1987" s="9"/>
      <c r="AF1987" s="9"/>
      <c r="AG1987" s="9"/>
      <c r="AH1987" s="9"/>
      <c r="AI1987" s="9"/>
      <c r="AJ1987" s="9"/>
      <c r="AK1987" s="9"/>
      <c r="AL1987" s="9"/>
    </row>
    <row r="1988" spans="1:38">
      <c r="A1988" s="10"/>
      <c r="B1988" s="10"/>
      <c r="C1988" s="10"/>
      <c r="D1988" s="10"/>
      <c r="E1988" s="10"/>
      <c r="F1988" s="10"/>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0"/>
      <c r="AH1988" s="10"/>
      <c r="AI1988" s="10"/>
      <c r="AJ1988" s="10"/>
      <c r="AK1988" s="10"/>
      <c r="AL1988" s="10"/>
    </row>
    <row r="1989" spans="1:38">
      <c r="A1989" s="10"/>
      <c r="B1989" s="10"/>
      <c r="C1989" s="10"/>
      <c r="D1989" s="10"/>
      <c r="E1989" s="10"/>
      <c r="F1989" s="10"/>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0"/>
      <c r="AH1989" s="10"/>
      <c r="AI1989" s="10"/>
      <c r="AJ1989" s="10"/>
      <c r="AK1989" s="10"/>
      <c r="AL1989" s="10"/>
    </row>
    <row r="1990" spans="1:38">
      <c r="A1990" s="10"/>
      <c r="B1990" s="10"/>
      <c r="C1990" s="10"/>
      <c r="D1990" s="10"/>
      <c r="E1990" s="10"/>
      <c r="F1990" s="10"/>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0"/>
      <c r="AH1990" s="10"/>
      <c r="AI1990" s="10"/>
      <c r="AJ1990" s="10"/>
      <c r="AK1990" s="10"/>
      <c r="AL1990" s="10"/>
    </row>
    <row r="1991" spans="1:38">
      <c r="A1991" s="10"/>
      <c r="B1991" s="10"/>
      <c r="C1991" s="10"/>
      <c r="D1991" s="10"/>
      <c r="E1991" s="10"/>
      <c r="F1991" s="10"/>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0"/>
      <c r="AH1991" s="10"/>
      <c r="AI1991" s="10"/>
      <c r="AJ1991" s="10"/>
      <c r="AK1991" s="10"/>
      <c r="AL1991" s="10"/>
    </row>
    <row r="1992" spans="1:38">
      <c r="A1992" s="10"/>
      <c r="B1992" s="10"/>
      <c r="C1992" s="10"/>
      <c r="D1992" s="10"/>
      <c r="E1992" s="10"/>
      <c r="F1992" s="10"/>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0"/>
      <c r="AH1992" s="10"/>
      <c r="AI1992" s="10"/>
      <c r="AJ1992" s="10"/>
      <c r="AK1992" s="10"/>
      <c r="AL1992" s="10"/>
    </row>
    <row r="1993" spans="1:38">
      <c r="A1993" s="10"/>
      <c r="B1993" s="10"/>
      <c r="C1993" s="10"/>
      <c r="D1993" s="10"/>
      <c r="E1993" s="10"/>
      <c r="F1993" s="10"/>
      <c r="G1993" s="10"/>
      <c r="H1993" s="10"/>
      <c r="I1993" s="10"/>
      <c r="J1993" s="10"/>
      <c r="K1993" s="10"/>
      <c r="L1993" s="10"/>
      <c r="M1993" s="10"/>
      <c r="N1993" s="10"/>
      <c r="O1993" s="10"/>
      <c r="P1993" s="10"/>
      <c r="Q1993" s="10"/>
      <c r="R1993" s="10"/>
      <c r="S1993" s="10"/>
      <c r="T1993" s="10"/>
      <c r="U1993" s="10"/>
      <c r="V1993" s="10"/>
      <c r="W1993" s="10"/>
      <c r="X1993" s="10"/>
      <c r="Y1993" s="10"/>
      <c r="Z1993" s="10"/>
      <c r="AA1993" s="10"/>
      <c r="AB1993" s="10"/>
      <c r="AC1993" s="10"/>
      <c r="AD1993" s="10"/>
      <c r="AE1993" s="10"/>
      <c r="AF1993" s="10"/>
      <c r="AG1993" s="10"/>
      <c r="AH1993" s="10"/>
      <c r="AI1993" s="10"/>
      <c r="AJ1993" s="10"/>
      <c r="AK1993" s="10"/>
      <c r="AL1993" s="10"/>
    </row>
    <row r="1994" spans="1:38">
      <c r="A1994" s="10"/>
      <c r="B1994" s="10"/>
      <c r="C1994" s="10"/>
      <c r="D1994" s="10"/>
      <c r="E1994" s="10"/>
      <c r="F1994" s="10"/>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0"/>
      <c r="AH1994" s="10"/>
      <c r="AI1994" s="10"/>
      <c r="AJ1994" s="10"/>
      <c r="AK1994" s="10"/>
      <c r="AL1994" s="10"/>
    </row>
    <row r="1995" spans="1:38">
      <c r="A1995" s="10"/>
      <c r="B1995" s="10"/>
      <c r="C1995" s="10"/>
      <c r="D1995" s="10"/>
      <c r="E1995" s="10"/>
      <c r="F1995" s="10"/>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0"/>
      <c r="AH1995" s="10"/>
      <c r="AI1995" s="10"/>
      <c r="AJ1995" s="10"/>
      <c r="AK1995" s="10"/>
      <c r="AL1995" s="10"/>
    </row>
    <row r="1996" spans="1:38">
      <c r="A1996" s="10"/>
      <c r="B1996" s="10"/>
      <c r="C1996" s="10"/>
      <c r="D1996" s="10"/>
      <c r="E1996" s="10"/>
      <c r="F1996" s="10"/>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0"/>
      <c r="AH1996" s="10"/>
      <c r="AI1996" s="10"/>
      <c r="AJ1996" s="10"/>
      <c r="AK1996" s="10"/>
      <c r="AL1996" s="10"/>
    </row>
    <row r="1997" spans="1:38">
      <c r="A1997" s="10"/>
      <c r="B1997" s="10"/>
      <c r="C1997" s="10"/>
      <c r="D1997" s="10"/>
      <c r="E1997" s="10"/>
      <c r="F1997" s="10"/>
      <c r="G1997" s="10"/>
      <c r="H1997" s="10"/>
      <c r="I1997" s="10"/>
      <c r="J1997" s="10"/>
      <c r="K1997" s="10"/>
      <c r="L1997" s="10"/>
      <c r="M1997" s="10"/>
      <c r="N1997" s="10"/>
      <c r="O1997" s="10"/>
      <c r="P1997" s="10"/>
      <c r="Q1997" s="10"/>
      <c r="R1997" s="10"/>
      <c r="S1997" s="10"/>
      <c r="T1997" s="10"/>
      <c r="U1997" s="10"/>
      <c r="V1997" s="10"/>
      <c r="W1997" s="10"/>
      <c r="X1997" s="10"/>
      <c r="Y1997" s="10"/>
      <c r="Z1997" s="10"/>
      <c r="AA1997" s="10"/>
      <c r="AB1997" s="10"/>
      <c r="AC1997" s="10"/>
      <c r="AD1997" s="10"/>
      <c r="AE1997" s="10"/>
      <c r="AF1997" s="10"/>
      <c r="AG1997" s="10"/>
      <c r="AH1997" s="10"/>
      <c r="AI1997" s="10"/>
      <c r="AJ1997" s="10"/>
      <c r="AK1997" s="10"/>
      <c r="AL1997" s="10"/>
    </row>
    <row r="1998" spans="1:38">
      <c r="A1998" s="9"/>
      <c r="B1998" s="9"/>
      <c r="C1998" s="9"/>
      <c r="D1998" s="9"/>
      <c r="E1998" s="9"/>
      <c r="F1998" s="9"/>
      <c r="G1998" s="9"/>
      <c r="H1998" s="9"/>
      <c r="I1998" s="9"/>
      <c r="J1998" s="9"/>
      <c r="K1998" s="9"/>
      <c r="L1998" s="9"/>
      <c r="M1998" s="9"/>
      <c r="N1998" s="9"/>
      <c r="O1998" s="9"/>
      <c r="P1998" s="9"/>
      <c r="Q1998" s="9"/>
      <c r="R1998" s="9"/>
      <c r="S1998" s="9"/>
      <c r="T1998" s="9"/>
      <c r="U1998" s="9"/>
      <c r="V1998" s="9"/>
      <c r="W1998" s="9"/>
      <c r="X1998" s="9"/>
      <c r="Y1998" s="9"/>
      <c r="Z1998" s="9"/>
      <c r="AA1998" s="9"/>
      <c r="AB1998" s="9"/>
      <c r="AC1998" s="9"/>
      <c r="AD1998" s="9"/>
      <c r="AE1998" s="9"/>
      <c r="AF1998" s="9"/>
      <c r="AG1998" s="9"/>
      <c r="AH1998" s="9"/>
      <c r="AI1998" s="9"/>
      <c r="AJ1998" s="9"/>
      <c r="AK1998" s="9"/>
      <c r="AL1998" s="9"/>
    </row>
    <row r="1999" spans="1:38">
      <c r="A1999" s="11"/>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row>
    <row r="2010" spans="1:38">
      <c r="A2010" s="14"/>
      <c r="B2010" s="14"/>
      <c r="C2010" s="14"/>
      <c r="D2010" s="14"/>
      <c r="E2010" s="14"/>
      <c r="F2010" s="14"/>
      <c r="G2010" s="14"/>
      <c r="H2010" s="14"/>
      <c r="I2010" s="14"/>
      <c r="J2010" s="14"/>
      <c r="K2010" s="14"/>
      <c r="L2010" s="14"/>
      <c r="M2010" s="14"/>
      <c r="N2010" s="14"/>
      <c r="O2010" s="14"/>
      <c r="P2010" s="14"/>
      <c r="Q2010" s="14"/>
      <c r="R2010" s="14"/>
      <c r="S2010" s="14"/>
      <c r="T2010" s="14"/>
      <c r="U2010" s="14"/>
      <c r="V2010" s="14"/>
      <c r="W2010" s="14"/>
      <c r="X2010" s="14"/>
      <c r="Y2010" s="14"/>
      <c r="Z2010" s="14"/>
      <c r="AA2010" s="14"/>
      <c r="AB2010" s="14"/>
      <c r="AC2010" s="14"/>
      <c r="AD2010" s="14"/>
      <c r="AE2010" s="14"/>
      <c r="AF2010" s="14"/>
      <c r="AG2010" s="14"/>
      <c r="AH2010" s="14"/>
      <c r="AI2010" s="14"/>
      <c r="AJ2010" s="14"/>
      <c r="AK2010" s="14"/>
      <c r="AL2010" s="14"/>
    </row>
    <row r="2011" spans="1:38">
      <c r="A2011" s="9"/>
      <c r="B2011" s="9"/>
      <c r="C2011" s="9"/>
      <c r="D2011" s="9"/>
      <c r="E2011" s="9"/>
      <c r="F2011" s="9"/>
      <c r="G2011" s="9"/>
      <c r="H2011" s="9"/>
      <c r="I2011" s="9"/>
      <c r="J2011" s="9"/>
      <c r="K2011" s="9"/>
      <c r="L2011" s="9"/>
      <c r="M2011" s="9"/>
      <c r="N2011" s="9"/>
      <c r="O2011" s="9"/>
      <c r="P2011" s="9"/>
      <c r="Q2011" s="9"/>
      <c r="R2011" s="9"/>
      <c r="S2011" s="9"/>
      <c r="T2011" s="9"/>
      <c r="U2011" s="9"/>
      <c r="V2011" s="9"/>
      <c r="W2011" s="9"/>
      <c r="X2011" s="9"/>
      <c r="Y2011" s="9"/>
      <c r="Z2011" s="9"/>
      <c r="AA2011" s="9"/>
      <c r="AB2011" s="9"/>
      <c r="AC2011" s="9"/>
      <c r="AD2011" s="9"/>
      <c r="AE2011" s="9"/>
      <c r="AF2011" s="9"/>
      <c r="AG2011" s="9"/>
      <c r="AH2011" s="9"/>
      <c r="AI2011" s="9"/>
      <c r="AJ2011" s="9"/>
      <c r="AK2011" s="9"/>
      <c r="AL2011" s="9"/>
    </row>
    <row r="2012" spans="1:38">
      <c r="A2012" s="10"/>
      <c r="B2012" s="10"/>
      <c r="C2012" s="10"/>
      <c r="D2012" s="10"/>
      <c r="E2012" s="10"/>
      <c r="F2012" s="10"/>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0"/>
      <c r="AH2012" s="10"/>
      <c r="AI2012" s="10"/>
      <c r="AJ2012" s="10"/>
      <c r="AK2012" s="10"/>
      <c r="AL2012" s="10"/>
    </row>
    <row r="2013" spans="1:38">
      <c r="A2013" s="10"/>
      <c r="B2013" s="10"/>
      <c r="C2013" s="10"/>
      <c r="D2013" s="10"/>
      <c r="E2013" s="10"/>
      <c r="F2013" s="10"/>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0"/>
      <c r="AH2013" s="10"/>
      <c r="AI2013" s="10"/>
      <c r="AJ2013" s="10"/>
      <c r="AK2013" s="10"/>
      <c r="AL2013" s="10"/>
    </row>
    <row r="2014" spans="1:38">
      <c r="A2014" s="10"/>
      <c r="B2014" s="10"/>
      <c r="C2014" s="10"/>
      <c r="D2014" s="10"/>
      <c r="E2014" s="10"/>
      <c r="F2014" s="10"/>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0"/>
      <c r="AH2014" s="10"/>
      <c r="AI2014" s="10"/>
      <c r="AJ2014" s="10"/>
      <c r="AK2014" s="10"/>
      <c r="AL2014" s="10"/>
    </row>
    <row r="2015" spans="1:38">
      <c r="A2015" s="10"/>
      <c r="B2015" s="10"/>
      <c r="C2015" s="10"/>
      <c r="D2015" s="10"/>
      <c r="E2015" s="10"/>
      <c r="F2015" s="10"/>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0"/>
      <c r="AH2015" s="10"/>
      <c r="AI2015" s="10"/>
      <c r="AJ2015" s="10"/>
      <c r="AK2015" s="10"/>
      <c r="AL2015" s="10"/>
    </row>
    <row r="2016" spans="1:38">
      <c r="A2016" s="10"/>
      <c r="B2016" s="10"/>
      <c r="C2016" s="10"/>
      <c r="D2016" s="10"/>
      <c r="E2016" s="10"/>
      <c r="F2016" s="10"/>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0"/>
      <c r="AH2016" s="10"/>
      <c r="AI2016" s="10"/>
      <c r="AJ2016" s="10"/>
      <c r="AK2016" s="10"/>
      <c r="AL2016" s="10"/>
    </row>
    <row r="2017" spans="1:38">
      <c r="A2017" s="10"/>
      <c r="B2017" s="10"/>
      <c r="C2017" s="10"/>
      <c r="D2017" s="10"/>
      <c r="E2017" s="10"/>
      <c r="F2017" s="10"/>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0"/>
      <c r="AH2017" s="10"/>
      <c r="AI2017" s="10"/>
      <c r="AJ2017" s="10"/>
      <c r="AK2017" s="10"/>
      <c r="AL2017" s="10"/>
    </row>
    <row r="2018" spans="1:38">
      <c r="A2018" s="10"/>
      <c r="B2018" s="10"/>
      <c r="C2018" s="10"/>
      <c r="D2018" s="10"/>
      <c r="E2018" s="10"/>
      <c r="F2018" s="10"/>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0"/>
      <c r="AH2018" s="10"/>
      <c r="AI2018" s="10"/>
      <c r="AJ2018" s="10"/>
      <c r="AK2018" s="10"/>
      <c r="AL2018" s="10"/>
    </row>
    <row r="2019" spans="1:38">
      <c r="A2019" s="10"/>
      <c r="B2019" s="10"/>
      <c r="C2019" s="10"/>
      <c r="D2019" s="10"/>
      <c r="E2019" s="10"/>
      <c r="F2019" s="10"/>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0"/>
      <c r="AH2019" s="10"/>
      <c r="AI2019" s="10"/>
      <c r="AJ2019" s="10"/>
      <c r="AK2019" s="10"/>
      <c r="AL2019" s="10"/>
    </row>
    <row r="2020" spans="1:38">
      <c r="A2020" s="10"/>
      <c r="B2020" s="10"/>
      <c r="C2020" s="10"/>
      <c r="D2020" s="10"/>
      <c r="E2020" s="10"/>
      <c r="F2020" s="10"/>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0"/>
      <c r="AH2020" s="10"/>
      <c r="AI2020" s="10"/>
      <c r="AJ2020" s="10"/>
      <c r="AK2020" s="10"/>
      <c r="AL2020" s="10"/>
    </row>
    <row r="2021" spans="1:38">
      <c r="A2021" s="10"/>
      <c r="B2021" s="10"/>
      <c r="C2021" s="10"/>
      <c r="D2021" s="10"/>
      <c r="E2021" s="10"/>
      <c r="F2021" s="10"/>
      <c r="G2021" s="10"/>
      <c r="H2021" s="10"/>
      <c r="I2021" s="10"/>
      <c r="J2021" s="10"/>
      <c r="K2021" s="10"/>
      <c r="L2021" s="10"/>
      <c r="M2021" s="10"/>
      <c r="N2021" s="10"/>
      <c r="O2021" s="10"/>
      <c r="P2021" s="10"/>
      <c r="Q2021" s="10"/>
      <c r="R2021" s="10"/>
      <c r="S2021" s="10"/>
      <c r="T2021" s="10"/>
      <c r="U2021" s="10"/>
      <c r="V2021" s="10"/>
      <c r="W2021" s="10"/>
      <c r="X2021" s="10"/>
      <c r="Y2021" s="10"/>
      <c r="Z2021" s="10"/>
      <c r="AA2021" s="10"/>
      <c r="AB2021" s="10"/>
      <c r="AC2021" s="10"/>
      <c r="AD2021" s="10"/>
      <c r="AE2021" s="10"/>
      <c r="AF2021" s="10"/>
      <c r="AG2021" s="10"/>
      <c r="AH2021" s="10"/>
      <c r="AI2021" s="10"/>
      <c r="AJ2021" s="10"/>
      <c r="AK2021" s="10"/>
      <c r="AL2021" s="10"/>
    </row>
    <row r="2022" spans="1:38">
      <c r="A2022" s="11"/>
      <c r="B2022" s="11"/>
      <c r="C2022" s="11"/>
      <c r="D2022" s="11"/>
      <c r="E2022" s="11"/>
      <c r="F2022" s="11"/>
      <c r="G2022" s="11"/>
      <c r="H2022" s="11"/>
      <c r="I2022" s="11"/>
      <c r="J2022" s="11"/>
      <c r="K2022" s="11"/>
      <c r="L2022" s="11"/>
      <c r="M2022" s="11"/>
      <c r="N2022" s="11"/>
      <c r="O2022" s="11"/>
      <c r="P2022" s="11"/>
      <c r="Q2022" s="11"/>
      <c r="R2022" s="11"/>
      <c r="S2022" s="11"/>
      <c r="T2022" s="11"/>
      <c r="U2022" s="11"/>
      <c r="V2022" s="11"/>
      <c r="W2022" s="11"/>
      <c r="X2022" s="11"/>
      <c r="Y2022" s="11"/>
      <c r="Z2022" s="11"/>
      <c r="AA2022" s="11"/>
      <c r="AB2022" s="11"/>
      <c r="AC2022" s="11"/>
      <c r="AD2022" s="11"/>
      <c r="AE2022" s="11"/>
      <c r="AF2022" s="11"/>
      <c r="AG2022" s="11"/>
      <c r="AH2022" s="11"/>
      <c r="AI2022" s="11"/>
      <c r="AJ2022" s="11"/>
      <c r="AK2022" s="11"/>
      <c r="AL2022" s="11"/>
    </row>
    <row r="2023" spans="1:38">
      <c r="A2023" s="11"/>
      <c r="B2023" s="11"/>
      <c r="C2023" s="11"/>
      <c r="D2023" s="11"/>
      <c r="E2023" s="11"/>
      <c r="F2023" s="11"/>
      <c r="G2023" s="11"/>
      <c r="H2023" s="11"/>
      <c r="I2023" s="11"/>
      <c r="J2023" s="11"/>
      <c r="K2023" s="11"/>
      <c r="L2023" s="11"/>
      <c r="M2023" s="11"/>
      <c r="N2023" s="11"/>
      <c r="O2023" s="11"/>
      <c r="P2023" s="11"/>
      <c r="Q2023" s="11"/>
      <c r="R2023" s="11"/>
      <c r="S2023" s="11"/>
      <c r="T2023" s="11"/>
      <c r="U2023" s="11"/>
      <c r="V2023" s="11"/>
      <c r="W2023" s="11"/>
      <c r="X2023" s="11"/>
      <c r="Y2023" s="11"/>
      <c r="Z2023" s="11"/>
      <c r="AA2023" s="11"/>
      <c r="AB2023" s="11"/>
      <c r="AC2023" s="11"/>
      <c r="AD2023" s="11"/>
      <c r="AE2023" s="11"/>
      <c r="AF2023" s="11"/>
      <c r="AG2023" s="11"/>
      <c r="AH2023" s="11"/>
      <c r="AI2023" s="11"/>
      <c r="AJ2023" s="11"/>
      <c r="AK2023" s="11"/>
      <c r="AL2023" s="11"/>
    </row>
    <row r="2036" spans="1:38">
      <c r="A2036" s="14"/>
      <c r="B2036" s="14"/>
      <c r="C2036" s="14"/>
      <c r="D2036" s="14"/>
      <c r="E2036" s="14"/>
      <c r="F2036" s="14"/>
      <c r="G2036" s="14"/>
      <c r="H2036" s="14"/>
      <c r="I2036" s="14"/>
      <c r="J2036" s="14"/>
      <c r="K2036" s="14"/>
      <c r="L2036" s="14"/>
      <c r="M2036" s="14"/>
      <c r="N2036" s="14"/>
      <c r="O2036" s="14"/>
      <c r="P2036" s="14"/>
      <c r="Q2036" s="14"/>
      <c r="R2036" s="14"/>
      <c r="S2036" s="14"/>
      <c r="T2036" s="14"/>
      <c r="U2036" s="14"/>
      <c r="V2036" s="14"/>
      <c r="W2036" s="14"/>
      <c r="X2036" s="14"/>
      <c r="Y2036" s="14"/>
      <c r="Z2036" s="14"/>
      <c r="AA2036" s="14"/>
      <c r="AB2036" s="14"/>
      <c r="AC2036" s="14"/>
      <c r="AD2036" s="14"/>
      <c r="AE2036" s="14"/>
      <c r="AF2036" s="14"/>
      <c r="AG2036" s="14"/>
      <c r="AH2036" s="14"/>
      <c r="AI2036" s="14"/>
      <c r="AJ2036" s="14"/>
      <c r="AK2036" s="14"/>
      <c r="AL2036" s="14"/>
    </row>
    <row r="2037" spans="1:38">
      <c r="A2037" s="9"/>
      <c r="B2037" s="9"/>
      <c r="C2037" s="9"/>
      <c r="D2037" s="9"/>
      <c r="E2037" s="9"/>
      <c r="F2037" s="9"/>
      <c r="G2037" s="9"/>
      <c r="H2037" s="9"/>
      <c r="I2037" s="9"/>
      <c r="J2037" s="9"/>
      <c r="K2037" s="9"/>
      <c r="L2037" s="9"/>
      <c r="M2037" s="9"/>
      <c r="N2037" s="9"/>
      <c r="O2037" s="9"/>
      <c r="P2037" s="9"/>
      <c r="Q2037" s="9"/>
      <c r="R2037" s="9"/>
      <c r="S2037" s="9"/>
      <c r="T2037" s="9"/>
      <c r="U2037" s="9"/>
      <c r="V2037" s="9"/>
      <c r="W2037" s="9"/>
      <c r="X2037" s="9"/>
      <c r="Y2037" s="9"/>
      <c r="Z2037" s="9"/>
      <c r="AA2037" s="9"/>
      <c r="AB2037" s="9"/>
      <c r="AC2037" s="9"/>
      <c r="AD2037" s="9"/>
      <c r="AE2037" s="9"/>
      <c r="AF2037" s="9"/>
      <c r="AG2037" s="9"/>
      <c r="AH2037" s="9"/>
      <c r="AI2037" s="9"/>
      <c r="AJ2037" s="9"/>
      <c r="AK2037" s="9"/>
      <c r="AL2037" s="9"/>
    </row>
    <row r="2038" spans="1:38">
      <c r="A2038" s="10"/>
      <c r="B2038" s="10"/>
      <c r="C2038" s="10"/>
      <c r="D2038" s="10"/>
      <c r="E2038" s="10"/>
      <c r="F2038" s="10"/>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0"/>
      <c r="AH2038" s="10"/>
      <c r="AI2038" s="10"/>
      <c r="AJ2038" s="10"/>
      <c r="AK2038" s="10"/>
      <c r="AL2038" s="10"/>
    </row>
    <row r="2039" spans="1:38">
      <c r="A2039" s="10"/>
      <c r="B2039" s="10"/>
      <c r="C2039" s="10"/>
      <c r="D2039" s="10"/>
      <c r="E2039" s="10"/>
      <c r="F2039" s="10"/>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0"/>
      <c r="AH2039" s="10"/>
      <c r="AI2039" s="10"/>
      <c r="AJ2039" s="10"/>
      <c r="AK2039" s="10"/>
      <c r="AL2039" s="10"/>
    </row>
    <row r="2040" spans="1:38">
      <c r="A2040" s="10"/>
      <c r="B2040" s="10"/>
      <c r="C2040" s="10"/>
      <c r="D2040" s="10"/>
      <c r="E2040" s="10"/>
      <c r="F2040" s="10"/>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0"/>
      <c r="AH2040" s="10"/>
      <c r="AI2040" s="10"/>
      <c r="AJ2040" s="10"/>
      <c r="AK2040" s="10"/>
      <c r="AL2040" s="10"/>
    </row>
    <row r="2041" spans="1:38">
      <c r="A2041" s="10"/>
      <c r="B2041" s="10"/>
      <c r="C2041" s="10"/>
      <c r="D2041" s="10"/>
      <c r="E2041" s="10"/>
      <c r="F2041" s="10"/>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0"/>
      <c r="AH2041" s="10"/>
      <c r="AI2041" s="10"/>
      <c r="AJ2041" s="10"/>
      <c r="AK2041" s="10"/>
      <c r="AL2041" s="10"/>
    </row>
    <row r="2042" spans="1:38">
      <c r="A2042" s="10"/>
      <c r="B2042" s="10"/>
      <c r="C2042" s="10"/>
      <c r="D2042" s="10"/>
      <c r="E2042" s="10"/>
      <c r="F2042" s="10"/>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0"/>
      <c r="AH2042" s="10"/>
      <c r="AI2042" s="10"/>
      <c r="AJ2042" s="10"/>
      <c r="AK2042" s="10"/>
      <c r="AL2042" s="10"/>
    </row>
    <row r="2043" spans="1:38">
      <c r="A2043" s="10"/>
      <c r="B2043" s="10"/>
      <c r="C2043" s="10"/>
      <c r="D2043" s="10"/>
      <c r="E2043" s="10"/>
      <c r="F2043" s="10"/>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0"/>
      <c r="AH2043" s="10"/>
      <c r="AI2043" s="10"/>
      <c r="AJ2043" s="10"/>
      <c r="AK2043" s="10"/>
      <c r="AL2043" s="10"/>
    </row>
    <row r="2044" spans="1:38">
      <c r="A2044" s="10"/>
      <c r="B2044" s="10"/>
      <c r="C2044" s="10"/>
      <c r="D2044" s="10"/>
      <c r="E2044" s="10"/>
      <c r="F2044" s="10"/>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0"/>
      <c r="AH2044" s="10"/>
      <c r="AI2044" s="10"/>
      <c r="AJ2044" s="10"/>
      <c r="AK2044" s="10"/>
      <c r="AL2044" s="10"/>
    </row>
    <row r="2045" spans="1:38">
      <c r="A2045" s="10"/>
      <c r="B2045" s="10"/>
      <c r="C2045" s="10"/>
      <c r="D2045" s="10"/>
      <c r="E2045" s="10"/>
      <c r="F2045" s="10"/>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0"/>
      <c r="AH2045" s="10"/>
      <c r="AI2045" s="10"/>
      <c r="AJ2045" s="10"/>
      <c r="AK2045" s="10"/>
      <c r="AL2045" s="10"/>
    </row>
    <row r="2046" spans="1:38">
      <c r="A2046" s="10"/>
      <c r="B2046" s="10"/>
      <c r="C2046" s="10"/>
      <c r="D2046" s="10"/>
      <c r="E2046" s="10"/>
      <c r="F2046" s="10"/>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0"/>
      <c r="AH2046" s="10"/>
      <c r="AI2046" s="10"/>
      <c r="AJ2046" s="10"/>
      <c r="AK2046" s="10"/>
      <c r="AL2046" s="10"/>
    </row>
    <row r="2047" spans="1:38">
      <c r="A2047" s="10"/>
      <c r="B2047" s="10"/>
      <c r="C2047" s="10"/>
      <c r="D2047" s="10"/>
      <c r="E2047" s="10"/>
      <c r="F2047" s="10"/>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0"/>
      <c r="AH2047" s="10"/>
      <c r="AI2047" s="10"/>
      <c r="AJ2047" s="10"/>
      <c r="AK2047" s="10"/>
      <c r="AL2047" s="10"/>
    </row>
    <row r="2048" spans="1:38">
      <c r="A2048" s="9"/>
      <c r="B2048" s="9"/>
      <c r="C2048" s="9"/>
      <c r="D2048" s="9"/>
      <c r="E2048" s="9"/>
      <c r="F2048" s="9"/>
      <c r="G2048" s="9"/>
      <c r="H2048" s="9"/>
      <c r="I2048" s="9"/>
      <c r="J2048" s="9"/>
      <c r="K2048" s="9"/>
      <c r="L2048" s="9"/>
      <c r="M2048" s="9"/>
      <c r="N2048" s="9"/>
      <c r="O2048" s="9"/>
      <c r="P2048" s="9"/>
      <c r="Q2048" s="9"/>
      <c r="R2048" s="9"/>
      <c r="S2048" s="9"/>
      <c r="T2048" s="9"/>
      <c r="U2048" s="9"/>
      <c r="V2048" s="9"/>
      <c r="W2048" s="9"/>
      <c r="X2048" s="9"/>
      <c r="Y2048" s="9"/>
      <c r="Z2048" s="9"/>
      <c r="AA2048" s="9"/>
      <c r="AB2048" s="9"/>
      <c r="AC2048" s="9"/>
      <c r="AD2048" s="9"/>
      <c r="AE2048" s="9"/>
      <c r="AF2048" s="9"/>
      <c r="AG2048" s="9"/>
      <c r="AH2048" s="9"/>
      <c r="AI2048" s="9"/>
      <c r="AJ2048" s="9"/>
      <c r="AK2048" s="9"/>
      <c r="AL2048" s="9"/>
    </row>
    <row r="2049" spans="1:38">
      <c r="A2049" s="11"/>
      <c r="B2049" s="11"/>
      <c r="C2049" s="11"/>
      <c r="D2049" s="11"/>
      <c r="E2049" s="11"/>
      <c r="F2049" s="11"/>
      <c r="G2049" s="11"/>
      <c r="H2049" s="11"/>
      <c r="I2049" s="11"/>
      <c r="J2049" s="11"/>
      <c r="K2049" s="11"/>
      <c r="L2049" s="11"/>
      <c r="M2049" s="11"/>
      <c r="N2049" s="11"/>
      <c r="O2049" s="11"/>
      <c r="P2049" s="11"/>
      <c r="Q2049" s="11"/>
      <c r="R2049" s="11"/>
      <c r="S2049" s="11"/>
      <c r="T2049" s="11"/>
      <c r="U2049" s="11"/>
      <c r="V2049" s="11"/>
      <c r="W2049" s="11"/>
      <c r="X2049" s="11"/>
      <c r="Y2049" s="11"/>
      <c r="Z2049" s="11"/>
      <c r="AA2049" s="11"/>
      <c r="AB2049" s="11"/>
      <c r="AC2049" s="11"/>
      <c r="AD2049" s="11"/>
      <c r="AE2049" s="11"/>
      <c r="AF2049" s="11"/>
      <c r="AG2049" s="11"/>
      <c r="AH2049" s="11"/>
      <c r="AI2049" s="11"/>
      <c r="AJ2049" s="11"/>
      <c r="AK2049" s="11"/>
      <c r="AL2049" s="11"/>
    </row>
    <row r="2060" spans="1:38">
      <c r="A2060" s="14"/>
      <c r="B2060" s="14"/>
      <c r="C2060" s="14"/>
      <c r="D2060" s="14"/>
      <c r="E2060" s="14"/>
      <c r="F2060" s="14"/>
      <c r="G2060" s="14"/>
      <c r="H2060" s="14"/>
      <c r="I2060" s="14"/>
      <c r="J2060" s="14"/>
      <c r="K2060" s="14"/>
      <c r="L2060" s="14"/>
      <c r="M2060" s="14"/>
      <c r="N2060" s="14"/>
      <c r="O2060" s="14"/>
      <c r="P2060" s="14"/>
      <c r="Q2060" s="14"/>
      <c r="R2060" s="14"/>
      <c r="S2060" s="14"/>
      <c r="T2060" s="14"/>
      <c r="U2060" s="14"/>
      <c r="V2060" s="14"/>
      <c r="W2060" s="14"/>
      <c r="X2060" s="14"/>
      <c r="Y2060" s="14"/>
      <c r="Z2060" s="14"/>
      <c r="AA2060" s="14"/>
      <c r="AB2060" s="14"/>
      <c r="AC2060" s="14"/>
      <c r="AD2060" s="14"/>
      <c r="AE2060" s="14"/>
      <c r="AF2060" s="14"/>
      <c r="AG2060" s="14"/>
      <c r="AH2060" s="14"/>
      <c r="AI2060" s="14"/>
      <c r="AJ2060" s="14"/>
      <c r="AK2060" s="14"/>
      <c r="AL2060" s="14"/>
    </row>
    <row r="2061" spans="1:38">
      <c r="A2061" s="9"/>
      <c r="B2061" s="9"/>
      <c r="C2061" s="9"/>
      <c r="D2061" s="9"/>
      <c r="E2061" s="9"/>
      <c r="F2061" s="9"/>
      <c r="G2061" s="9"/>
      <c r="H2061" s="9"/>
      <c r="I2061" s="9"/>
      <c r="J2061" s="9"/>
      <c r="K2061" s="9"/>
      <c r="L2061" s="9"/>
      <c r="M2061" s="9"/>
      <c r="N2061" s="9"/>
      <c r="O2061" s="9"/>
      <c r="P2061" s="9"/>
      <c r="Q2061" s="9"/>
      <c r="R2061" s="9"/>
      <c r="S2061" s="9"/>
      <c r="T2061" s="9"/>
      <c r="U2061" s="9"/>
      <c r="V2061" s="9"/>
      <c r="W2061" s="9"/>
      <c r="X2061" s="9"/>
      <c r="Y2061" s="9"/>
      <c r="Z2061" s="9"/>
      <c r="AA2061" s="9"/>
      <c r="AB2061" s="9"/>
      <c r="AC2061" s="9"/>
      <c r="AD2061" s="9"/>
      <c r="AE2061" s="9"/>
      <c r="AF2061" s="9"/>
      <c r="AG2061" s="9"/>
      <c r="AH2061" s="9"/>
      <c r="AI2061" s="9"/>
      <c r="AJ2061" s="9"/>
      <c r="AK2061" s="9"/>
      <c r="AL2061" s="9"/>
    </row>
    <row r="2062" spans="1:38">
      <c r="A2062" s="10"/>
      <c r="B2062" s="10"/>
      <c r="C2062" s="10"/>
      <c r="D2062" s="10"/>
      <c r="E2062" s="10"/>
      <c r="F2062" s="10"/>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0"/>
      <c r="AH2062" s="10"/>
      <c r="AI2062" s="10"/>
      <c r="AJ2062" s="10"/>
      <c r="AK2062" s="10"/>
      <c r="AL2062" s="10"/>
    </row>
    <row r="2063" spans="1:38">
      <c r="A2063" s="10"/>
      <c r="B2063" s="10"/>
      <c r="C2063" s="10"/>
      <c r="D2063" s="10"/>
      <c r="E2063" s="10"/>
      <c r="F2063" s="10"/>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0"/>
      <c r="AH2063" s="10"/>
      <c r="AI2063" s="10"/>
      <c r="AJ2063" s="10"/>
      <c r="AK2063" s="10"/>
      <c r="AL2063" s="10"/>
    </row>
    <row r="2064" spans="1:38">
      <c r="A2064" s="10"/>
      <c r="B2064" s="10"/>
      <c r="C2064" s="10"/>
      <c r="D2064" s="10"/>
      <c r="E2064" s="10"/>
      <c r="F2064" s="10"/>
      <c r="G2064" s="10"/>
      <c r="H2064" s="10"/>
      <c r="I2064" s="10"/>
      <c r="J2064" s="10"/>
      <c r="K2064" s="10"/>
      <c r="L2064" s="10"/>
      <c r="M2064" s="10"/>
      <c r="N2064" s="10"/>
      <c r="O2064" s="10"/>
      <c r="P2064" s="10"/>
      <c r="Q2064" s="10"/>
      <c r="R2064" s="10"/>
      <c r="S2064" s="10"/>
      <c r="T2064" s="10"/>
      <c r="U2064" s="10"/>
      <c r="V2064" s="10"/>
      <c r="W2064" s="10"/>
      <c r="X2064" s="10"/>
      <c r="Y2064" s="10"/>
      <c r="Z2064" s="10"/>
      <c r="AA2064" s="10"/>
      <c r="AB2064" s="10"/>
      <c r="AC2064" s="10"/>
      <c r="AD2064" s="10"/>
      <c r="AE2064" s="10"/>
      <c r="AF2064" s="10"/>
      <c r="AG2064" s="10"/>
      <c r="AH2064" s="10"/>
      <c r="AI2064" s="10"/>
      <c r="AJ2064" s="10"/>
      <c r="AK2064" s="10"/>
      <c r="AL2064" s="10"/>
    </row>
    <row r="2065" spans="1:38">
      <c r="A2065" s="10"/>
      <c r="B2065" s="10"/>
      <c r="C2065" s="10"/>
      <c r="D2065" s="10"/>
      <c r="E2065" s="10"/>
      <c r="F2065" s="10"/>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0"/>
      <c r="AH2065" s="10"/>
      <c r="AI2065" s="10"/>
      <c r="AJ2065" s="10"/>
      <c r="AK2065" s="10"/>
      <c r="AL2065" s="10"/>
    </row>
    <row r="2066" spans="1:38">
      <c r="A2066" s="10"/>
      <c r="B2066" s="10"/>
      <c r="C2066" s="10"/>
      <c r="D2066" s="10"/>
      <c r="E2066" s="10"/>
      <c r="F2066" s="10"/>
      <c r="G2066" s="10"/>
      <c r="H2066" s="10"/>
      <c r="I2066" s="10"/>
      <c r="J2066" s="10"/>
      <c r="K2066" s="10"/>
      <c r="L2066" s="10"/>
      <c r="M2066" s="10"/>
      <c r="N2066" s="10"/>
      <c r="O2066" s="10"/>
      <c r="P2066" s="10"/>
      <c r="Q2066" s="10"/>
      <c r="R2066" s="10"/>
      <c r="S2066" s="10"/>
      <c r="T2066" s="10"/>
      <c r="U2066" s="10"/>
      <c r="V2066" s="10"/>
      <c r="W2066" s="10"/>
      <c r="X2066" s="10"/>
      <c r="Y2066" s="10"/>
      <c r="Z2066" s="10"/>
      <c r="AA2066" s="10"/>
      <c r="AB2066" s="10"/>
      <c r="AC2066" s="10"/>
      <c r="AD2066" s="10"/>
      <c r="AE2066" s="10"/>
      <c r="AF2066" s="10"/>
      <c r="AG2066" s="10"/>
      <c r="AH2066" s="10"/>
      <c r="AI2066" s="10"/>
      <c r="AJ2066" s="10"/>
      <c r="AK2066" s="10"/>
      <c r="AL2066" s="10"/>
    </row>
    <row r="2067" spans="1:38">
      <c r="A2067" s="10"/>
      <c r="B2067" s="10"/>
      <c r="C2067" s="10"/>
      <c r="D2067" s="10"/>
      <c r="E2067" s="10"/>
      <c r="F2067" s="10"/>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0"/>
      <c r="AH2067" s="10"/>
      <c r="AI2067" s="10"/>
      <c r="AJ2067" s="10"/>
      <c r="AK2067" s="10"/>
      <c r="AL2067" s="10"/>
    </row>
    <row r="2068" spans="1:38">
      <c r="A2068" s="10"/>
      <c r="B2068" s="10"/>
      <c r="C2068" s="10"/>
      <c r="D2068" s="10"/>
      <c r="E2068" s="10"/>
      <c r="F2068" s="10"/>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0"/>
      <c r="AH2068" s="10"/>
      <c r="AI2068" s="10"/>
      <c r="AJ2068" s="10"/>
      <c r="AK2068" s="10"/>
      <c r="AL2068" s="10"/>
    </row>
    <row r="2069" spans="1:38">
      <c r="A2069" s="10"/>
      <c r="B2069" s="10"/>
      <c r="C2069" s="10"/>
      <c r="D2069" s="10"/>
      <c r="E2069" s="10"/>
      <c r="F2069" s="10"/>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0"/>
      <c r="AH2069" s="10"/>
      <c r="AI2069" s="10"/>
      <c r="AJ2069" s="10"/>
      <c r="AK2069" s="10"/>
      <c r="AL2069" s="10"/>
    </row>
    <row r="2070" spans="1:38">
      <c r="A2070" s="10"/>
      <c r="B2070" s="10"/>
      <c r="C2070" s="10"/>
      <c r="D2070" s="10"/>
      <c r="E2070" s="10"/>
      <c r="F2070" s="10"/>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0"/>
      <c r="AH2070" s="10"/>
      <c r="AI2070" s="10"/>
      <c r="AJ2070" s="10"/>
      <c r="AK2070" s="10"/>
      <c r="AL2070" s="10"/>
    </row>
    <row r="2071" spans="1:38">
      <c r="A2071" s="10"/>
      <c r="B2071" s="10"/>
      <c r="C2071" s="10"/>
      <c r="D2071" s="10"/>
      <c r="E2071" s="10"/>
      <c r="F2071" s="10"/>
      <c r="G2071" s="10"/>
      <c r="H2071" s="10"/>
      <c r="I2071" s="10"/>
      <c r="J2071" s="10"/>
      <c r="K2071" s="10"/>
      <c r="L2071" s="10"/>
      <c r="M2071" s="10"/>
      <c r="N2071" s="10"/>
      <c r="O2071" s="10"/>
      <c r="P2071" s="10"/>
      <c r="Q2071" s="10"/>
      <c r="R2071" s="10"/>
      <c r="S2071" s="10"/>
      <c r="T2071" s="10"/>
      <c r="U2071" s="10"/>
      <c r="V2071" s="10"/>
      <c r="W2071" s="10"/>
      <c r="X2071" s="10"/>
      <c r="Y2071" s="10"/>
      <c r="Z2071" s="10"/>
      <c r="AA2071" s="10"/>
      <c r="AB2071" s="10"/>
      <c r="AC2071" s="10"/>
      <c r="AD2071" s="10"/>
      <c r="AE2071" s="10"/>
      <c r="AF2071" s="10"/>
      <c r="AG2071" s="10"/>
      <c r="AH2071" s="10"/>
      <c r="AI2071" s="10"/>
      <c r="AJ2071" s="10"/>
      <c r="AK2071" s="10"/>
      <c r="AL2071" s="10"/>
    </row>
    <row r="2072" spans="1:38">
      <c r="A2072" s="9"/>
      <c r="B2072" s="9"/>
      <c r="C2072" s="9"/>
      <c r="D2072" s="9"/>
      <c r="E2072" s="9"/>
      <c r="F2072" s="9"/>
      <c r="G2072" s="9"/>
      <c r="H2072" s="9"/>
      <c r="I2072" s="9"/>
      <c r="J2072" s="9"/>
      <c r="K2072" s="9"/>
      <c r="L2072" s="9"/>
      <c r="M2072" s="9"/>
      <c r="N2072" s="9"/>
      <c r="O2072" s="9"/>
      <c r="P2072" s="9"/>
      <c r="Q2072" s="9"/>
      <c r="R2072" s="9"/>
      <c r="S2072" s="9"/>
      <c r="T2072" s="9"/>
      <c r="U2072" s="9"/>
      <c r="V2072" s="9"/>
      <c r="W2072" s="9"/>
      <c r="X2072" s="9"/>
      <c r="Y2072" s="9"/>
      <c r="Z2072" s="9"/>
      <c r="AA2072" s="9"/>
      <c r="AB2072" s="9"/>
      <c r="AC2072" s="9"/>
      <c r="AD2072" s="9"/>
      <c r="AE2072" s="9"/>
      <c r="AF2072" s="9"/>
      <c r="AG2072" s="9"/>
      <c r="AH2072" s="9"/>
      <c r="AI2072" s="9"/>
      <c r="AJ2072" s="9"/>
      <c r="AK2072" s="9"/>
      <c r="AL2072" s="9"/>
    </row>
    <row r="2073" spans="1:38">
      <c r="A2073" s="11"/>
      <c r="B2073" s="11"/>
      <c r="C2073" s="11"/>
      <c r="D2073" s="11"/>
      <c r="E2073" s="11"/>
      <c r="F2073" s="11"/>
      <c r="G2073" s="11"/>
      <c r="H2073" s="11"/>
      <c r="I2073" s="11"/>
      <c r="J2073" s="11"/>
      <c r="K2073" s="11"/>
      <c r="L2073" s="11"/>
      <c r="M2073" s="11"/>
      <c r="N2073" s="11"/>
      <c r="O2073" s="11"/>
      <c r="P2073" s="11"/>
      <c r="Q2073" s="11"/>
      <c r="R2073" s="11"/>
      <c r="S2073" s="11"/>
      <c r="T2073" s="11"/>
      <c r="U2073" s="11"/>
      <c r="V2073" s="11"/>
      <c r="W2073" s="11"/>
      <c r="X2073" s="11"/>
      <c r="Y2073" s="11"/>
      <c r="Z2073" s="11"/>
      <c r="AA2073" s="11"/>
      <c r="AB2073" s="11"/>
      <c r="AC2073" s="11"/>
      <c r="AD2073" s="11"/>
      <c r="AE2073" s="11"/>
      <c r="AF2073" s="11"/>
      <c r="AG2073" s="11"/>
      <c r="AH2073" s="11"/>
      <c r="AI2073" s="11"/>
      <c r="AJ2073" s="11"/>
      <c r="AK2073" s="11"/>
      <c r="AL2073" s="11"/>
    </row>
    <row r="2085" spans="1:38">
      <c r="A2085" s="14"/>
      <c r="B2085" s="14"/>
      <c r="C2085" s="14"/>
      <c r="D2085" s="14"/>
      <c r="E2085" s="14"/>
      <c r="F2085" s="14"/>
      <c r="G2085" s="14"/>
      <c r="H2085" s="14"/>
      <c r="I2085" s="14"/>
      <c r="J2085" s="14"/>
      <c r="K2085" s="14"/>
      <c r="L2085" s="14"/>
      <c r="M2085" s="14"/>
      <c r="N2085" s="14"/>
      <c r="O2085" s="14"/>
      <c r="P2085" s="14"/>
      <c r="Q2085" s="14"/>
      <c r="R2085" s="14"/>
      <c r="S2085" s="14"/>
      <c r="T2085" s="14"/>
      <c r="U2085" s="14"/>
      <c r="V2085" s="14"/>
      <c r="W2085" s="14"/>
      <c r="X2085" s="14"/>
      <c r="Y2085" s="14"/>
      <c r="Z2085" s="14"/>
      <c r="AA2085" s="14"/>
      <c r="AB2085" s="14"/>
      <c r="AC2085" s="14"/>
      <c r="AD2085" s="14"/>
      <c r="AE2085" s="14"/>
      <c r="AF2085" s="14"/>
      <c r="AG2085" s="14"/>
      <c r="AH2085" s="14"/>
      <c r="AI2085" s="14"/>
      <c r="AJ2085" s="14"/>
      <c r="AK2085" s="14"/>
      <c r="AL2085" s="14"/>
    </row>
    <row r="2086" spans="1:38">
      <c r="A2086" s="9"/>
      <c r="B2086" s="9"/>
      <c r="C2086" s="9"/>
      <c r="D2086" s="9"/>
      <c r="E2086" s="9"/>
      <c r="F2086" s="9"/>
      <c r="G2086" s="9"/>
      <c r="H2086" s="9"/>
      <c r="I2086" s="9"/>
      <c r="J2086" s="9"/>
      <c r="K2086" s="9"/>
      <c r="L2086" s="9"/>
      <c r="M2086" s="9"/>
      <c r="N2086" s="9"/>
      <c r="O2086" s="9"/>
      <c r="P2086" s="9"/>
      <c r="Q2086" s="9"/>
      <c r="R2086" s="9"/>
      <c r="S2086" s="9"/>
      <c r="T2086" s="9"/>
      <c r="U2086" s="9"/>
      <c r="V2086" s="9"/>
      <c r="W2086" s="9"/>
      <c r="X2086" s="9"/>
      <c r="Y2086" s="9"/>
      <c r="Z2086" s="9"/>
      <c r="AA2086" s="9"/>
      <c r="AB2086" s="9"/>
      <c r="AC2086" s="9"/>
      <c r="AD2086" s="9"/>
      <c r="AE2086" s="9"/>
      <c r="AF2086" s="9"/>
      <c r="AG2086" s="9"/>
      <c r="AH2086" s="9"/>
      <c r="AI2086" s="9"/>
      <c r="AJ2086" s="9"/>
      <c r="AK2086" s="9"/>
      <c r="AL2086" s="9"/>
    </row>
    <row r="2087" spans="1:38">
      <c r="A2087" s="10"/>
      <c r="B2087" s="10"/>
      <c r="C2087" s="10"/>
      <c r="D2087" s="10"/>
      <c r="E2087" s="10"/>
      <c r="F2087" s="10"/>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0"/>
      <c r="AH2087" s="10"/>
      <c r="AI2087" s="10"/>
      <c r="AJ2087" s="10"/>
      <c r="AK2087" s="10"/>
      <c r="AL2087" s="10"/>
    </row>
    <row r="2088" spans="1:38">
      <c r="A2088" s="10"/>
      <c r="B2088" s="10"/>
      <c r="C2088" s="10"/>
      <c r="D2088" s="10"/>
      <c r="E2088" s="10"/>
      <c r="F2088" s="10"/>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0"/>
      <c r="AH2088" s="10"/>
      <c r="AI2088" s="10"/>
      <c r="AJ2088" s="10"/>
      <c r="AK2088" s="10"/>
      <c r="AL2088" s="10"/>
    </row>
    <row r="2089" spans="1:38">
      <c r="A2089" s="10"/>
      <c r="B2089" s="10"/>
      <c r="C2089" s="10"/>
      <c r="D2089" s="10"/>
      <c r="E2089" s="10"/>
      <c r="F2089" s="10"/>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0"/>
      <c r="AH2089" s="10"/>
      <c r="AI2089" s="10"/>
      <c r="AJ2089" s="10"/>
      <c r="AK2089" s="10"/>
      <c r="AL2089" s="10"/>
    </row>
    <row r="2090" spans="1:38">
      <c r="A2090" s="10"/>
      <c r="B2090" s="10"/>
      <c r="C2090" s="10"/>
      <c r="D2090" s="10"/>
      <c r="E2090" s="10"/>
      <c r="F2090" s="10"/>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0"/>
      <c r="AH2090" s="10"/>
      <c r="AI2090" s="10"/>
      <c r="AJ2090" s="10"/>
      <c r="AK2090" s="10"/>
      <c r="AL2090" s="10"/>
    </row>
    <row r="2091" spans="1:38">
      <c r="A2091" s="10"/>
      <c r="B2091" s="10"/>
      <c r="C2091" s="10"/>
      <c r="D2091" s="10"/>
      <c r="E2091" s="10"/>
      <c r="F2091" s="10"/>
      <c r="G2091" s="10"/>
      <c r="H2091" s="10"/>
      <c r="I2091" s="10"/>
      <c r="J2091" s="10"/>
      <c r="K2091" s="10"/>
      <c r="L2091" s="10"/>
      <c r="M2091" s="10"/>
      <c r="N2091" s="10"/>
      <c r="O2091" s="10"/>
      <c r="P2091" s="10"/>
      <c r="Q2091" s="10"/>
      <c r="R2091" s="10"/>
      <c r="S2091" s="10"/>
      <c r="T2091" s="10"/>
      <c r="U2091" s="10"/>
      <c r="V2091" s="10"/>
      <c r="W2091" s="10"/>
      <c r="X2091" s="10"/>
      <c r="Y2091" s="10"/>
      <c r="Z2091" s="10"/>
      <c r="AA2091" s="10"/>
      <c r="AB2091" s="10"/>
      <c r="AC2091" s="10"/>
      <c r="AD2091" s="10"/>
      <c r="AE2091" s="10"/>
      <c r="AF2091" s="10"/>
      <c r="AG2091" s="10"/>
      <c r="AH2091" s="10"/>
      <c r="AI2091" s="10"/>
      <c r="AJ2091" s="10"/>
      <c r="AK2091" s="10"/>
      <c r="AL2091" s="10"/>
    </row>
    <row r="2092" spans="1:38">
      <c r="A2092" s="10"/>
      <c r="B2092" s="10"/>
      <c r="C2092" s="10"/>
      <c r="D2092" s="10"/>
      <c r="E2092" s="10"/>
      <c r="F2092" s="10"/>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0"/>
      <c r="AH2092" s="10"/>
      <c r="AI2092" s="10"/>
      <c r="AJ2092" s="10"/>
      <c r="AK2092" s="10"/>
      <c r="AL2092" s="10"/>
    </row>
    <row r="2093" spans="1:38">
      <c r="A2093" s="10"/>
      <c r="B2093" s="10"/>
      <c r="C2093" s="10"/>
      <c r="D2093" s="10"/>
      <c r="E2093" s="10"/>
      <c r="F2093" s="10"/>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0"/>
      <c r="AH2093" s="10"/>
      <c r="AI2093" s="10"/>
      <c r="AJ2093" s="10"/>
      <c r="AK2093" s="10"/>
      <c r="AL2093" s="10"/>
    </row>
    <row r="2094" spans="1:38">
      <c r="A2094" s="10"/>
      <c r="B2094" s="10"/>
      <c r="C2094" s="10"/>
      <c r="D2094" s="10"/>
      <c r="E2094" s="10"/>
      <c r="F2094" s="10"/>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0"/>
      <c r="AH2094" s="10"/>
      <c r="AI2094" s="10"/>
      <c r="AJ2094" s="10"/>
      <c r="AK2094" s="10"/>
      <c r="AL2094" s="10"/>
    </row>
    <row r="2095" spans="1:38">
      <c r="A2095" s="10"/>
      <c r="B2095" s="10"/>
      <c r="C2095" s="10"/>
      <c r="D2095" s="10"/>
      <c r="E2095" s="10"/>
      <c r="F2095" s="10"/>
      <c r="G2095" s="10"/>
      <c r="H2095" s="10"/>
      <c r="I2095" s="10"/>
      <c r="J2095" s="10"/>
      <c r="K2095" s="10"/>
      <c r="L2095" s="10"/>
      <c r="M2095" s="10"/>
      <c r="N2095" s="10"/>
      <c r="O2095" s="10"/>
      <c r="P2095" s="10"/>
      <c r="Q2095" s="10"/>
      <c r="R2095" s="10"/>
      <c r="S2095" s="10"/>
      <c r="T2095" s="10"/>
      <c r="U2095" s="10"/>
      <c r="V2095" s="10"/>
      <c r="W2095" s="10"/>
      <c r="X2095" s="10"/>
      <c r="Y2095" s="10"/>
      <c r="Z2095" s="10"/>
      <c r="AA2095" s="10"/>
      <c r="AB2095" s="10"/>
      <c r="AC2095" s="10"/>
      <c r="AD2095" s="10"/>
      <c r="AE2095" s="10"/>
      <c r="AF2095" s="10"/>
      <c r="AG2095" s="10"/>
      <c r="AH2095" s="10"/>
      <c r="AI2095" s="10"/>
      <c r="AJ2095" s="10"/>
      <c r="AK2095" s="10"/>
      <c r="AL2095" s="10"/>
    </row>
    <row r="2096" spans="1:38">
      <c r="A2096" s="10"/>
      <c r="B2096" s="10"/>
      <c r="C2096" s="10"/>
      <c r="D2096" s="10"/>
      <c r="E2096" s="10"/>
      <c r="F2096" s="10"/>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0"/>
      <c r="AH2096" s="10"/>
      <c r="AI2096" s="10"/>
      <c r="AJ2096" s="10"/>
      <c r="AK2096" s="10"/>
      <c r="AL2096" s="10"/>
    </row>
    <row r="2097" spans="1:38">
      <c r="A2097" s="9"/>
      <c r="B2097" s="9"/>
      <c r="C2097" s="9"/>
      <c r="D2097" s="9"/>
      <c r="E2097" s="9"/>
      <c r="F2097" s="9"/>
      <c r="G2097" s="9"/>
      <c r="H2097" s="9"/>
      <c r="I2097" s="9"/>
      <c r="J2097" s="9"/>
      <c r="K2097" s="9"/>
      <c r="L2097" s="9"/>
      <c r="M2097" s="9"/>
      <c r="N2097" s="9"/>
      <c r="O2097" s="9"/>
      <c r="P2097" s="9"/>
      <c r="Q2097" s="9"/>
      <c r="R2097" s="9"/>
      <c r="S2097" s="9"/>
      <c r="T2097" s="9"/>
      <c r="U2097" s="9"/>
      <c r="V2097" s="9"/>
      <c r="W2097" s="9"/>
      <c r="X2097" s="9"/>
      <c r="Y2097" s="9"/>
      <c r="Z2097" s="9"/>
      <c r="AA2097" s="9"/>
      <c r="AB2097" s="9"/>
      <c r="AC2097" s="9"/>
      <c r="AD2097" s="9"/>
      <c r="AE2097" s="9"/>
      <c r="AF2097" s="9"/>
      <c r="AG2097" s="9"/>
      <c r="AH2097" s="9"/>
      <c r="AI2097" s="9"/>
      <c r="AJ2097" s="9"/>
      <c r="AK2097" s="9"/>
      <c r="AL2097" s="9"/>
    </row>
    <row r="2098" spans="1:38">
      <c r="A2098" s="11"/>
      <c r="B2098" s="11"/>
      <c r="C2098" s="11"/>
      <c r="D2098" s="11"/>
      <c r="E2098" s="11"/>
      <c r="F2098" s="11"/>
      <c r="G2098" s="11"/>
      <c r="H2098" s="11"/>
      <c r="I2098" s="11"/>
      <c r="J2098" s="11"/>
      <c r="K2098" s="11"/>
      <c r="L2098" s="11"/>
      <c r="M2098" s="11"/>
      <c r="N2098" s="11"/>
      <c r="O2098" s="11"/>
      <c r="P2098" s="11"/>
      <c r="Q2098" s="11"/>
      <c r="R2098" s="11"/>
      <c r="S2098" s="11"/>
      <c r="T2098" s="11"/>
      <c r="U2098" s="11"/>
      <c r="V2098" s="11"/>
      <c r="W2098" s="11"/>
      <c r="X2098" s="11"/>
      <c r="Y2098" s="11"/>
      <c r="Z2098" s="11"/>
      <c r="AA2098" s="11"/>
      <c r="AB2098" s="11"/>
      <c r="AC2098" s="11"/>
      <c r="AD2098" s="11"/>
      <c r="AE2098" s="11"/>
      <c r="AF2098" s="11"/>
      <c r="AG2098" s="11"/>
      <c r="AH2098" s="11"/>
      <c r="AI2098" s="11"/>
      <c r="AJ2098" s="11"/>
      <c r="AK2098" s="11"/>
      <c r="AL2098" s="11"/>
    </row>
    <row r="2109" spans="1:38">
      <c r="A2109" s="14"/>
      <c r="B2109" s="14"/>
      <c r="C2109" s="14"/>
      <c r="D2109" s="14"/>
      <c r="E2109" s="14"/>
      <c r="F2109" s="14"/>
      <c r="G2109" s="14"/>
      <c r="H2109" s="14"/>
      <c r="I2109" s="14"/>
      <c r="J2109" s="14"/>
      <c r="K2109" s="14"/>
      <c r="L2109" s="14"/>
      <c r="M2109" s="14"/>
      <c r="N2109" s="14"/>
      <c r="O2109" s="14"/>
      <c r="P2109" s="14"/>
      <c r="Q2109" s="14"/>
      <c r="R2109" s="14"/>
      <c r="S2109" s="14"/>
      <c r="T2109" s="14"/>
      <c r="U2109" s="14"/>
      <c r="V2109" s="14"/>
      <c r="W2109" s="14"/>
      <c r="X2109" s="14"/>
      <c r="Y2109" s="14"/>
      <c r="Z2109" s="14"/>
      <c r="AA2109" s="14"/>
      <c r="AB2109" s="14"/>
      <c r="AC2109" s="14"/>
      <c r="AD2109" s="14"/>
      <c r="AE2109" s="14"/>
      <c r="AF2109" s="14"/>
      <c r="AG2109" s="14"/>
      <c r="AH2109" s="14"/>
      <c r="AI2109" s="14"/>
      <c r="AJ2109" s="14"/>
      <c r="AK2109" s="14"/>
      <c r="AL2109" s="14"/>
    </row>
    <row r="2110" spans="1:38">
      <c r="A2110" s="9"/>
      <c r="B2110" s="9"/>
      <c r="C2110" s="9"/>
      <c r="D2110" s="9"/>
      <c r="E2110" s="9"/>
      <c r="F2110" s="9"/>
      <c r="G2110" s="9"/>
      <c r="H2110" s="9"/>
      <c r="I2110" s="9"/>
      <c r="J2110" s="9"/>
      <c r="K2110" s="9"/>
      <c r="L2110" s="9"/>
      <c r="M2110" s="9"/>
      <c r="N2110" s="9"/>
      <c r="O2110" s="9"/>
      <c r="P2110" s="9"/>
      <c r="Q2110" s="9"/>
      <c r="R2110" s="9"/>
      <c r="S2110" s="9"/>
      <c r="T2110" s="9"/>
      <c r="U2110" s="9"/>
      <c r="V2110" s="9"/>
      <c r="W2110" s="9"/>
      <c r="X2110" s="9"/>
      <c r="Y2110" s="9"/>
      <c r="Z2110" s="9"/>
      <c r="AA2110" s="9"/>
      <c r="AB2110" s="9"/>
      <c r="AC2110" s="9"/>
      <c r="AD2110" s="9"/>
      <c r="AE2110" s="9"/>
      <c r="AF2110" s="9"/>
      <c r="AG2110" s="9"/>
      <c r="AH2110" s="9"/>
      <c r="AI2110" s="9"/>
      <c r="AJ2110" s="9"/>
      <c r="AK2110" s="9"/>
      <c r="AL2110" s="9"/>
    </row>
    <row r="2111" spans="1:38">
      <c r="A2111" s="10"/>
      <c r="B2111" s="10"/>
      <c r="C2111" s="10"/>
      <c r="D2111" s="10"/>
      <c r="E2111" s="10"/>
      <c r="F2111" s="10"/>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0"/>
      <c r="AH2111" s="10"/>
      <c r="AI2111" s="10"/>
      <c r="AJ2111" s="10"/>
      <c r="AK2111" s="10"/>
      <c r="AL2111" s="10"/>
    </row>
    <row r="2112" spans="1:38">
      <c r="A2112" s="10"/>
      <c r="B2112" s="10"/>
      <c r="C2112" s="10"/>
      <c r="D2112" s="10"/>
      <c r="E2112" s="10"/>
      <c r="F2112" s="10"/>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0"/>
      <c r="AH2112" s="10"/>
      <c r="AI2112" s="10"/>
      <c r="AJ2112" s="10"/>
      <c r="AK2112" s="10"/>
      <c r="AL2112" s="10"/>
    </row>
    <row r="2113" spans="1:38">
      <c r="A2113" s="10"/>
      <c r="B2113" s="10"/>
      <c r="C2113" s="10"/>
      <c r="D2113" s="10"/>
      <c r="E2113" s="10"/>
      <c r="F2113" s="10"/>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0"/>
      <c r="AH2113" s="10"/>
      <c r="AI2113" s="10"/>
      <c r="AJ2113" s="10"/>
      <c r="AK2113" s="10"/>
      <c r="AL2113" s="10"/>
    </row>
    <row r="2114" spans="1:38">
      <c r="A2114" s="10"/>
      <c r="B2114" s="10"/>
      <c r="C2114" s="10"/>
      <c r="D2114" s="10"/>
      <c r="E2114" s="10"/>
      <c r="F2114" s="10"/>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0"/>
      <c r="AH2114" s="10"/>
      <c r="AI2114" s="10"/>
      <c r="AJ2114" s="10"/>
      <c r="AK2114" s="10"/>
      <c r="AL2114" s="10"/>
    </row>
    <row r="2115" spans="1:38">
      <c r="A2115" s="10"/>
      <c r="B2115" s="10"/>
      <c r="C2115" s="10"/>
      <c r="D2115" s="10"/>
      <c r="E2115" s="10"/>
      <c r="F2115" s="10"/>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0"/>
      <c r="AH2115" s="10"/>
      <c r="AI2115" s="10"/>
      <c r="AJ2115" s="10"/>
      <c r="AK2115" s="10"/>
      <c r="AL2115" s="10"/>
    </row>
    <row r="2116" spans="1:38">
      <c r="A2116" s="10"/>
      <c r="B2116" s="10"/>
      <c r="C2116" s="10"/>
      <c r="D2116" s="10"/>
      <c r="E2116" s="10"/>
      <c r="F2116" s="10"/>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0"/>
      <c r="AH2116" s="10"/>
      <c r="AI2116" s="10"/>
      <c r="AJ2116" s="10"/>
      <c r="AK2116" s="10"/>
      <c r="AL2116" s="10"/>
    </row>
    <row r="2117" spans="1:38">
      <c r="A2117" s="10"/>
      <c r="B2117" s="10"/>
      <c r="C2117" s="10"/>
      <c r="D2117" s="10"/>
      <c r="E2117" s="10"/>
      <c r="F2117" s="10"/>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0"/>
      <c r="AH2117" s="10"/>
      <c r="AI2117" s="10"/>
      <c r="AJ2117" s="10"/>
      <c r="AK2117" s="10"/>
      <c r="AL2117" s="10"/>
    </row>
    <row r="2118" spans="1:38">
      <c r="A2118" s="10"/>
      <c r="B2118" s="10"/>
      <c r="C2118" s="10"/>
      <c r="D2118" s="10"/>
      <c r="E2118" s="10"/>
      <c r="F2118" s="10"/>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0"/>
      <c r="AH2118" s="10"/>
      <c r="AI2118" s="10"/>
      <c r="AJ2118" s="10"/>
      <c r="AK2118" s="10"/>
      <c r="AL2118" s="10"/>
    </row>
    <row r="2119" spans="1:38">
      <c r="A2119" s="10"/>
      <c r="B2119" s="10"/>
      <c r="C2119" s="10"/>
      <c r="D2119" s="10"/>
      <c r="E2119" s="10"/>
      <c r="F2119" s="10"/>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0"/>
      <c r="AH2119" s="10"/>
      <c r="AI2119" s="10"/>
      <c r="AJ2119" s="10"/>
      <c r="AK2119" s="10"/>
      <c r="AL2119" s="10"/>
    </row>
    <row r="2120" spans="1:38">
      <c r="A2120" s="10"/>
      <c r="B2120" s="10"/>
      <c r="C2120" s="10"/>
      <c r="D2120" s="10"/>
      <c r="E2120" s="10"/>
      <c r="F2120" s="10"/>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0"/>
      <c r="AH2120" s="10"/>
      <c r="AI2120" s="10"/>
      <c r="AJ2120" s="10"/>
      <c r="AK2120" s="10"/>
      <c r="AL2120" s="10"/>
    </row>
    <row r="2121" spans="1:38">
      <c r="A2121" s="9"/>
      <c r="B2121" s="9"/>
      <c r="C2121" s="9"/>
      <c r="D2121" s="9"/>
      <c r="E2121" s="9"/>
      <c r="F2121" s="9"/>
      <c r="G2121" s="9"/>
      <c r="H2121" s="9"/>
      <c r="I2121" s="9"/>
      <c r="J2121" s="9"/>
      <c r="K2121" s="9"/>
      <c r="L2121" s="9"/>
      <c r="M2121" s="9"/>
      <c r="N2121" s="9"/>
      <c r="O2121" s="9"/>
      <c r="P2121" s="9"/>
      <c r="Q2121" s="9"/>
      <c r="R2121" s="9"/>
      <c r="S2121" s="9"/>
      <c r="T2121" s="9"/>
      <c r="U2121" s="9"/>
      <c r="V2121" s="9"/>
      <c r="W2121" s="9"/>
      <c r="X2121" s="9"/>
      <c r="Y2121" s="9"/>
      <c r="Z2121" s="9"/>
      <c r="AA2121" s="9"/>
      <c r="AB2121" s="9"/>
      <c r="AC2121" s="9"/>
      <c r="AD2121" s="9"/>
      <c r="AE2121" s="9"/>
      <c r="AF2121" s="9"/>
      <c r="AG2121" s="9"/>
      <c r="AH2121" s="9"/>
      <c r="AI2121" s="9"/>
      <c r="AJ2121" s="9"/>
      <c r="AK2121" s="9"/>
      <c r="AL2121" s="9"/>
    </row>
    <row r="2122" spans="1:38">
      <c r="A2122" s="11"/>
      <c r="B2122" s="11"/>
      <c r="C2122" s="11"/>
      <c r="D2122" s="11"/>
      <c r="E2122" s="11"/>
      <c r="F2122" s="11"/>
      <c r="G2122" s="11"/>
      <c r="H2122" s="11"/>
      <c r="I2122" s="11"/>
      <c r="J2122" s="11"/>
      <c r="K2122" s="11"/>
      <c r="L2122" s="11"/>
      <c r="M2122" s="11"/>
      <c r="N2122" s="11"/>
      <c r="O2122" s="11"/>
      <c r="P2122" s="11"/>
      <c r="Q2122" s="11"/>
      <c r="R2122" s="11"/>
      <c r="S2122" s="11"/>
      <c r="T2122" s="11"/>
      <c r="U2122" s="11"/>
      <c r="V2122" s="11"/>
      <c r="W2122" s="11"/>
      <c r="X2122" s="11"/>
      <c r="Y2122" s="11"/>
      <c r="Z2122" s="11"/>
      <c r="AA2122" s="11"/>
      <c r="AB2122" s="11"/>
      <c r="AC2122" s="11"/>
      <c r="AD2122" s="11"/>
      <c r="AE2122" s="11"/>
      <c r="AF2122" s="11"/>
      <c r="AG2122" s="11"/>
      <c r="AH2122" s="11"/>
      <c r="AI2122" s="11"/>
      <c r="AJ2122" s="11"/>
      <c r="AK2122" s="11"/>
      <c r="AL2122" s="11"/>
    </row>
    <row r="2134" spans="1:38">
      <c r="A2134" s="14"/>
      <c r="B2134" s="14"/>
      <c r="C2134" s="14"/>
      <c r="D2134" s="14"/>
      <c r="E2134" s="14"/>
      <c r="F2134" s="14"/>
      <c r="G2134" s="14"/>
      <c r="H2134" s="14"/>
      <c r="I2134" s="14"/>
      <c r="J2134" s="14"/>
      <c r="K2134" s="14"/>
      <c r="L2134" s="14"/>
      <c r="M2134" s="14"/>
      <c r="N2134" s="14"/>
      <c r="O2134" s="14"/>
      <c r="P2134" s="14"/>
      <c r="Q2134" s="14"/>
      <c r="R2134" s="14"/>
      <c r="S2134" s="14"/>
      <c r="T2134" s="14"/>
      <c r="U2134" s="14"/>
      <c r="V2134" s="14"/>
      <c r="W2134" s="14"/>
      <c r="X2134" s="14"/>
      <c r="Y2134" s="14"/>
      <c r="Z2134" s="14"/>
      <c r="AA2134" s="14"/>
      <c r="AB2134" s="14"/>
      <c r="AC2134" s="14"/>
      <c r="AD2134" s="14"/>
      <c r="AE2134" s="14"/>
      <c r="AF2134" s="14"/>
      <c r="AG2134" s="14"/>
      <c r="AH2134" s="14"/>
      <c r="AI2134" s="14"/>
      <c r="AJ2134" s="14"/>
      <c r="AK2134" s="14"/>
      <c r="AL2134" s="14"/>
    </row>
    <row r="2135" spans="1:38">
      <c r="A2135" s="9"/>
      <c r="B2135" s="9"/>
      <c r="C2135" s="9"/>
      <c r="D2135" s="9"/>
      <c r="E2135" s="9"/>
      <c r="F2135" s="9"/>
      <c r="G2135" s="9"/>
      <c r="H2135" s="9"/>
      <c r="I2135" s="9"/>
      <c r="J2135" s="9"/>
      <c r="K2135" s="9"/>
      <c r="L2135" s="9"/>
      <c r="M2135" s="9"/>
      <c r="N2135" s="9"/>
      <c r="O2135" s="9"/>
      <c r="P2135" s="9"/>
      <c r="Q2135" s="9"/>
      <c r="R2135" s="9"/>
      <c r="S2135" s="9"/>
      <c r="T2135" s="9"/>
      <c r="U2135" s="9"/>
      <c r="V2135" s="9"/>
      <c r="W2135" s="9"/>
      <c r="X2135" s="9"/>
      <c r="Y2135" s="9"/>
      <c r="Z2135" s="9"/>
      <c r="AA2135" s="9"/>
      <c r="AB2135" s="9"/>
      <c r="AC2135" s="9"/>
      <c r="AD2135" s="9"/>
      <c r="AE2135" s="9"/>
      <c r="AF2135" s="9"/>
      <c r="AG2135" s="9"/>
      <c r="AH2135" s="9"/>
      <c r="AI2135" s="9"/>
      <c r="AJ2135" s="9"/>
      <c r="AK2135" s="9"/>
      <c r="AL2135" s="9"/>
    </row>
    <row r="2136" spans="1:38">
      <c r="A2136" s="10"/>
      <c r="B2136" s="10"/>
      <c r="C2136" s="10"/>
      <c r="D2136" s="10"/>
      <c r="E2136" s="10"/>
      <c r="F2136" s="10"/>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0"/>
      <c r="AH2136" s="10"/>
      <c r="AI2136" s="10"/>
      <c r="AJ2136" s="10"/>
      <c r="AK2136" s="10"/>
      <c r="AL2136" s="10"/>
    </row>
    <row r="2137" spans="1:38">
      <c r="A2137" s="10"/>
      <c r="B2137" s="10"/>
      <c r="C2137" s="10"/>
      <c r="D2137" s="10"/>
      <c r="E2137" s="10"/>
      <c r="F2137" s="10"/>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0"/>
      <c r="AH2137" s="10"/>
      <c r="AI2137" s="10"/>
      <c r="AJ2137" s="10"/>
      <c r="AK2137" s="10"/>
      <c r="AL2137" s="10"/>
    </row>
    <row r="2138" spans="1:38">
      <c r="A2138" s="10"/>
      <c r="B2138" s="10"/>
      <c r="C2138" s="10"/>
      <c r="D2138" s="10"/>
      <c r="E2138" s="10"/>
      <c r="F2138" s="10"/>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0"/>
      <c r="AH2138" s="10"/>
      <c r="AI2138" s="10"/>
      <c r="AJ2138" s="10"/>
      <c r="AK2138" s="10"/>
      <c r="AL2138" s="10"/>
    </row>
    <row r="2139" spans="1:38">
      <c r="A2139" s="10"/>
      <c r="B2139" s="10"/>
      <c r="C2139" s="10"/>
      <c r="D2139" s="10"/>
      <c r="E2139" s="10"/>
      <c r="F2139" s="10"/>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0"/>
      <c r="AH2139" s="10"/>
      <c r="AI2139" s="10"/>
      <c r="AJ2139" s="10"/>
      <c r="AK2139" s="10"/>
      <c r="AL2139" s="10"/>
    </row>
    <row r="2140" spans="1:38">
      <c r="A2140" s="10"/>
      <c r="B2140" s="10"/>
      <c r="C2140" s="10"/>
      <c r="D2140" s="10"/>
      <c r="E2140" s="10"/>
      <c r="F2140" s="10"/>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0"/>
      <c r="AH2140" s="10"/>
      <c r="AI2140" s="10"/>
      <c r="AJ2140" s="10"/>
      <c r="AK2140" s="10"/>
      <c r="AL2140" s="10"/>
    </row>
    <row r="2141" spans="1:38">
      <c r="A2141" s="10"/>
      <c r="B2141" s="10"/>
      <c r="C2141" s="10"/>
      <c r="D2141" s="10"/>
      <c r="E2141" s="10"/>
      <c r="F2141" s="10"/>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0"/>
      <c r="AH2141" s="10"/>
      <c r="AI2141" s="10"/>
      <c r="AJ2141" s="10"/>
      <c r="AK2141" s="10"/>
      <c r="AL2141" s="10"/>
    </row>
    <row r="2142" spans="1:38">
      <c r="A2142" s="10"/>
      <c r="B2142" s="10"/>
      <c r="C2142" s="10"/>
      <c r="D2142" s="10"/>
      <c r="E2142" s="10"/>
      <c r="F2142" s="10"/>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0"/>
      <c r="AH2142" s="10"/>
      <c r="AI2142" s="10"/>
      <c r="AJ2142" s="10"/>
      <c r="AK2142" s="10"/>
      <c r="AL2142" s="10"/>
    </row>
    <row r="2143" spans="1:38">
      <c r="A2143" s="10"/>
      <c r="B2143" s="10"/>
      <c r="C2143" s="10"/>
      <c r="D2143" s="10"/>
      <c r="E2143" s="10"/>
      <c r="F2143" s="10"/>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0"/>
      <c r="AH2143" s="10"/>
      <c r="AI2143" s="10"/>
      <c r="AJ2143" s="10"/>
      <c r="AK2143" s="10"/>
      <c r="AL2143" s="10"/>
    </row>
    <row r="2144" spans="1:38">
      <c r="A2144" s="10"/>
      <c r="B2144" s="10"/>
      <c r="C2144" s="10"/>
      <c r="D2144" s="10"/>
      <c r="E2144" s="10"/>
      <c r="F2144" s="10"/>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0"/>
      <c r="AH2144" s="10"/>
      <c r="AI2144" s="10"/>
      <c r="AJ2144" s="10"/>
      <c r="AK2144" s="10"/>
      <c r="AL2144" s="10"/>
    </row>
    <row r="2145" spans="1:38">
      <c r="A2145" s="10"/>
      <c r="B2145" s="10"/>
      <c r="C2145" s="10"/>
      <c r="D2145" s="10"/>
      <c r="E2145" s="10"/>
      <c r="F2145" s="10"/>
      <c r="G2145" s="10"/>
      <c r="H2145" s="10"/>
      <c r="I2145" s="10"/>
      <c r="J2145" s="10"/>
      <c r="K2145" s="10"/>
      <c r="L2145" s="10"/>
      <c r="M2145" s="10"/>
      <c r="N2145" s="10"/>
      <c r="O2145" s="10"/>
      <c r="P2145" s="10"/>
      <c r="Q2145" s="10"/>
      <c r="R2145" s="10"/>
      <c r="S2145" s="10"/>
      <c r="T2145" s="10"/>
      <c r="U2145" s="10"/>
      <c r="V2145" s="10"/>
      <c r="W2145" s="10"/>
      <c r="X2145" s="10"/>
      <c r="Y2145" s="10"/>
      <c r="Z2145" s="10"/>
      <c r="AA2145" s="10"/>
      <c r="AB2145" s="10"/>
      <c r="AC2145" s="10"/>
      <c r="AD2145" s="10"/>
      <c r="AE2145" s="10"/>
      <c r="AF2145" s="10"/>
      <c r="AG2145" s="10"/>
      <c r="AH2145" s="10"/>
      <c r="AI2145" s="10"/>
      <c r="AJ2145" s="10"/>
      <c r="AK2145" s="10"/>
      <c r="AL2145" s="10"/>
    </row>
    <row r="2147" spans="1:38">
      <c r="A2147" s="11"/>
      <c r="B2147" s="11"/>
      <c r="C2147" s="11"/>
      <c r="D2147" s="11"/>
      <c r="E2147" s="11"/>
      <c r="F2147" s="11"/>
      <c r="G2147" s="11"/>
      <c r="H2147" s="11"/>
      <c r="I2147" s="11"/>
      <c r="J2147" s="11"/>
      <c r="K2147" s="11"/>
      <c r="L2147" s="11"/>
      <c r="M2147" s="11"/>
      <c r="N2147" s="11"/>
      <c r="O2147" s="11"/>
      <c r="P2147" s="11"/>
      <c r="Q2147" s="11"/>
      <c r="R2147" s="11"/>
      <c r="S2147" s="11"/>
      <c r="T2147" s="11"/>
      <c r="U2147" s="11"/>
      <c r="V2147" s="11"/>
      <c r="W2147" s="11"/>
      <c r="X2147" s="11"/>
      <c r="Y2147" s="11"/>
      <c r="Z2147" s="11"/>
      <c r="AA2147" s="11"/>
      <c r="AB2147" s="11"/>
      <c r="AC2147" s="11"/>
      <c r="AD2147" s="11"/>
      <c r="AE2147" s="11"/>
      <c r="AF2147" s="11"/>
      <c r="AG2147" s="11"/>
      <c r="AH2147" s="11"/>
      <c r="AI2147" s="11"/>
      <c r="AJ2147" s="11"/>
      <c r="AK2147" s="11"/>
      <c r="AL2147" s="11"/>
    </row>
    <row r="2166" spans="1:38">
      <c r="A2166" s="14"/>
      <c r="B2166" s="14"/>
      <c r="C2166" s="14"/>
      <c r="D2166" s="14"/>
      <c r="E2166" s="14"/>
      <c r="F2166" s="14"/>
      <c r="G2166" s="14"/>
      <c r="H2166" s="14"/>
      <c r="I2166" s="14"/>
      <c r="J2166" s="14"/>
      <c r="K2166" s="14"/>
      <c r="L2166" s="14"/>
      <c r="M2166" s="14"/>
      <c r="N2166" s="14"/>
      <c r="O2166" s="14"/>
      <c r="P2166" s="14"/>
      <c r="Q2166" s="14"/>
      <c r="R2166" s="14"/>
      <c r="S2166" s="14"/>
      <c r="T2166" s="14"/>
      <c r="U2166" s="14"/>
      <c r="V2166" s="14"/>
      <c r="W2166" s="14"/>
      <c r="X2166" s="14"/>
      <c r="Y2166" s="14"/>
      <c r="Z2166" s="14"/>
      <c r="AA2166" s="14"/>
      <c r="AB2166" s="14"/>
      <c r="AC2166" s="14"/>
      <c r="AD2166" s="14"/>
      <c r="AE2166" s="14"/>
      <c r="AF2166" s="14"/>
      <c r="AG2166" s="14"/>
      <c r="AH2166" s="14"/>
      <c r="AI2166" s="14"/>
      <c r="AJ2166" s="14"/>
      <c r="AK2166" s="14"/>
      <c r="AL2166" s="14"/>
    </row>
    <row r="2167" spans="1:38">
      <c r="A2167" s="9"/>
      <c r="B2167" s="9"/>
      <c r="C2167" s="9"/>
      <c r="D2167" s="9"/>
      <c r="E2167" s="9"/>
      <c r="F2167" s="9"/>
      <c r="G2167" s="9"/>
      <c r="H2167" s="9"/>
      <c r="I2167" s="9"/>
      <c r="J2167" s="9"/>
      <c r="K2167" s="9"/>
      <c r="L2167" s="9"/>
      <c r="M2167" s="9"/>
      <c r="N2167" s="9"/>
      <c r="O2167" s="9"/>
      <c r="P2167" s="9"/>
      <c r="Q2167" s="9"/>
      <c r="R2167" s="9"/>
      <c r="S2167" s="9"/>
      <c r="T2167" s="9"/>
      <c r="U2167" s="9"/>
      <c r="V2167" s="9"/>
      <c r="W2167" s="9"/>
      <c r="X2167" s="9"/>
      <c r="Y2167" s="9"/>
      <c r="Z2167" s="9"/>
      <c r="AA2167" s="9"/>
      <c r="AB2167" s="9"/>
      <c r="AC2167" s="9"/>
      <c r="AD2167" s="9"/>
      <c r="AE2167" s="9"/>
      <c r="AF2167" s="9"/>
      <c r="AG2167" s="9"/>
      <c r="AH2167" s="9"/>
      <c r="AI2167" s="9"/>
      <c r="AJ2167" s="9"/>
      <c r="AK2167" s="9"/>
      <c r="AL2167" s="9"/>
    </row>
    <row r="2168" spans="1:38">
      <c r="A2168" s="10"/>
      <c r="B2168" s="10"/>
      <c r="C2168" s="10"/>
      <c r="D2168" s="10"/>
      <c r="E2168" s="10"/>
      <c r="F2168" s="10"/>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0"/>
      <c r="AH2168" s="10"/>
      <c r="AI2168" s="10"/>
      <c r="AJ2168" s="10"/>
      <c r="AK2168" s="10"/>
      <c r="AL2168" s="10"/>
    </row>
    <row r="2169" spans="1:38">
      <c r="A2169" s="10"/>
      <c r="B2169" s="10"/>
      <c r="C2169" s="10"/>
      <c r="D2169" s="10"/>
      <c r="E2169" s="10"/>
      <c r="F2169" s="10"/>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0"/>
      <c r="AH2169" s="10"/>
      <c r="AI2169" s="10"/>
      <c r="AJ2169" s="10"/>
      <c r="AK2169" s="10"/>
      <c r="AL2169" s="10"/>
    </row>
    <row r="2170" spans="1:38">
      <c r="A2170" s="10"/>
      <c r="B2170" s="10"/>
      <c r="C2170" s="10"/>
      <c r="D2170" s="10"/>
      <c r="E2170" s="10"/>
      <c r="F2170" s="10"/>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0"/>
      <c r="AH2170" s="10"/>
      <c r="AI2170" s="10"/>
      <c r="AJ2170" s="10"/>
      <c r="AK2170" s="10"/>
      <c r="AL2170" s="10"/>
    </row>
    <row r="2171" spans="1:38">
      <c r="A2171" s="10"/>
      <c r="B2171" s="10"/>
      <c r="C2171" s="10"/>
      <c r="D2171" s="10"/>
      <c r="E2171" s="10"/>
      <c r="F2171" s="10"/>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0"/>
      <c r="AH2171" s="10"/>
      <c r="AI2171" s="10"/>
      <c r="AJ2171" s="10"/>
      <c r="AK2171" s="10"/>
      <c r="AL2171" s="10"/>
    </row>
    <row r="2172" spans="1:38">
      <c r="A2172" s="10"/>
      <c r="B2172" s="10"/>
      <c r="C2172" s="10"/>
      <c r="D2172" s="10"/>
      <c r="E2172" s="10"/>
      <c r="F2172" s="10"/>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0"/>
      <c r="AH2172" s="10"/>
      <c r="AI2172" s="10"/>
      <c r="AJ2172" s="10"/>
      <c r="AK2172" s="10"/>
      <c r="AL2172" s="10"/>
    </row>
    <row r="2173" spans="1:38">
      <c r="A2173" s="10"/>
      <c r="B2173" s="10"/>
      <c r="C2173" s="10"/>
      <c r="D2173" s="10"/>
      <c r="E2173" s="10"/>
      <c r="F2173" s="10"/>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0"/>
      <c r="AH2173" s="10"/>
      <c r="AI2173" s="10"/>
      <c r="AJ2173" s="10"/>
      <c r="AK2173" s="10"/>
      <c r="AL2173" s="10"/>
    </row>
    <row r="2174" spans="1:38">
      <c r="A2174" s="10"/>
      <c r="B2174" s="10"/>
      <c r="C2174" s="10"/>
      <c r="D2174" s="10"/>
      <c r="E2174" s="10"/>
      <c r="F2174" s="10"/>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0"/>
      <c r="AH2174" s="10"/>
      <c r="AI2174" s="10"/>
      <c r="AJ2174" s="10"/>
      <c r="AK2174" s="10"/>
      <c r="AL2174" s="10"/>
    </row>
    <row r="2175" spans="1:38">
      <c r="A2175" s="10"/>
      <c r="B2175" s="10"/>
      <c r="C2175" s="10"/>
      <c r="D2175" s="10"/>
      <c r="E2175" s="10"/>
      <c r="F2175" s="10"/>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0"/>
      <c r="AH2175" s="10"/>
      <c r="AI2175" s="10"/>
      <c r="AJ2175" s="10"/>
      <c r="AK2175" s="10"/>
      <c r="AL2175" s="10"/>
    </row>
    <row r="2176" spans="1:38">
      <c r="A2176" s="10"/>
      <c r="B2176" s="10"/>
      <c r="C2176" s="10"/>
      <c r="D2176" s="10"/>
      <c r="E2176" s="10"/>
      <c r="F2176" s="10"/>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0"/>
      <c r="AH2176" s="10"/>
      <c r="AI2176" s="10"/>
      <c r="AJ2176" s="10"/>
      <c r="AK2176" s="10"/>
      <c r="AL2176" s="10"/>
    </row>
    <row r="2177" spans="1:38">
      <c r="A2177" s="10"/>
      <c r="B2177" s="10"/>
      <c r="C2177" s="10"/>
      <c r="D2177" s="10"/>
      <c r="E2177" s="10"/>
      <c r="F2177" s="10"/>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0"/>
      <c r="AH2177" s="10"/>
      <c r="AI2177" s="10"/>
      <c r="AJ2177" s="10"/>
      <c r="AK2177" s="10"/>
      <c r="AL2177" s="10"/>
    </row>
    <row r="2178" spans="1:38">
      <c r="A2178" s="9"/>
      <c r="B2178" s="9"/>
      <c r="C2178" s="9"/>
      <c r="D2178" s="9"/>
      <c r="E2178" s="9"/>
      <c r="F2178" s="9"/>
      <c r="G2178" s="9"/>
      <c r="H2178" s="9"/>
      <c r="I2178" s="9"/>
      <c r="J2178" s="9"/>
      <c r="K2178" s="9"/>
      <c r="L2178" s="9"/>
      <c r="M2178" s="9"/>
      <c r="N2178" s="9"/>
      <c r="O2178" s="9"/>
      <c r="P2178" s="9"/>
      <c r="Q2178" s="9"/>
      <c r="R2178" s="9"/>
      <c r="S2178" s="9"/>
      <c r="T2178" s="9"/>
      <c r="U2178" s="9"/>
      <c r="V2178" s="9"/>
      <c r="W2178" s="9"/>
      <c r="X2178" s="9"/>
      <c r="Y2178" s="9"/>
      <c r="Z2178" s="9"/>
      <c r="AA2178" s="9"/>
      <c r="AB2178" s="9"/>
      <c r="AC2178" s="9"/>
      <c r="AD2178" s="9"/>
      <c r="AE2178" s="9"/>
      <c r="AF2178" s="9"/>
      <c r="AG2178" s="9"/>
      <c r="AH2178" s="9"/>
      <c r="AI2178" s="9"/>
      <c r="AJ2178" s="9"/>
      <c r="AK2178" s="9"/>
      <c r="AL2178" s="9"/>
    </row>
    <row r="2179" spans="1:38">
      <c r="A2179" s="11"/>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row>
    <row r="2202" spans="1:38">
      <c r="A2202" s="14"/>
      <c r="B2202" s="14"/>
      <c r="C2202" s="14"/>
      <c r="D2202" s="14"/>
      <c r="E2202" s="14"/>
      <c r="F2202" s="14"/>
      <c r="G2202" s="14"/>
      <c r="H2202" s="14"/>
      <c r="I2202" s="14"/>
      <c r="J2202" s="14"/>
      <c r="K2202" s="14"/>
      <c r="L2202" s="14"/>
      <c r="M2202" s="14"/>
      <c r="N2202" s="14"/>
      <c r="O2202" s="14"/>
      <c r="P2202" s="14"/>
      <c r="Q2202" s="14"/>
      <c r="R2202" s="14"/>
      <c r="S2202" s="14"/>
      <c r="T2202" s="14"/>
      <c r="U2202" s="14"/>
      <c r="V2202" s="14"/>
      <c r="W2202" s="14"/>
      <c r="X2202" s="14"/>
      <c r="Y2202" s="14"/>
      <c r="Z2202" s="14"/>
      <c r="AA2202" s="14"/>
      <c r="AB2202" s="14"/>
      <c r="AC2202" s="14"/>
      <c r="AD2202" s="14"/>
      <c r="AE2202" s="14"/>
      <c r="AF2202" s="14"/>
      <c r="AG2202" s="14"/>
      <c r="AH2202" s="14"/>
      <c r="AI2202" s="14"/>
      <c r="AJ2202" s="14"/>
      <c r="AK2202" s="14"/>
      <c r="AL2202" s="14"/>
    </row>
    <row r="2203" spans="1:38">
      <c r="A2203" s="9"/>
      <c r="B2203" s="9"/>
      <c r="C2203" s="9"/>
      <c r="D2203" s="9"/>
      <c r="E2203" s="9"/>
      <c r="F2203" s="9"/>
      <c r="G2203" s="9"/>
      <c r="H2203" s="9"/>
      <c r="I2203" s="9"/>
      <c r="J2203" s="9"/>
      <c r="K2203" s="9"/>
      <c r="L2203" s="9"/>
      <c r="M2203" s="9"/>
      <c r="N2203" s="9"/>
      <c r="O2203" s="9"/>
      <c r="P2203" s="9"/>
      <c r="Q2203" s="9"/>
      <c r="R2203" s="9"/>
      <c r="S2203" s="9"/>
      <c r="T2203" s="9"/>
      <c r="U2203" s="9"/>
      <c r="V2203" s="9"/>
      <c r="W2203" s="9"/>
      <c r="X2203" s="9"/>
      <c r="Y2203" s="9"/>
      <c r="Z2203" s="9"/>
      <c r="AA2203" s="9"/>
      <c r="AB2203" s="9"/>
      <c r="AC2203" s="9"/>
      <c r="AD2203" s="9"/>
      <c r="AE2203" s="9"/>
      <c r="AF2203" s="9"/>
      <c r="AG2203" s="9"/>
      <c r="AH2203" s="9"/>
      <c r="AI2203" s="9"/>
      <c r="AJ2203" s="9"/>
      <c r="AK2203" s="9"/>
      <c r="AL2203" s="9"/>
    </row>
    <row r="2204" spans="1:38">
      <c r="A2204" s="10"/>
      <c r="B2204" s="10"/>
      <c r="C2204" s="10"/>
      <c r="D2204" s="10"/>
      <c r="E2204" s="10"/>
      <c r="F2204" s="10"/>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0"/>
      <c r="AH2204" s="10"/>
      <c r="AI2204" s="10"/>
      <c r="AJ2204" s="10"/>
      <c r="AK2204" s="10"/>
      <c r="AL2204" s="10"/>
    </row>
    <row r="2205" spans="1:38">
      <c r="A2205" s="10"/>
      <c r="B2205" s="10"/>
      <c r="C2205" s="10"/>
      <c r="D2205" s="10"/>
      <c r="E2205" s="10"/>
      <c r="F2205" s="10"/>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0"/>
      <c r="AH2205" s="10"/>
      <c r="AI2205" s="10"/>
      <c r="AJ2205" s="10"/>
      <c r="AK2205" s="10"/>
      <c r="AL2205" s="10"/>
    </row>
    <row r="2206" spans="1:38">
      <c r="A2206" s="10"/>
      <c r="B2206" s="10"/>
      <c r="C2206" s="10"/>
      <c r="D2206" s="10"/>
      <c r="E2206" s="10"/>
      <c r="F2206" s="10"/>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0"/>
      <c r="AH2206" s="10"/>
      <c r="AI2206" s="10"/>
      <c r="AJ2206" s="10"/>
      <c r="AK2206" s="10"/>
      <c r="AL2206" s="10"/>
    </row>
    <row r="2207" spans="1:38">
      <c r="A2207" s="10"/>
      <c r="B2207" s="10"/>
      <c r="C2207" s="10"/>
      <c r="D2207" s="10"/>
      <c r="E2207" s="10"/>
      <c r="F2207" s="10"/>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0"/>
      <c r="AH2207" s="10"/>
      <c r="AI2207" s="10"/>
      <c r="AJ2207" s="10"/>
      <c r="AK2207" s="10"/>
      <c r="AL2207" s="10"/>
    </row>
    <row r="2208" spans="1:38">
      <c r="A2208" s="10"/>
      <c r="B2208" s="10"/>
      <c r="C2208" s="10"/>
      <c r="D2208" s="10"/>
      <c r="E2208" s="10"/>
      <c r="F2208" s="10"/>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0"/>
      <c r="AH2208" s="10"/>
      <c r="AI2208" s="10"/>
      <c r="AJ2208" s="10"/>
      <c r="AK2208" s="10"/>
      <c r="AL2208" s="10"/>
    </row>
    <row r="2209" spans="1:38">
      <c r="A2209" s="10"/>
      <c r="B2209" s="10"/>
      <c r="C2209" s="10"/>
      <c r="D2209" s="10"/>
      <c r="E2209" s="10"/>
      <c r="F2209" s="10"/>
      <c r="G2209" s="10"/>
      <c r="H2209" s="10"/>
      <c r="I2209" s="10"/>
      <c r="J2209" s="10"/>
      <c r="K2209" s="10"/>
      <c r="L2209" s="10"/>
      <c r="M2209" s="10"/>
      <c r="N2209" s="10"/>
      <c r="O2209" s="10"/>
      <c r="P2209" s="10"/>
      <c r="Q2209" s="10"/>
      <c r="R2209" s="10"/>
      <c r="S2209" s="10"/>
      <c r="T2209" s="10"/>
      <c r="U2209" s="10"/>
      <c r="V2209" s="10"/>
      <c r="W2209" s="10"/>
      <c r="X2209" s="10"/>
      <c r="Y2209" s="10"/>
      <c r="Z2209" s="10"/>
      <c r="AA2209" s="10"/>
      <c r="AB2209" s="10"/>
      <c r="AC2209" s="10"/>
      <c r="AD2209" s="10"/>
      <c r="AE2209" s="10"/>
      <c r="AF2209" s="10"/>
      <c r="AG2209" s="10"/>
      <c r="AH2209" s="10"/>
      <c r="AI2209" s="10"/>
      <c r="AJ2209" s="10"/>
      <c r="AK2209" s="10"/>
      <c r="AL2209" s="10"/>
    </row>
    <row r="2210" spans="1:38">
      <c r="A2210" s="10"/>
      <c r="B2210" s="10"/>
      <c r="C2210" s="10"/>
      <c r="D2210" s="10"/>
      <c r="E2210" s="10"/>
      <c r="F2210" s="10"/>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0"/>
      <c r="AH2210" s="10"/>
      <c r="AI2210" s="10"/>
      <c r="AJ2210" s="10"/>
      <c r="AK2210" s="10"/>
      <c r="AL2210" s="10"/>
    </row>
    <row r="2211" spans="1:38">
      <c r="A2211" s="10"/>
      <c r="B2211" s="10"/>
      <c r="C2211" s="10"/>
      <c r="D2211" s="10"/>
      <c r="E2211" s="10"/>
      <c r="F2211" s="10"/>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0"/>
      <c r="AH2211" s="10"/>
      <c r="AI2211" s="10"/>
      <c r="AJ2211" s="10"/>
      <c r="AK2211" s="10"/>
      <c r="AL2211" s="10"/>
    </row>
    <row r="2212" spans="1:38">
      <c r="A2212" s="10"/>
      <c r="B2212" s="10"/>
      <c r="C2212" s="10"/>
      <c r="D2212" s="10"/>
      <c r="E2212" s="10"/>
      <c r="F2212" s="10"/>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0"/>
      <c r="AH2212" s="10"/>
      <c r="AI2212" s="10"/>
      <c r="AJ2212" s="10"/>
      <c r="AK2212" s="10"/>
      <c r="AL2212" s="10"/>
    </row>
    <row r="2213" spans="1:38">
      <c r="A2213" s="10"/>
      <c r="B2213" s="10"/>
      <c r="C2213" s="10"/>
      <c r="D2213" s="10"/>
      <c r="E2213" s="10"/>
      <c r="F2213" s="10"/>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0"/>
      <c r="AH2213" s="10"/>
      <c r="AI2213" s="10"/>
      <c r="AJ2213" s="10"/>
      <c r="AK2213" s="10"/>
      <c r="AL2213" s="10"/>
    </row>
    <row r="2214" spans="1:38">
      <c r="A2214" s="9"/>
      <c r="B2214" s="9"/>
      <c r="C2214" s="9"/>
      <c r="D2214" s="9"/>
      <c r="E2214" s="9"/>
      <c r="F2214" s="9"/>
      <c r="G2214" s="9"/>
      <c r="H2214" s="9"/>
      <c r="I2214" s="9"/>
      <c r="J2214" s="9"/>
      <c r="K2214" s="9"/>
      <c r="L2214" s="9"/>
      <c r="M2214" s="9"/>
      <c r="N2214" s="9"/>
      <c r="O2214" s="9"/>
      <c r="P2214" s="9"/>
      <c r="Q2214" s="9"/>
      <c r="R2214" s="9"/>
      <c r="S2214" s="9"/>
      <c r="T2214" s="9"/>
      <c r="U2214" s="9"/>
      <c r="V2214" s="9"/>
      <c r="W2214" s="9"/>
      <c r="X2214" s="9"/>
      <c r="Y2214" s="9"/>
      <c r="Z2214" s="9"/>
      <c r="AA2214" s="9"/>
      <c r="AB2214" s="9"/>
      <c r="AC2214" s="9"/>
      <c r="AD2214" s="9"/>
      <c r="AE2214" s="9"/>
      <c r="AF2214" s="9"/>
      <c r="AG2214" s="9"/>
      <c r="AH2214" s="9"/>
      <c r="AI2214" s="9"/>
      <c r="AJ2214" s="9"/>
      <c r="AK2214" s="9"/>
      <c r="AL2214" s="9"/>
    </row>
    <row r="2215" spans="1:38">
      <c r="A2215" s="11"/>
      <c r="B2215" s="11"/>
      <c r="C2215" s="11"/>
      <c r="D2215" s="11"/>
      <c r="E2215" s="11"/>
      <c r="F2215" s="11"/>
      <c r="G2215" s="11"/>
      <c r="H2215" s="11"/>
      <c r="I2215" s="11"/>
      <c r="J2215" s="11"/>
      <c r="K2215" s="11"/>
      <c r="L2215" s="11"/>
      <c r="M2215" s="11"/>
      <c r="N2215" s="11"/>
      <c r="O2215" s="11"/>
      <c r="P2215" s="11"/>
      <c r="Q2215" s="11"/>
      <c r="R2215" s="11"/>
      <c r="S2215" s="11"/>
      <c r="T2215" s="11"/>
      <c r="U2215" s="11"/>
      <c r="V2215" s="11"/>
      <c r="W2215" s="11"/>
      <c r="X2215" s="11"/>
      <c r="Y2215" s="11"/>
      <c r="Z2215" s="11"/>
      <c r="AA2215" s="11"/>
      <c r="AB2215" s="11"/>
      <c r="AC2215" s="11"/>
      <c r="AD2215" s="11"/>
      <c r="AE2215" s="11"/>
      <c r="AF2215" s="11"/>
      <c r="AG2215" s="11"/>
      <c r="AH2215" s="11"/>
      <c r="AI2215" s="11"/>
      <c r="AJ2215" s="11"/>
      <c r="AK2215" s="11"/>
      <c r="AL2215" s="11"/>
    </row>
    <row r="2227" spans="1:38">
      <c r="A2227" s="14"/>
      <c r="B2227" s="14"/>
      <c r="C2227" s="14"/>
      <c r="D2227" s="14"/>
      <c r="E2227" s="14"/>
      <c r="F2227" s="14"/>
      <c r="G2227" s="14"/>
      <c r="H2227" s="14"/>
      <c r="I2227" s="14"/>
      <c r="J2227" s="14"/>
      <c r="K2227" s="14"/>
      <c r="L2227" s="14"/>
      <c r="M2227" s="14"/>
      <c r="N2227" s="14"/>
      <c r="O2227" s="14"/>
      <c r="P2227" s="14"/>
      <c r="Q2227" s="14"/>
      <c r="R2227" s="14"/>
      <c r="S2227" s="14"/>
      <c r="T2227" s="14"/>
      <c r="U2227" s="14"/>
      <c r="V2227" s="14"/>
      <c r="W2227" s="14"/>
      <c r="X2227" s="14"/>
      <c r="Y2227" s="14"/>
      <c r="Z2227" s="14"/>
      <c r="AA2227" s="14"/>
      <c r="AB2227" s="14"/>
      <c r="AC2227" s="14"/>
      <c r="AD2227" s="14"/>
      <c r="AE2227" s="14"/>
      <c r="AF2227" s="14"/>
      <c r="AG2227" s="14"/>
      <c r="AH2227" s="14"/>
      <c r="AI2227" s="14"/>
      <c r="AJ2227" s="14"/>
      <c r="AK2227" s="14"/>
      <c r="AL2227" s="14"/>
    </row>
    <row r="2228" spans="1:38">
      <c r="A2228" s="9"/>
      <c r="B2228" s="9"/>
      <c r="C2228" s="9"/>
      <c r="D2228" s="9"/>
      <c r="E2228" s="9"/>
      <c r="F2228" s="9"/>
      <c r="G2228" s="9"/>
      <c r="H2228" s="9"/>
      <c r="I2228" s="9"/>
      <c r="J2228" s="9"/>
      <c r="K2228" s="9"/>
      <c r="L2228" s="9"/>
      <c r="M2228" s="9"/>
      <c r="N2228" s="9"/>
      <c r="O2228" s="9"/>
      <c r="P2228" s="9"/>
      <c r="Q2228" s="9"/>
      <c r="R2228" s="9"/>
      <c r="S2228" s="9"/>
      <c r="T2228" s="9"/>
      <c r="U2228" s="9"/>
      <c r="V2228" s="9"/>
      <c r="W2228" s="9"/>
      <c r="X2228" s="9"/>
      <c r="Y2228" s="9"/>
      <c r="Z2228" s="9"/>
      <c r="AA2228" s="9"/>
      <c r="AB2228" s="9"/>
      <c r="AC2228" s="9"/>
      <c r="AD2228" s="9"/>
      <c r="AE2228" s="9"/>
      <c r="AF2228" s="9"/>
      <c r="AG2228" s="9"/>
      <c r="AH2228" s="9"/>
      <c r="AI2228" s="9"/>
      <c r="AJ2228" s="9"/>
      <c r="AK2228" s="9"/>
      <c r="AL2228" s="9"/>
    </row>
    <row r="2229" spans="1:38">
      <c r="A2229" s="10"/>
      <c r="B2229" s="10"/>
      <c r="C2229" s="10"/>
      <c r="D2229" s="10"/>
      <c r="E2229" s="10"/>
      <c r="F2229" s="10"/>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0"/>
      <c r="AH2229" s="10"/>
      <c r="AI2229" s="10"/>
      <c r="AJ2229" s="10"/>
      <c r="AK2229" s="10"/>
      <c r="AL2229" s="10"/>
    </row>
    <row r="2230" spans="1:38">
      <c r="A2230" s="10"/>
      <c r="B2230" s="10"/>
      <c r="C2230" s="10"/>
      <c r="D2230" s="10"/>
      <c r="E2230" s="10"/>
      <c r="F2230" s="10"/>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0"/>
      <c r="AH2230" s="10"/>
      <c r="AI2230" s="10"/>
      <c r="AJ2230" s="10"/>
      <c r="AK2230" s="10"/>
      <c r="AL2230" s="10"/>
    </row>
    <row r="2231" spans="1:38">
      <c r="A2231" s="10"/>
      <c r="B2231" s="10"/>
      <c r="C2231" s="10"/>
      <c r="D2231" s="10"/>
      <c r="E2231" s="10"/>
      <c r="F2231" s="10"/>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0"/>
      <c r="AH2231" s="10"/>
      <c r="AI2231" s="10"/>
      <c r="AJ2231" s="10"/>
      <c r="AK2231" s="10"/>
      <c r="AL2231" s="10"/>
    </row>
    <row r="2232" spans="1:38">
      <c r="A2232" s="10"/>
      <c r="B2232" s="10"/>
      <c r="C2232" s="10"/>
      <c r="D2232" s="10"/>
      <c r="E2232" s="10"/>
      <c r="F2232" s="10"/>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0"/>
      <c r="AH2232" s="10"/>
      <c r="AI2232" s="10"/>
      <c r="AJ2232" s="10"/>
      <c r="AK2232" s="10"/>
      <c r="AL2232" s="10"/>
    </row>
    <row r="2233" spans="1:38">
      <c r="A2233" s="10"/>
      <c r="B2233" s="10"/>
      <c r="C2233" s="10"/>
      <c r="D2233" s="10"/>
      <c r="E2233" s="10"/>
      <c r="F2233" s="10"/>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0"/>
      <c r="AH2233" s="10"/>
      <c r="AI2233" s="10"/>
      <c r="AJ2233" s="10"/>
      <c r="AK2233" s="10"/>
      <c r="AL2233" s="10"/>
    </row>
    <row r="2234" spans="1:38">
      <c r="A2234" s="10"/>
      <c r="B2234" s="10"/>
      <c r="C2234" s="10"/>
      <c r="D2234" s="10"/>
      <c r="E2234" s="10"/>
      <c r="F2234" s="10"/>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0"/>
      <c r="AH2234" s="10"/>
      <c r="AI2234" s="10"/>
      <c r="AJ2234" s="10"/>
      <c r="AK2234" s="10"/>
      <c r="AL2234" s="10"/>
    </row>
    <row r="2235" spans="1:38">
      <c r="A2235" s="10"/>
      <c r="B2235" s="10"/>
      <c r="C2235" s="10"/>
      <c r="D2235" s="10"/>
      <c r="E2235" s="10"/>
      <c r="F2235" s="10"/>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0"/>
      <c r="AH2235" s="10"/>
      <c r="AI2235" s="10"/>
      <c r="AJ2235" s="10"/>
      <c r="AK2235" s="10"/>
      <c r="AL2235" s="10"/>
    </row>
    <row r="2236" spans="1:38">
      <c r="A2236" s="10"/>
      <c r="B2236" s="10"/>
      <c r="C2236" s="10"/>
      <c r="D2236" s="10"/>
      <c r="E2236" s="10"/>
      <c r="F2236" s="10"/>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0"/>
      <c r="AH2236" s="10"/>
      <c r="AI2236" s="10"/>
      <c r="AJ2236" s="10"/>
      <c r="AK2236" s="10"/>
      <c r="AL2236" s="10"/>
    </row>
    <row r="2237" spans="1:38">
      <c r="A2237" s="10"/>
      <c r="B2237" s="10"/>
      <c r="C2237" s="10"/>
      <c r="D2237" s="10"/>
      <c r="E2237" s="10"/>
      <c r="F2237" s="10"/>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0"/>
      <c r="AH2237" s="10"/>
      <c r="AI2237" s="10"/>
      <c r="AJ2237" s="10"/>
      <c r="AK2237" s="10"/>
      <c r="AL2237" s="10"/>
    </row>
    <row r="2238" spans="1:38">
      <c r="A2238" s="10"/>
      <c r="B2238" s="10"/>
      <c r="C2238" s="10"/>
      <c r="D2238" s="10"/>
      <c r="E2238" s="10"/>
      <c r="F2238" s="10"/>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0"/>
      <c r="AH2238" s="10"/>
      <c r="AI2238" s="10"/>
      <c r="AJ2238" s="10"/>
      <c r="AK2238" s="10"/>
      <c r="AL2238" s="10"/>
    </row>
    <row r="2239" spans="1:38">
      <c r="A2239" s="10"/>
      <c r="B2239" s="10"/>
      <c r="C2239" s="10"/>
      <c r="D2239" s="10"/>
      <c r="E2239" s="10"/>
      <c r="F2239" s="10"/>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0"/>
      <c r="AH2239" s="10"/>
      <c r="AI2239" s="10"/>
      <c r="AJ2239" s="10"/>
      <c r="AK2239" s="10"/>
      <c r="AL2239" s="10"/>
    </row>
    <row r="2240" spans="1:38">
      <c r="A2240" s="11"/>
      <c r="B2240" s="11"/>
      <c r="C2240" s="11"/>
      <c r="D2240" s="11"/>
      <c r="E2240" s="11"/>
      <c r="F2240" s="11"/>
      <c r="G2240" s="11"/>
      <c r="H2240" s="11"/>
      <c r="I2240" s="11"/>
      <c r="J2240" s="11"/>
      <c r="K2240" s="11"/>
      <c r="L2240" s="11"/>
      <c r="M2240" s="11"/>
      <c r="N2240" s="11"/>
      <c r="O2240" s="11"/>
      <c r="P2240" s="11"/>
      <c r="Q2240" s="11"/>
      <c r="R2240" s="11"/>
      <c r="S2240" s="11"/>
      <c r="T2240" s="11"/>
      <c r="U2240" s="11"/>
      <c r="V2240" s="11"/>
      <c r="W2240" s="11"/>
      <c r="X2240" s="11"/>
      <c r="Y2240" s="11"/>
      <c r="Z2240" s="11"/>
      <c r="AA2240" s="11"/>
      <c r="AB2240" s="11"/>
      <c r="AC2240" s="11"/>
      <c r="AD2240" s="11"/>
      <c r="AE2240" s="11"/>
      <c r="AF2240" s="11"/>
      <c r="AG2240" s="11"/>
      <c r="AH2240" s="11"/>
      <c r="AI2240" s="11"/>
      <c r="AJ2240" s="11"/>
      <c r="AK2240" s="11"/>
      <c r="AL2240" s="11"/>
    </row>
    <row r="2252" spans="1:38">
      <c r="A2252" s="14"/>
      <c r="B2252" s="14"/>
      <c r="C2252" s="14"/>
      <c r="D2252" s="14"/>
      <c r="E2252" s="14"/>
      <c r="F2252" s="14"/>
      <c r="G2252" s="14"/>
      <c r="H2252" s="14"/>
      <c r="I2252" s="14"/>
      <c r="J2252" s="14"/>
      <c r="K2252" s="14"/>
      <c r="L2252" s="14"/>
      <c r="M2252" s="14"/>
      <c r="N2252" s="14"/>
      <c r="O2252" s="14"/>
      <c r="P2252" s="14"/>
      <c r="Q2252" s="14"/>
      <c r="R2252" s="14"/>
      <c r="S2252" s="14"/>
      <c r="T2252" s="14"/>
      <c r="U2252" s="14"/>
      <c r="V2252" s="14"/>
      <c r="W2252" s="14"/>
      <c r="X2252" s="14"/>
      <c r="Y2252" s="14"/>
      <c r="Z2252" s="14"/>
      <c r="AA2252" s="14"/>
      <c r="AB2252" s="14"/>
      <c r="AC2252" s="14"/>
      <c r="AD2252" s="14"/>
      <c r="AE2252" s="14"/>
      <c r="AF2252" s="14"/>
      <c r="AG2252" s="14"/>
      <c r="AH2252" s="14"/>
      <c r="AI2252" s="14"/>
      <c r="AJ2252" s="14"/>
      <c r="AK2252" s="14"/>
      <c r="AL2252" s="14"/>
    </row>
    <row r="2253" spans="1:38">
      <c r="A2253" s="9"/>
      <c r="B2253" s="9"/>
      <c r="C2253" s="9"/>
      <c r="D2253" s="9"/>
      <c r="E2253" s="9"/>
      <c r="F2253" s="9"/>
      <c r="G2253" s="9"/>
      <c r="H2253" s="9"/>
      <c r="I2253" s="9"/>
      <c r="J2253" s="9"/>
      <c r="K2253" s="9"/>
      <c r="L2253" s="9"/>
      <c r="M2253" s="9"/>
      <c r="N2253" s="9"/>
      <c r="O2253" s="9"/>
      <c r="P2253" s="9"/>
      <c r="Q2253" s="9"/>
      <c r="R2253" s="9"/>
      <c r="S2253" s="9"/>
      <c r="T2253" s="9"/>
      <c r="U2253" s="9"/>
      <c r="V2253" s="9"/>
      <c r="W2253" s="9"/>
      <c r="X2253" s="9"/>
      <c r="Y2253" s="9"/>
      <c r="Z2253" s="9"/>
      <c r="AA2253" s="9"/>
      <c r="AB2253" s="9"/>
      <c r="AC2253" s="9"/>
      <c r="AD2253" s="9"/>
      <c r="AE2253" s="9"/>
      <c r="AF2253" s="9"/>
      <c r="AG2253" s="9"/>
      <c r="AH2253" s="9"/>
      <c r="AI2253" s="9"/>
      <c r="AJ2253" s="9"/>
      <c r="AK2253" s="9"/>
      <c r="AL2253" s="9"/>
    </row>
    <row r="2254" spans="1:38">
      <c r="A2254" s="10"/>
      <c r="B2254" s="10"/>
      <c r="C2254" s="10"/>
      <c r="D2254" s="10"/>
      <c r="E2254" s="10"/>
      <c r="F2254" s="10"/>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0"/>
      <c r="AH2254" s="10"/>
      <c r="AI2254" s="10"/>
      <c r="AJ2254" s="10"/>
      <c r="AK2254" s="10"/>
      <c r="AL2254" s="10"/>
    </row>
    <row r="2255" spans="1:38">
      <c r="A2255" s="10"/>
      <c r="B2255" s="10"/>
      <c r="C2255" s="10"/>
      <c r="D2255" s="10"/>
      <c r="E2255" s="10"/>
      <c r="F2255" s="10"/>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0"/>
      <c r="AH2255" s="10"/>
      <c r="AI2255" s="10"/>
      <c r="AJ2255" s="10"/>
      <c r="AK2255" s="10"/>
      <c r="AL2255" s="10"/>
    </row>
    <row r="2256" spans="1:38">
      <c r="A2256" s="10"/>
      <c r="B2256" s="10"/>
      <c r="C2256" s="10"/>
      <c r="D2256" s="10"/>
      <c r="E2256" s="10"/>
      <c r="F2256" s="10"/>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0"/>
      <c r="AH2256" s="10"/>
      <c r="AI2256" s="10"/>
      <c r="AJ2256" s="10"/>
      <c r="AK2256" s="10"/>
      <c r="AL2256" s="10"/>
    </row>
    <row r="2257" spans="1:38">
      <c r="A2257" s="10"/>
      <c r="B2257" s="10"/>
      <c r="C2257" s="10"/>
      <c r="D2257" s="10"/>
      <c r="E2257" s="10"/>
      <c r="F2257" s="10"/>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0"/>
      <c r="AH2257" s="10"/>
      <c r="AI2257" s="10"/>
      <c r="AJ2257" s="10"/>
      <c r="AK2257" s="10"/>
      <c r="AL2257" s="10"/>
    </row>
    <row r="2258" spans="1:38">
      <c r="A2258" s="10"/>
      <c r="B2258" s="10"/>
      <c r="C2258" s="10"/>
      <c r="D2258" s="10"/>
      <c r="E2258" s="10"/>
      <c r="F2258" s="10"/>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0"/>
      <c r="AH2258" s="10"/>
      <c r="AI2258" s="10"/>
      <c r="AJ2258" s="10"/>
      <c r="AK2258" s="10"/>
      <c r="AL2258" s="10"/>
    </row>
    <row r="2259" spans="1:38">
      <c r="A2259" s="10"/>
      <c r="B2259" s="10"/>
      <c r="C2259" s="10"/>
      <c r="D2259" s="10"/>
      <c r="E2259" s="10"/>
      <c r="F2259" s="10"/>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0"/>
      <c r="AH2259" s="10"/>
      <c r="AI2259" s="10"/>
      <c r="AJ2259" s="10"/>
      <c r="AK2259" s="10"/>
      <c r="AL2259" s="10"/>
    </row>
    <row r="2260" spans="1:38">
      <c r="A2260" s="10"/>
      <c r="B2260" s="10"/>
      <c r="C2260" s="10"/>
      <c r="D2260" s="10"/>
      <c r="E2260" s="10"/>
      <c r="F2260" s="10"/>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0"/>
      <c r="AH2260" s="10"/>
      <c r="AI2260" s="10"/>
      <c r="AJ2260" s="10"/>
      <c r="AK2260" s="10"/>
      <c r="AL2260" s="10"/>
    </row>
    <row r="2261" spans="1:38">
      <c r="A2261" s="10"/>
      <c r="B2261" s="10"/>
      <c r="C2261" s="10"/>
      <c r="D2261" s="10"/>
      <c r="E2261" s="10"/>
      <c r="F2261" s="10"/>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0"/>
      <c r="AH2261" s="10"/>
      <c r="AI2261" s="10"/>
      <c r="AJ2261" s="10"/>
      <c r="AK2261" s="10"/>
      <c r="AL2261" s="10"/>
    </row>
    <row r="2262" spans="1:38">
      <c r="A2262" s="10"/>
      <c r="B2262" s="10"/>
      <c r="C2262" s="10"/>
      <c r="D2262" s="10"/>
      <c r="E2262" s="10"/>
      <c r="F2262" s="10"/>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0"/>
      <c r="AH2262" s="10"/>
      <c r="AI2262" s="10"/>
      <c r="AJ2262" s="10"/>
      <c r="AK2262" s="10"/>
      <c r="AL2262" s="10"/>
    </row>
    <row r="2263" spans="1:38">
      <c r="A2263" s="10"/>
      <c r="B2263" s="10"/>
      <c r="C2263" s="10"/>
      <c r="D2263" s="10"/>
      <c r="E2263" s="10"/>
      <c r="F2263" s="10"/>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0"/>
      <c r="AH2263" s="10"/>
      <c r="AI2263" s="10"/>
      <c r="AJ2263" s="10"/>
      <c r="AK2263" s="10"/>
      <c r="AL2263" s="10"/>
    </row>
    <row r="2264" spans="1:38">
      <c r="A2264" s="9"/>
      <c r="B2264" s="9"/>
      <c r="C2264" s="9"/>
      <c r="D2264" s="9"/>
      <c r="E2264" s="9"/>
      <c r="F2264" s="9"/>
      <c r="G2264" s="9"/>
      <c r="H2264" s="9"/>
      <c r="I2264" s="9"/>
      <c r="J2264" s="9"/>
      <c r="K2264" s="9"/>
      <c r="L2264" s="9"/>
      <c r="M2264" s="9"/>
      <c r="N2264" s="9"/>
      <c r="O2264" s="9"/>
      <c r="P2264" s="9"/>
      <c r="Q2264" s="9"/>
      <c r="R2264" s="9"/>
      <c r="S2264" s="9"/>
      <c r="T2264" s="9"/>
      <c r="U2264" s="9"/>
      <c r="V2264" s="9"/>
      <c r="W2264" s="9"/>
      <c r="X2264" s="9"/>
      <c r="Y2264" s="9"/>
      <c r="Z2264" s="9"/>
      <c r="AA2264" s="9"/>
      <c r="AB2264" s="9"/>
      <c r="AC2264" s="9"/>
      <c r="AD2264" s="9"/>
      <c r="AE2264" s="9"/>
      <c r="AF2264" s="9"/>
      <c r="AG2264" s="9"/>
      <c r="AH2264" s="9"/>
      <c r="AI2264" s="9"/>
      <c r="AJ2264" s="9"/>
      <c r="AK2264" s="9"/>
      <c r="AL2264" s="9"/>
    </row>
    <row r="2265" spans="1:38">
      <c r="A2265" s="11"/>
      <c r="B2265" s="11"/>
      <c r="C2265" s="11"/>
      <c r="D2265" s="11"/>
      <c r="E2265" s="11"/>
      <c r="F2265" s="11"/>
      <c r="G2265" s="11"/>
      <c r="H2265" s="11"/>
      <c r="I2265" s="11"/>
      <c r="J2265" s="11"/>
      <c r="K2265" s="11"/>
      <c r="L2265" s="11"/>
      <c r="M2265" s="11"/>
      <c r="N2265" s="11"/>
      <c r="O2265" s="11"/>
      <c r="P2265" s="11"/>
      <c r="Q2265" s="11"/>
      <c r="R2265" s="11"/>
      <c r="S2265" s="11"/>
      <c r="T2265" s="11"/>
      <c r="U2265" s="11"/>
      <c r="V2265" s="11"/>
      <c r="W2265" s="11"/>
      <c r="X2265" s="11"/>
      <c r="Y2265" s="11"/>
      <c r="Z2265" s="11"/>
      <c r="AA2265" s="11"/>
      <c r="AB2265" s="11"/>
      <c r="AC2265" s="11"/>
      <c r="AD2265" s="11"/>
      <c r="AE2265" s="11"/>
      <c r="AF2265" s="11"/>
      <c r="AG2265" s="11"/>
      <c r="AH2265" s="11"/>
      <c r="AI2265" s="11"/>
      <c r="AJ2265" s="11"/>
      <c r="AK2265" s="11"/>
      <c r="AL2265" s="11"/>
    </row>
    <row r="2278" spans="1:38">
      <c r="A2278" s="14"/>
      <c r="B2278" s="14"/>
      <c r="C2278" s="14"/>
      <c r="D2278" s="14"/>
      <c r="E2278" s="14"/>
      <c r="F2278" s="14"/>
      <c r="G2278" s="14"/>
      <c r="H2278" s="14"/>
      <c r="I2278" s="14"/>
      <c r="J2278" s="14"/>
      <c r="K2278" s="14"/>
      <c r="L2278" s="14"/>
      <c r="M2278" s="14"/>
      <c r="N2278" s="14"/>
      <c r="O2278" s="14"/>
      <c r="P2278" s="14"/>
      <c r="Q2278" s="14"/>
      <c r="R2278" s="14"/>
      <c r="S2278" s="14"/>
      <c r="T2278" s="14"/>
      <c r="U2278" s="14"/>
      <c r="V2278" s="14"/>
      <c r="W2278" s="14"/>
      <c r="X2278" s="14"/>
      <c r="Y2278" s="14"/>
      <c r="Z2278" s="14"/>
      <c r="AA2278" s="14"/>
      <c r="AB2278" s="14"/>
      <c r="AC2278" s="14"/>
      <c r="AD2278" s="14"/>
      <c r="AE2278" s="14"/>
      <c r="AF2278" s="14"/>
      <c r="AG2278" s="14"/>
      <c r="AH2278" s="14"/>
      <c r="AI2278" s="14"/>
      <c r="AJ2278" s="14"/>
      <c r="AK2278" s="14"/>
      <c r="AL2278" s="14"/>
    </row>
    <row r="2279" spans="1:38">
      <c r="A2279" s="9"/>
      <c r="B2279" s="9"/>
      <c r="C2279" s="9"/>
      <c r="D2279" s="9"/>
      <c r="E2279" s="9"/>
      <c r="F2279" s="9"/>
      <c r="G2279" s="9"/>
      <c r="H2279" s="9"/>
      <c r="I2279" s="9"/>
      <c r="J2279" s="9"/>
      <c r="K2279" s="9"/>
      <c r="L2279" s="9"/>
      <c r="M2279" s="9"/>
      <c r="N2279" s="9"/>
      <c r="O2279" s="9"/>
      <c r="P2279" s="9"/>
      <c r="Q2279" s="9"/>
      <c r="R2279" s="9"/>
      <c r="S2279" s="9"/>
      <c r="T2279" s="9"/>
      <c r="U2279" s="9"/>
      <c r="V2279" s="9"/>
      <c r="W2279" s="9"/>
      <c r="X2279" s="9"/>
      <c r="Y2279" s="9"/>
      <c r="Z2279" s="9"/>
      <c r="AA2279" s="9"/>
      <c r="AB2279" s="9"/>
      <c r="AC2279" s="9"/>
      <c r="AD2279" s="9"/>
      <c r="AE2279" s="9"/>
      <c r="AF2279" s="9"/>
      <c r="AG2279" s="9"/>
      <c r="AH2279" s="9"/>
      <c r="AI2279" s="9"/>
      <c r="AJ2279" s="9"/>
      <c r="AK2279" s="9"/>
      <c r="AL2279" s="9"/>
    </row>
    <row r="2280" spans="1:38">
      <c r="A2280" s="10"/>
      <c r="B2280" s="10"/>
      <c r="C2280" s="10"/>
      <c r="D2280" s="10"/>
      <c r="E2280" s="10"/>
      <c r="F2280" s="10"/>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0"/>
      <c r="AH2280" s="10"/>
      <c r="AI2280" s="10"/>
      <c r="AJ2280" s="10"/>
      <c r="AK2280" s="10"/>
      <c r="AL2280" s="10"/>
    </row>
    <row r="2281" spans="1:38">
      <c r="A2281" s="10"/>
      <c r="B2281" s="10"/>
      <c r="C2281" s="10"/>
      <c r="D2281" s="10"/>
      <c r="E2281" s="10"/>
      <c r="F2281" s="10"/>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0"/>
      <c r="AH2281" s="10"/>
      <c r="AI2281" s="10"/>
      <c r="AJ2281" s="10"/>
      <c r="AK2281" s="10"/>
      <c r="AL2281" s="10"/>
    </row>
    <row r="2282" spans="1:38">
      <c r="A2282" s="10"/>
      <c r="B2282" s="10"/>
      <c r="C2282" s="10"/>
      <c r="D2282" s="10"/>
      <c r="E2282" s="10"/>
      <c r="F2282" s="10"/>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0"/>
      <c r="AH2282" s="10"/>
      <c r="AI2282" s="10"/>
      <c r="AJ2282" s="10"/>
      <c r="AK2282" s="10"/>
      <c r="AL2282" s="10"/>
    </row>
    <row r="2283" spans="1:38">
      <c r="A2283" s="10"/>
      <c r="B2283" s="10"/>
      <c r="C2283" s="10"/>
      <c r="D2283" s="10"/>
      <c r="E2283" s="10"/>
      <c r="F2283" s="10"/>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0"/>
      <c r="AH2283" s="10"/>
      <c r="AI2283" s="10"/>
      <c r="AJ2283" s="10"/>
      <c r="AK2283" s="10"/>
      <c r="AL2283" s="10"/>
    </row>
    <row r="2284" spans="1:38">
      <c r="A2284" s="10"/>
      <c r="B2284" s="10"/>
      <c r="C2284" s="10"/>
      <c r="D2284" s="10"/>
      <c r="E2284" s="10"/>
      <c r="F2284" s="10"/>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0"/>
      <c r="AH2284" s="10"/>
      <c r="AI2284" s="10"/>
      <c r="AJ2284" s="10"/>
      <c r="AK2284" s="10"/>
      <c r="AL2284" s="10"/>
    </row>
    <row r="2285" spans="1:38">
      <c r="A2285" s="10"/>
      <c r="B2285" s="10"/>
      <c r="C2285" s="10"/>
      <c r="D2285" s="10"/>
      <c r="E2285" s="10"/>
      <c r="F2285" s="10"/>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0"/>
      <c r="AH2285" s="10"/>
      <c r="AI2285" s="10"/>
      <c r="AJ2285" s="10"/>
      <c r="AK2285" s="10"/>
      <c r="AL2285" s="10"/>
    </row>
    <row r="2286" spans="1:38">
      <c r="A2286" s="10"/>
      <c r="B2286" s="10"/>
      <c r="C2286" s="10"/>
      <c r="D2286" s="10"/>
      <c r="E2286" s="10"/>
      <c r="F2286" s="10"/>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0"/>
      <c r="AH2286" s="10"/>
      <c r="AI2286" s="10"/>
      <c r="AJ2286" s="10"/>
      <c r="AK2286" s="10"/>
      <c r="AL2286" s="10"/>
    </row>
    <row r="2287" spans="1:38">
      <c r="A2287" s="10"/>
      <c r="B2287" s="10"/>
      <c r="C2287" s="10"/>
      <c r="D2287" s="10"/>
      <c r="E2287" s="10"/>
      <c r="F2287" s="10"/>
      <c r="G2287" s="10"/>
      <c r="H2287" s="10"/>
      <c r="I2287" s="10"/>
      <c r="J2287" s="10"/>
      <c r="K2287" s="10"/>
      <c r="L2287" s="10"/>
      <c r="M2287" s="10"/>
      <c r="N2287" s="10"/>
      <c r="O2287" s="10"/>
      <c r="P2287" s="10"/>
      <c r="Q2287" s="10"/>
      <c r="R2287" s="10"/>
      <c r="S2287" s="10"/>
      <c r="T2287" s="10"/>
      <c r="U2287" s="10"/>
      <c r="V2287" s="10"/>
      <c r="W2287" s="10"/>
      <c r="X2287" s="10"/>
      <c r="Y2287" s="10"/>
      <c r="Z2287" s="10"/>
      <c r="AA2287" s="10"/>
      <c r="AB2287" s="10"/>
      <c r="AC2287" s="10"/>
      <c r="AD2287" s="10"/>
      <c r="AE2287" s="10"/>
      <c r="AF2287" s="10"/>
      <c r="AG2287" s="10"/>
      <c r="AH2287" s="10"/>
      <c r="AI2287" s="10"/>
      <c r="AJ2287" s="10"/>
      <c r="AK2287" s="10"/>
      <c r="AL2287" s="10"/>
    </row>
    <row r="2288" spans="1:38">
      <c r="A2288" s="10"/>
      <c r="B2288" s="10"/>
      <c r="C2288" s="10"/>
      <c r="D2288" s="10"/>
      <c r="E2288" s="10"/>
      <c r="F2288" s="10"/>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0"/>
      <c r="AH2288" s="10"/>
      <c r="AI2288" s="10"/>
      <c r="AJ2288" s="10"/>
      <c r="AK2288" s="10"/>
      <c r="AL2288" s="10"/>
    </row>
    <row r="2289" spans="1:38">
      <c r="A2289" s="10"/>
      <c r="B2289" s="10"/>
      <c r="C2289" s="10"/>
      <c r="D2289" s="10"/>
      <c r="E2289" s="10"/>
      <c r="F2289" s="10"/>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0"/>
      <c r="AH2289" s="10"/>
      <c r="AI2289" s="10"/>
      <c r="AJ2289" s="10"/>
      <c r="AK2289" s="10"/>
      <c r="AL2289" s="10"/>
    </row>
    <row r="2290" spans="1:38">
      <c r="A2290" s="9"/>
      <c r="B2290" s="9"/>
      <c r="C2290" s="9"/>
      <c r="D2290" s="9"/>
      <c r="E2290" s="9"/>
      <c r="F2290" s="9"/>
      <c r="G2290" s="9"/>
      <c r="H2290" s="9"/>
      <c r="I2290" s="9"/>
      <c r="J2290" s="9"/>
      <c r="K2290" s="9"/>
      <c r="L2290" s="9"/>
      <c r="M2290" s="9"/>
      <c r="N2290" s="9"/>
      <c r="O2290" s="9"/>
      <c r="P2290" s="9"/>
      <c r="Q2290" s="9"/>
      <c r="R2290" s="9"/>
      <c r="S2290" s="9"/>
      <c r="T2290" s="9"/>
      <c r="U2290" s="9"/>
      <c r="V2290" s="9"/>
      <c r="W2290" s="9"/>
      <c r="X2290" s="9"/>
      <c r="Y2290" s="9"/>
      <c r="Z2290" s="9"/>
      <c r="AA2290" s="9"/>
      <c r="AB2290" s="9"/>
      <c r="AC2290" s="9"/>
      <c r="AD2290" s="9"/>
      <c r="AE2290" s="9"/>
      <c r="AF2290" s="9"/>
      <c r="AG2290" s="9"/>
      <c r="AH2290" s="9"/>
      <c r="AI2290" s="9"/>
      <c r="AJ2290" s="9"/>
      <c r="AK2290" s="9"/>
      <c r="AL2290" s="9"/>
    </row>
    <row r="2291" spans="1:38">
      <c r="A2291" s="11"/>
      <c r="B2291" s="11"/>
      <c r="C2291" s="11"/>
      <c r="D2291" s="11"/>
      <c r="E2291" s="11"/>
      <c r="F2291" s="11"/>
      <c r="G2291" s="11"/>
      <c r="H2291" s="11"/>
      <c r="I2291" s="11"/>
      <c r="J2291" s="11"/>
      <c r="K2291" s="11"/>
      <c r="L2291" s="11"/>
      <c r="M2291" s="11"/>
      <c r="N2291" s="11"/>
      <c r="O2291" s="11"/>
      <c r="P2291" s="11"/>
      <c r="Q2291" s="11"/>
      <c r="R2291" s="11"/>
      <c r="S2291" s="11"/>
      <c r="T2291" s="11"/>
      <c r="U2291" s="11"/>
      <c r="V2291" s="11"/>
      <c r="W2291" s="11"/>
      <c r="X2291" s="11"/>
      <c r="Y2291" s="11"/>
      <c r="Z2291" s="11"/>
      <c r="AA2291" s="11"/>
      <c r="AB2291" s="11"/>
      <c r="AC2291" s="11"/>
      <c r="AD2291" s="11"/>
      <c r="AE2291" s="11"/>
      <c r="AF2291" s="11"/>
      <c r="AG2291" s="11"/>
      <c r="AH2291" s="11"/>
      <c r="AI2291" s="11"/>
      <c r="AJ2291" s="11"/>
      <c r="AK2291" s="11"/>
      <c r="AL2291" s="11"/>
    </row>
    <row r="2300" spans="1:38">
      <c r="A2300" s="14"/>
      <c r="B2300" s="14"/>
      <c r="C2300" s="14"/>
      <c r="D2300" s="14"/>
      <c r="E2300" s="14"/>
      <c r="F2300" s="14"/>
      <c r="G2300" s="14"/>
      <c r="H2300" s="14"/>
      <c r="I2300" s="14"/>
      <c r="J2300" s="14"/>
      <c r="K2300" s="14"/>
      <c r="L2300" s="14"/>
      <c r="M2300" s="14"/>
      <c r="N2300" s="14"/>
      <c r="O2300" s="14"/>
      <c r="P2300" s="14"/>
      <c r="Q2300" s="14"/>
      <c r="R2300" s="14"/>
      <c r="S2300" s="14"/>
      <c r="T2300" s="14"/>
      <c r="U2300" s="14"/>
      <c r="V2300" s="14"/>
      <c r="W2300" s="14"/>
      <c r="X2300" s="14"/>
      <c r="Y2300" s="14"/>
      <c r="Z2300" s="14"/>
      <c r="AA2300" s="14"/>
      <c r="AB2300" s="14"/>
      <c r="AC2300" s="14"/>
      <c r="AD2300" s="14"/>
      <c r="AE2300" s="14"/>
      <c r="AF2300" s="14"/>
      <c r="AG2300" s="14"/>
      <c r="AH2300" s="14"/>
      <c r="AI2300" s="14"/>
      <c r="AJ2300" s="14"/>
      <c r="AK2300" s="14"/>
      <c r="AL2300" s="14"/>
    </row>
    <row r="2301" spans="1:38">
      <c r="A2301" s="9"/>
      <c r="B2301" s="9"/>
      <c r="C2301" s="9"/>
      <c r="D2301" s="9"/>
      <c r="E2301" s="9"/>
      <c r="F2301" s="9"/>
      <c r="G2301" s="9"/>
      <c r="H2301" s="9"/>
      <c r="I2301" s="9"/>
      <c r="J2301" s="9"/>
      <c r="K2301" s="9"/>
      <c r="L2301" s="9"/>
      <c r="M2301" s="9"/>
      <c r="N2301" s="9"/>
      <c r="O2301" s="9"/>
      <c r="P2301" s="9"/>
      <c r="Q2301" s="9"/>
      <c r="R2301" s="9"/>
      <c r="S2301" s="9"/>
      <c r="T2301" s="9"/>
      <c r="U2301" s="9"/>
      <c r="V2301" s="9"/>
      <c r="W2301" s="9"/>
      <c r="X2301" s="9"/>
      <c r="Y2301" s="9"/>
      <c r="Z2301" s="9"/>
      <c r="AA2301" s="9"/>
      <c r="AB2301" s="9"/>
      <c r="AC2301" s="9"/>
      <c r="AD2301" s="9"/>
      <c r="AE2301" s="9"/>
      <c r="AF2301" s="9"/>
      <c r="AG2301" s="9"/>
      <c r="AH2301" s="9"/>
      <c r="AI2301" s="9"/>
      <c r="AJ2301" s="9"/>
      <c r="AK2301" s="9"/>
      <c r="AL2301" s="9"/>
    </row>
    <row r="2302" spans="1:38">
      <c r="A2302" s="10"/>
      <c r="B2302" s="10"/>
      <c r="C2302" s="10"/>
      <c r="D2302" s="10"/>
      <c r="E2302" s="10"/>
      <c r="F2302" s="10"/>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0"/>
      <c r="AH2302" s="10"/>
      <c r="AI2302" s="10"/>
      <c r="AJ2302" s="10"/>
      <c r="AK2302" s="10"/>
      <c r="AL2302" s="10"/>
    </row>
    <row r="2303" spans="1:38">
      <c r="A2303" s="10"/>
      <c r="B2303" s="10"/>
      <c r="C2303" s="10"/>
      <c r="D2303" s="10"/>
      <c r="E2303" s="10"/>
      <c r="F2303" s="10"/>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0"/>
      <c r="AH2303" s="10"/>
      <c r="AI2303" s="10"/>
      <c r="AJ2303" s="10"/>
      <c r="AK2303" s="10"/>
      <c r="AL2303" s="10"/>
    </row>
    <row r="2304" spans="1:38">
      <c r="A2304" s="10"/>
      <c r="B2304" s="10"/>
      <c r="C2304" s="10"/>
      <c r="D2304" s="10"/>
      <c r="E2304" s="10"/>
      <c r="F2304" s="10"/>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0"/>
      <c r="AH2304" s="10"/>
      <c r="AI2304" s="10"/>
      <c r="AJ2304" s="10"/>
      <c r="AK2304" s="10"/>
      <c r="AL2304" s="10"/>
    </row>
    <row r="2305" spans="1:38">
      <c r="A2305" s="10"/>
      <c r="B2305" s="10"/>
      <c r="C2305" s="10"/>
      <c r="D2305" s="10"/>
      <c r="E2305" s="10"/>
      <c r="F2305" s="10"/>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0"/>
      <c r="AH2305" s="10"/>
      <c r="AI2305" s="10"/>
      <c r="AJ2305" s="10"/>
      <c r="AK2305" s="10"/>
      <c r="AL2305" s="10"/>
    </row>
    <row r="2306" spans="1:38">
      <c r="A2306" s="10"/>
      <c r="B2306" s="10"/>
      <c r="C2306" s="10"/>
      <c r="D2306" s="10"/>
      <c r="E2306" s="10"/>
      <c r="F2306" s="10"/>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0"/>
      <c r="AH2306" s="10"/>
      <c r="AI2306" s="10"/>
      <c r="AJ2306" s="10"/>
      <c r="AK2306" s="10"/>
      <c r="AL2306" s="10"/>
    </row>
    <row r="2307" spans="1:38">
      <c r="A2307" s="10"/>
      <c r="B2307" s="10"/>
      <c r="C2307" s="10"/>
      <c r="D2307" s="10"/>
      <c r="E2307" s="10"/>
      <c r="F2307" s="10"/>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0"/>
      <c r="AH2307" s="10"/>
      <c r="AI2307" s="10"/>
      <c r="AJ2307" s="10"/>
      <c r="AK2307" s="10"/>
      <c r="AL2307" s="10"/>
    </row>
    <row r="2308" spans="1:38">
      <c r="A2308" s="10"/>
      <c r="B2308" s="10"/>
      <c r="C2308" s="10"/>
      <c r="D2308" s="10"/>
      <c r="E2308" s="10"/>
      <c r="F2308" s="10"/>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0"/>
      <c r="AH2308" s="10"/>
      <c r="AI2308" s="10"/>
      <c r="AJ2308" s="10"/>
      <c r="AK2308" s="10"/>
      <c r="AL2308" s="10"/>
    </row>
    <row r="2309" spans="1:38">
      <c r="A2309" s="10"/>
      <c r="B2309" s="10"/>
      <c r="C2309" s="10"/>
      <c r="D2309" s="10"/>
      <c r="E2309" s="10"/>
      <c r="F2309" s="10"/>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0"/>
      <c r="AH2309" s="10"/>
      <c r="AI2309" s="10"/>
      <c r="AJ2309" s="10"/>
      <c r="AK2309" s="10"/>
      <c r="AL2309" s="10"/>
    </row>
    <row r="2310" spans="1:38">
      <c r="A2310" s="10"/>
      <c r="B2310" s="10"/>
      <c r="C2310" s="10"/>
      <c r="D2310" s="10"/>
      <c r="E2310" s="10"/>
      <c r="F2310" s="10"/>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0"/>
      <c r="AH2310" s="10"/>
      <c r="AI2310" s="10"/>
      <c r="AJ2310" s="10"/>
      <c r="AK2310" s="10"/>
      <c r="AL2310" s="10"/>
    </row>
    <row r="2311" spans="1:38">
      <c r="A2311" s="10"/>
      <c r="B2311" s="10"/>
      <c r="C2311" s="10"/>
      <c r="D2311" s="10"/>
      <c r="E2311" s="10"/>
      <c r="F2311" s="10"/>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0"/>
      <c r="AH2311" s="10"/>
      <c r="AI2311" s="10"/>
      <c r="AJ2311" s="10"/>
      <c r="AK2311" s="10"/>
      <c r="AL2311" s="10"/>
    </row>
    <row r="2312" spans="1:38">
      <c r="A2312" s="9"/>
      <c r="B2312" s="9"/>
      <c r="C2312" s="9"/>
      <c r="D2312" s="9"/>
      <c r="E2312" s="9"/>
      <c r="F2312" s="9"/>
      <c r="G2312" s="9"/>
      <c r="H2312" s="9"/>
      <c r="I2312" s="9"/>
      <c r="J2312" s="9"/>
      <c r="K2312" s="9"/>
      <c r="L2312" s="9"/>
      <c r="M2312" s="9"/>
      <c r="N2312" s="9"/>
      <c r="O2312" s="9"/>
      <c r="P2312" s="9"/>
      <c r="Q2312" s="9"/>
      <c r="R2312" s="9"/>
      <c r="S2312" s="9"/>
      <c r="T2312" s="9"/>
      <c r="U2312" s="9"/>
      <c r="V2312" s="9"/>
      <c r="W2312" s="9"/>
      <c r="X2312" s="9"/>
      <c r="Y2312" s="9"/>
      <c r="Z2312" s="9"/>
      <c r="AA2312" s="9"/>
      <c r="AB2312" s="9"/>
      <c r="AC2312" s="9"/>
      <c r="AD2312" s="9"/>
      <c r="AE2312" s="9"/>
      <c r="AF2312" s="9"/>
      <c r="AG2312" s="9"/>
      <c r="AH2312" s="9"/>
      <c r="AI2312" s="9"/>
      <c r="AJ2312" s="9"/>
      <c r="AK2312" s="9"/>
      <c r="AL2312" s="9"/>
    </row>
    <row r="2313" spans="1:38">
      <c r="A2313" s="11"/>
      <c r="B2313" s="11"/>
      <c r="C2313" s="11"/>
      <c r="D2313" s="11"/>
      <c r="E2313" s="11"/>
      <c r="F2313" s="11"/>
      <c r="G2313" s="11"/>
      <c r="H2313" s="11"/>
      <c r="I2313" s="11"/>
      <c r="J2313" s="11"/>
      <c r="K2313" s="11"/>
      <c r="L2313" s="11"/>
      <c r="M2313" s="11"/>
      <c r="N2313" s="11"/>
      <c r="O2313" s="11"/>
      <c r="P2313" s="11"/>
      <c r="Q2313" s="11"/>
      <c r="R2313" s="11"/>
      <c r="S2313" s="11"/>
      <c r="T2313" s="11"/>
      <c r="U2313" s="11"/>
      <c r="V2313" s="11"/>
      <c r="W2313" s="11"/>
      <c r="X2313" s="11"/>
      <c r="Y2313" s="11"/>
      <c r="Z2313" s="11"/>
      <c r="AA2313" s="11"/>
      <c r="AB2313" s="11"/>
      <c r="AC2313" s="11"/>
      <c r="AD2313" s="11"/>
      <c r="AE2313" s="11"/>
      <c r="AF2313" s="11"/>
      <c r="AG2313" s="11"/>
      <c r="AH2313" s="11"/>
      <c r="AI2313" s="11"/>
      <c r="AJ2313" s="11"/>
      <c r="AK2313" s="11"/>
      <c r="AL2313" s="11"/>
    </row>
    <row r="2328" spans="1:38">
      <c r="A2328" s="14"/>
      <c r="B2328" s="14"/>
      <c r="C2328" s="14"/>
      <c r="D2328" s="14"/>
      <c r="E2328" s="14"/>
      <c r="F2328" s="14"/>
      <c r="G2328" s="14"/>
      <c r="H2328" s="14"/>
      <c r="I2328" s="14"/>
      <c r="J2328" s="14"/>
      <c r="K2328" s="14"/>
      <c r="L2328" s="14"/>
      <c r="M2328" s="14"/>
      <c r="N2328" s="14"/>
      <c r="O2328" s="14"/>
      <c r="P2328" s="14"/>
      <c r="Q2328" s="14"/>
      <c r="R2328" s="14"/>
      <c r="S2328" s="14"/>
      <c r="T2328" s="14"/>
      <c r="U2328" s="14"/>
      <c r="V2328" s="14"/>
      <c r="W2328" s="14"/>
      <c r="X2328" s="14"/>
      <c r="Y2328" s="14"/>
      <c r="Z2328" s="14"/>
      <c r="AA2328" s="14"/>
      <c r="AB2328" s="14"/>
      <c r="AC2328" s="14"/>
      <c r="AD2328" s="14"/>
      <c r="AE2328" s="14"/>
      <c r="AF2328" s="14"/>
      <c r="AG2328" s="14"/>
      <c r="AH2328" s="14"/>
      <c r="AI2328" s="14"/>
      <c r="AJ2328" s="14"/>
      <c r="AK2328" s="14"/>
      <c r="AL2328" s="14"/>
    </row>
    <row r="2329" spans="1:38">
      <c r="A2329" s="9"/>
      <c r="B2329" s="9"/>
      <c r="C2329" s="9"/>
      <c r="D2329" s="9"/>
      <c r="E2329" s="9"/>
      <c r="F2329" s="9"/>
      <c r="G2329" s="9"/>
      <c r="H2329" s="9"/>
      <c r="I2329" s="9"/>
      <c r="J2329" s="9"/>
      <c r="K2329" s="9"/>
      <c r="L2329" s="9"/>
      <c r="M2329" s="9"/>
      <c r="N2329" s="9"/>
      <c r="O2329" s="9"/>
      <c r="P2329" s="9"/>
      <c r="Q2329" s="9"/>
      <c r="R2329" s="9"/>
      <c r="S2329" s="9"/>
      <c r="T2329" s="9"/>
      <c r="U2329" s="9"/>
      <c r="V2329" s="9"/>
      <c r="W2329" s="9"/>
      <c r="X2329" s="9"/>
      <c r="Y2329" s="9"/>
      <c r="Z2329" s="9"/>
      <c r="AA2329" s="9"/>
      <c r="AB2329" s="9"/>
      <c r="AC2329" s="9"/>
      <c r="AD2329" s="9"/>
      <c r="AE2329" s="9"/>
      <c r="AF2329" s="9"/>
      <c r="AG2329" s="9"/>
      <c r="AH2329" s="9"/>
      <c r="AI2329" s="9"/>
      <c r="AJ2329" s="9"/>
      <c r="AK2329" s="9"/>
      <c r="AL2329" s="9"/>
    </row>
    <row r="2330" spans="1:38">
      <c r="A2330" s="10"/>
      <c r="B2330" s="10"/>
      <c r="C2330" s="10"/>
      <c r="D2330" s="10"/>
      <c r="E2330" s="10"/>
      <c r="F2330" s="10"/>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0"/>
      <c r="AH2330" s="10"/>
      <c r="AI2330" s="10"/>
      <c r="AJ2330" s="10"/>
      <c r="AK2330" s="10"/>
      <c r="AL2330" s="10"/>
    </row>
    <row r="2331" spans="1:38">
      <c r="A2331" s="10"/>
      <c r="B2331" s="10"/>
      <c r="C2331" s="10"/>
      <c r="D2331" s="10"/>
      <c r="E2331" s="10"/>
      <c r="F2331" s="10"/>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0"/>
      <c r="AH2331" s="10"/>
      <c r="AI2331" s="10"/>
      <c r="AJ2331" s="10"/>
      <c r="AK2331" s="10"/>
      <c r="AL2331" s="10"/>
    </row>
    <row r="2332" spans="1:38">
      <c r="A2332" s="10"/>
      <c r="B2332" s="10"/>
      <c r="C2332" s="10"/>
      <c r="D2332" s="10"/>
      <c r="E2332" s="10"/>
      <c r="F2332" s="10"/>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0"/>
      <c r="AH2332" s="10"/>
      <c r="AI2332" s="10"/>
      <c r="AJ2332" s="10"/>
      <c r="AK2332" s="10"/>
      <c r="AL2332" s="10"/>
    </row>
    <row r="2333" spans="1:38">
      <c r="A2333" s="10"/>
      <c r="B2333" s="10"/>
      <c r="C2333" s="10"/>
      <c r="D2333" s="10"/>
      <c r="E2333" s="10"/>
      <c r="F2333" s="10"/>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0"/>
      <c r="AH2333" s="10"/>
      <c r="AI2333" s="10"/>
      <c r="AJ2333" s="10"/>
      <c r="AK2333" s="10"/>
      <c r="AL2333" s="10"/>
    </row>
    <row r="2334" spans="1:38">
      <c r="A2334" s="10"/>
      <c r="B2334" s="10"/>
      <c r="C2334" s="10"/>
      <c r="D2334" s="10"/>
      <c r="E2334" s="10"/>
      <c r="F2334" s="10"/>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0"/>
      <c r="AH2334" s="10"/>
      <c r="AI2334" s="10"/>
      <c r="AJ2334" s="10"/>
      <c r="AK2334" s="10"/>
      <c r="AL2334" s="10"/>
    </row>
    <row r="2335" spans="1:38">
      <c r="A2335" s="10"/>
      <c r="B2335" s="10"/>
      <c r="C2335" s="10"/>
      <c r="D2335" s="10"/>
      <c r="E2335" s="10"/>
      <c r="F2335" s="10"/>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0"/>
      <c r="AH2335" s="10"/>
      <c r="AI2335" s="10"/>
      <c r="AJ2335" s="10"/>
      <c r="AK2335" s="10"/>
      <c r="AL2335" s="10"/>
    </row>
    <row r="2336" spans="1:38">
      <c r="A2336" s="10"/>
      <c r="B2336" s="10"/>
      <c r="C2336" s="10"/>
      <c r="D2336" s="10"/>
      <c r="E2336" s="10"/>
      <c r="F2336" s="10"/>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0"/>
      <c r="AH2336" s="10"/>
      <c r="AI2336" s="10"/>
      <c r="AJ2336" s="10"/>
      <c r="AK2336" s="10"/>
      <c r="AL2336" s="10"/>
    </row>
    <row r="2337" spans="1:38">
      <c r="A2337" s="10"/>
      <c r="B2337" s="10"/>
      <c r="C2337" s="10"/>
      <c r="D2337" s="10"/>
      <c r="E2337" s="10"/>
      <c r="F2337" s="10"/>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0"/>
      <c r="AH2337" s="10"/>
      <c r="AI2337" s="10"/>
      <c r="AJ2337" s="10"/>
      <c r="AK2337" s="10"/>
      <c r="AL2337" s="10"/>
    </row>
    <row r="2338" spans="1:38">
      <c r="A2338" s="10"/>
      <c r="B2338" s="10"/>
      <c r="C2338" s="10"/>
      <c r="D2338" s="10"/>
      <c r="E2338" s="10"/>
      <c r="F2338" s="10"/>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0"/>
      <c r="AH2338" s="10"/>
      <c r="AI2338" s="10"/>
      <c r="AJ2338" s="10"/>
      <c r="AK2338" s="10"/>
      <c r="AL2338" s="10"/>
    </row>
    <row r="2339" spans="1:38">
      <c r="A2339" s="10"/>
      <c r="B2339" s="10"/>
      <c r="C2339" s="10"/>
      <c r="D2339" s="10"/>
      <c r="E2339" s="10"/>
      <c r="F2339" s="10"/>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0"/>
      <c r="AH2339" s="10"/>
      <c r="AI2339" s="10"/>
      <c r="AJ2339" s="10"/>
      <c r="AK2339" s="10"/>
      <c r="AL2339" s="10"/>
    </row>
    <row r="2340" spans="1:38">
      <c r="A2340" s="9"/>
      <c r="B2340" s="9"/>
      <c r="C2340" s="9"/>
      <c r="D2340" s="9"/>
      <c r="E2340" s="9"/>
      <c r="F2340" s="9"/>
      <c r="G2340" s="9"/>
      <c r="H2340" s="9"/>
      <c r="I2340" s="9"/>
      <c r="J2340" s="9"/>
      <c r="K2340" s="9"/>
      <c r="L2340" s="9"/>
      <c r="M2340" s="9"/>
      <c r="N2340" s="9"/>
      <c r="O2340" s="9"/>
      <c r="P2340" s="9"/>
      <c r="Q2340" s="9"/>
      <c r="R2340" s="9"/>
      <c r="S2340" s="9"/>
      <c r="T2340" s="9"/>
      <c r="U2340" s="9"/>
      <c r="V2340" s="9"/>
      <c r="W2340" s="9"/>
      <c r="X2340" s="9"/>
      <c r="Y2340" s="9"/>
      <c r="Z2340" s="9"/>
      <c r="AA2340" s="9"/>
      <c r="AB2340" s="9"/>
      <c r="AC2340" s="9"/>
      <c r="AD2340" s="9"/>
      <c r="AE2340" s="9"/>
      <c r="AF2340" s="9"/>
      <c r="AG2340" s="9"/>
      <c r="AH2340" s="9"/>
      <c r="AI2340" s="9"/>
      <c r="AJ2340" s="9"/>
      <c r="AK2340" s="9"/>
      <c r="AL2340" s="9"/>
    </row>
    <row r="2341" spans="1:38">
      <c r="A2341" s="11"/>
      <c r="B2341" s="11"/>
      <c r="C2341" s="11"/>
      <c r="D2341" s="11"/>
      <c r="E2341" s="11"/>
      <c r="F2341" s="11"/>
      <c r="G2341" s="11"/>
      <c r="H2341" s="11"/>
      <c r="I2341" s="11"/>
      <c r="J2341" s="11"/>
      <c r="K2341" s="11"/>
      <c r="L2341" s="11"/>
      <c r="M2341" s="11"/>
      <c r="N2341" s="11"/>
      <c r="O2341" s="11"/>
      <c r="P2341" s="11"/>
      <c r="Q2341" s="11"/>
      <c r="R2341" s="11"/>
      <c r="S2341" s="11"/>
      <c r="T2341" s="11"/>
      <c r="U2341" s="11"/>
      <c r="V2341" s="11"/>
      <c r="W2341" s="11"/>
      <c r="X2341" s="11"/>
      <c r="Y2341" s="11"/>
      <c r="Z2341" s="11"/>
      <c r="AA2341" s="11"/>
      <c r="AB2341" s="11"/>
      <c r="AC2341" s="11"/>
      <c r="AD2341" s="11"/>
      <c r="AE2341" s="11"/>
      <c r="AF2341" s="11"/>
      <c r="AG2341" s="11"/>
      <c r="AH2341" s="11"/>
      <c r="AI2341" s="11"/>
      <c r="AJ2341" s="11"/>
      <c r="AK2341" s="11"/>
      <c r="AL2341" s="11"/>
    </row>
    <row r="2359" spans="1:38">
      <c r="A2359" s="14"/>
      <c r="B2359" s="14"/>
      <c r="C2359" s="14"/>
      <c r="D2359" s="14"/>
      <c r="E2359" s="14"/>
      <c r="F2359" s="14"/>
      <c r="G2359" s="14"/>
      <c r="H2359" s="14"/>
      <c r="I2359" s="14"/>
      <c r="J2359" s="14"/>
      <c r="K2359" s="14"/>
      <c r="L2359" s="14"/>
      <c r="M2359" s="14"/>
      <c r="N2359" s="14"/>
      <c r="O2359" s="14"/>
      <c r="P2359" s="14"/>
      <c r="Q2359" s="14"/>
      <c r="R2359" s="14"/>
      <c r="S2359" s="14"/>
      <c r="T2359" s="14"/>
      <c r="U2359" s="14"/>
      <c r="V2359" s="14"/>
      <c r="W2359" s="14"/>
      <c r="X2359" s="14"/>
      <c r="Y2359" s="14"/>
      <c r="Z2359" s="14"/>
      <c r="AA2359" s="14"/>
      <c r="AB2359" s="14"/>
      <c r="AC2359" s="14"/>
      <c r="AD2359" s="14"/>
      <c r="AE2359" s="14"/>
      <c r="AF2359" s="14"/>
      <c r="AG2359" s="14"/>
      <c r="AH2359" s="14"/>
      <c r="AI2359" s="14"/>
      <c r="AJ2359" s="14"/>
      <c r="AK2359" s="14"/>
      <c r="AL2359" s="14"/>
    </row>
    <row r="2360" spans="1:38">
      <c r="A2360" s="9"/>
      <c r="B2360" s="9"/>
      <c r="C2360" s="9"/>
      <c r="D2360" s="9"/>
      <c r="E2360" s="9"/>
      <c r="F2360" s="9"/>
      <c r="G2360" s="9"/>
      <c r="H2360" s="9"/>
      <c r="I2360" s="9"/>
      <c r="J2360" s="9"/>
      <c r="K2360" s="9"/>
      <c r="L2360" s="9"/>
      <c r="M2360" s="9"/>
      <c r="N2360" s="9"/>
      <c r="O2360" s="9"/>
      <c r="P2360" s="9"/>
      <c r="Q2360" s="9"/>
      <c r="R2360" s="9"/>
      <c r="S2360" s="9"/>
      <c r="T2360" s="9"/>
      <c r="U2360" s="9"/>
      <c r="V2360" s="9"/>
      <c r="W2360" s="9"/>
      <c r="X2360" s="9"/>
      <c r="Y2360" s="9"/>
      <c r="Z2360" s="9"/>
      <c r="AA2360" s="9"/>
      <c r="AB2360" s="9"/>
      <c r="AC2360" s="9"/>
      <c r="AD2360" s="9"/>
      <c r="AE2360" s="9"/>
      <c r="AF2360" s="9"/>
      <c r="AG2360" s="9"/>
      <c r="AH2360" s="9"/>
      <c r="AI2360" s="9"/>
      <c r="AJ2360" s="9"/>
      <c r="AK2360" s="9"/>
      <c r="AL2360" s="9"/>
    </row>
    <row r="2361" spans="1:38">
      <c r="A2361" s="10"/>
      <c r="B2361" s="10"/>
      <c r="C2361" s="10"/>
      <c r="D2361" s="10"/>
      <c r="E2361" s="10"/>
      <c r="F2361" s="10"/>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0"/>
      <c r="AH2361" s="10"/>
      <c r="AI2361" s="10"/>
      <c r="AJ2361" s="10"/>
      <c r="AK2361" s="10"/>
      <c r="AL2361" s="10"/>
    </row>
    <row r="2362" spans="1:38">
      <c r="A2362" s="10"/>
      <c r="B2362" s="10"/>
      <c r="C2362" s="10"/>
      <c r="D2362" s="10"/>
      <c r="E2362" s="10"/>
      <c r="F2362" s="10"/>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0"/>
      <c r="AH2362" s="10"/>
      <c r="AI2362" s="10"/>
      <c r="AJ2362" s="10"/>
      <c r="AK2362" s="10"/>
      <c r="AL2362" s="10"/>
    </row>
    <row r="2363" spans="1:38">
      <c r="A2363" s="10"/>
      <c r="B2363" s="10"/>
      <c r="C2363" s="10"/>
      <c r="D2363" s="10"/>
      <c r="E2363" s="10"/>
      <c r="F2363" s="10"/>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0"/>
      <c r="AH2363" s="10"/>
      <c r="AI2363" s="10"/>
      <c r="AJ2363" s="10"/>
      <c r="AK2363" s="10"/>
      <c r="AL2363" s="10"/>
    </row>
    <row r="2364" spans="1:38">
      <c r="A2364" s="10"/>
      <c r="B2364" s="10"/>
      <c r="C2364" s="10"/>
      <c r="D2364" s="10"/>
      <c r="E2364" s="10"/>
      <c r="F2364" s="10"/>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0"/>
      <c r="AH2364" s="10"/>
      <c r="AI2364" s="10"/>
      <c r="AJ2364" s="10"/>
      <c r="AK2364" s="10"/>
      <c r="AL2364" s="10"/>
    </row>
    <row r="2365" spans="1:38">
      <c r="A2365" s="10"/>
      <c r="B2365" s="10"/>
      <c r="C2365" s="10"/>
      <c r="D2365" s="10"/>
      <c r="E2365" s="10"/>
      <c r="F2365" s="10"/>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0"/>
      <c r="AH2365" s="10"/>
      <c r="AI2365" s="10"/>
      <c r="AJ2365" s="10"/>
      <c r="AK2365" s="10"/>
      <c r="AL2365" s="10"/>
    </row>
    <row r="2366" spans="1:38">
      <c r="A2366" s="10"/>
      <c r="B2366" s="10"/>
      <c r="C2366" s="10"/>
      <c r="D2366" s="10"/>
      <c r="E2366" s="10"/>
      <c r="F2366" s="10"/>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0"/>
      <c r="AH2366" s="10"/>
      <c r="AI2366" s="10"/>
      <c r="AJ2366" s="10"/>
      <c r="AK2366" s="10"/>
      <c r="AL2366" s="10"/>
    </row>
    <row r="2367" spans="1:38">
      <c r="A2367" s="10"/>
      <c r="B2367" s="10"/>
      <c r="C2367" s="10"/>
      <c r="D2367" s="10"/>
      <c r="E2367" s="10"/>
      <c r="F2367" s="10"/>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0"/>
      <c r="AH2367" s="10"/>
      <c r="AI2367" s="10"/>
      <c r="AJ2367" s="10"/>
      <c r="AK2367" s="10"/>
      <c r="AL2367" s="10"/>
    </row>
    <row r="2368" spans="1:38">
      <c r="A2368" s="10"/>
      <c r="B2368" s="10"/>
      <c r="C2368" s="10"/>
      <c r="D2368" s="10"/>
      <c r="E2368" s="10"/>
      <c r="F2368" s="10"/>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0"/>
      <c r="AH2368" s="10"/>
      <c r="AI2368" s="10"/>
      <c r="AJ2368" s="10"/>
      <c r="AK2368" s="10"/>
      <c r="AL2368" s="10"/>
    </row>
    <row r="2369" spans="1:38">
      <c r="A2369" s="10"/>
      <c r="B2369" s="10"/>
      <c r="C2369" s="10"/>
      <c r="D2369" s="10"/>
      <c r="E2369" s="10"/>
      <c r="F2369" s="10"/>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0"/>
      <c r="AH2369" s="10"/>
      <c r="AI2369" s="10"/>
      <c r="AJ2369" s="10"/>
      <c r="AK2369" s="10"/>
      <c r="AL2369" s="10"/>
    </row>
    <row r="2370" spans="1:38">
      <c r="A2370" s="10"/>
      <c r="B2370" s="10"/>
      <c r="C2370" s="10"/>
      <c r="D2370" s="10"/>
      <c r="E2370" s="10"/>
      <c r="F2370" s="10"/>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0"/>
      <c r="AH2370" s="10"/>
      <c r="AI2370" s="10"/>
      <c r="AJ2370" s="10"/>
      <c r="AK2370" s="10"/>
      <c r="AL2370" s="10"/>
    </row>
    <row r="2371" spans="1:38">
      <c r="A2371" s="9"/>
      <c r="B2371" s="9"/>
      <c r="C2371" s="9"/>
      <c r="D2371" s="9"/>
      <c r="E2371" s="9"/>
      <c r="F2371" s="9"/>
      <c r="G2371" s="9"/>
      <c r="H2371" s="9"/>
      <c r="I2371" s="9"/>
      <c r="J2371" s="9"/>
      <c r="K2371" s="9"/>
      <c r="L2371" s="9"/>
      <c r="M2371" s="9"/>
      <c r="N2371" s="9"/>
      <c r="O2371" s="9"/>
      <c r="P2371" s="9"/>
      <c r="Q2371" s="9"/>
      <c r="R2371" s="9"/>
      <c r="S2371" s="9"/>
      <c r="T2371" s="9"/>
      <c r="U2371" s="9"/>
      <c r="V2371" s="9"/>
      <c r="W2371" s="9"/>
      <c r="X2371" s="9"/>
      <c r="Y2371" s="9"/>
      <c r="Z2371" s="9"/>
      <c r="AA2371" s="9"/>
      <c r="AB2371" s="9"/>
      <c r="AC2371" s="9"/>
      <c r="AD2371" s="9"/>
      <c r="AE2371" s="9"/>
      <c r="AF2371" s="9"/>
      <c r="AG2371" s="9"/>
      <c r="AH2371" s="9"/>
      <c r="AI2371" s="9"/>
      <c r="AJ2371" s="9"/>
      <c r="AK2371" s="9"/>
      <c r="AL2371" s="9"/>
    </row>
    <row r="2372" spans="1:38">
      <c r="A2372" s="11"/>
      <c r="B2372" s="11"/>
      <c r="C2372" s="11"/>
      <c r="D2372" s="11"/>
      <c r="E2372" s="11"/>
      <c r="F2372" s="11"/>
      <c r="G2372" s="11"/>
      <c r="H2372" s="11"/>
      <c r="I2372" s="11"/>
      <c r="J2372" s="11"/>
      <c r="K2372" s="11"/>
      <c r="L2372" s="11"/>
      <c r="M2372" s="11"/>
      <c r="N2372" s="11"/>
      <c r="O2372" s="11"/>
      <c r="P2372" s="11"/>
      <c r="Q2372" s="11"/>
      <c r="R2372" s="11"/>
      <c r="S2372" s="11"/>
      <c r="T2372" s="11"/>
      <c r="U2372" s="11"/>
      <c r="V2372" s="11"/>
      <c r="W2372" s="11"/>
      <c r="X2372" s="11"/>
      <c r="Y2372" s="11"/>
      <c r="Z2372" s="11"/>
      <c r="AA2372" s="11"/>
      <c r="AB2372" s="11"/>
      <c r="AC2372" s="11"/>
      <c r="AD2372" s="11"/>
      <c r="AE2372" s="11"/>
      <c r="AF2372" s="11"/>
      <c r="AG2372" s="11"/>
      <c r="AH2372" s="11"/>
      <c r="AI2372" s="11"/>
      <c r="AJ2372" s="11"/>
      <c r="AK2372" s="11"/>
      <c r="AL2372" s="11"/>
    </row>
    <row r="2388" spans="1:38">
      <c r="A2388" s="14"/>
      <c r="B2388" s="14"/>
      <c r="C2388" s="14"/>
      <c r="D2388" s="14"/>
      <c r="E2388" s="14"/>
      <c r="F2388" s="14"/>
      <c r="G2388" s="14"/>
      <c r="H2388" s="14"/>
      <c r="I2388" s="14"/>
      <c r="J2388" s="14"/>
      <c r="K2388" s="14"/>
      <c r="L2388" s="14"/>
      <c r="M2388" s="14"/>
      <c r="N2388" s="14"/>
      <c r="O2388" s="14"/>
      <c r="P2388" s="14"/>
      <c r="Q2388" s="14"/>
      <c r="R2388" s="14"/>
      <c r="S2388" s="14"/>
      <c r="T2388" s="14"/>
      <c r="U2388" s="14"/>
      <c r="V2388" s="14"/>
      <c r="W2388" s="14"/>
      <c r="X2388" s="14"/>
      <c r="Y2388" s="14"/>
      <c r="Z2388" s="14"/>
      <c r="AA2388" s="14"/>
      <c r="AB2388" s="14"/>
      <c r="AC2388" s="14"/>
      <c r="AD2388" s="14"/>
      <c r="AE2388" s="14"/>
      <c r="AF2388" s="14"/>
      <c r="AG2388" s="14"/>
      <c r="AH2388" s="14"/>
      <c r="AI2388" s="14"/>
      <c r="AJ2388" s="14"/>
      <c r="AK2388" s="14"/>
      <c r="AL2388" s="14"/>
    </row>
    <row r="2389" spans="1:38">
      <c r="A2389" s="9"/>
      <c r="B2389" s="9"/>
      <c r="C2389" s="9"/>
      <c r="D2389" s="9"/>
      <c r="E2389" s="9"/>
      <c r="F2389" s="9"/>
      <c r="G2389" s="9"/>
      <c r="H2389" s="9"/>
      <c r="I2389" s="9"/>
      <c r="J2389" s="9"/>
      <c r="K2389" s="9"/>
      <c r="L2389" s="9"/>
      <c r="M2389" s="9"/>
      <c r="N2389" s="9"/>
      <c r="O2389" s="9"/>
      <c r="P2389" s="9"/>
      <c r="Q2389" s="9"/>
      <c r="R2389" s="9"/>
      <c r="S2389" s="9"/>
      <c r="T2389" s="9"/>
      <c r="U2389" s="9"/>
      <c r="V2389" s="9"/>
      <c r="W2389" s="9"/>
      <c r="X2389" s="9"/>
      <c r="Y2389" s="9"/>
      <c r="Z2389" s="9"/>
      <c r="AA2389" s="9"/>
      <c r="AB2389" s="9"/>
      <c r="AC2389" s="9"/>
      <c r="AD2389" s="9"/>
      <c r="AE2389" s="9"/>
      <c r="AF2389" s="9"/>
      <c r="AG2389" s="9"/>
      <c r="AH2389" s="9"/>
      <c r="AI2389" s="9"/>
      <c r="AJ2389" s="9"/>
      <c r="AK2389" s="9"/>
      <c r="AL2389" s="9"/>
    </row>
    <row r="2390" spans="1:38">
      <c r="A2390" s="10"/>
      <c r="B2390" s="10"/>
      <c r="C2390" s="10"/>
      <c r="D2390" s="10"/>
      <c r="E2390" s="10"/>
      <c r="F2390" s="10"/>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0"/>
      <c r="AH2390" s="10"/>
      <c r="AI2390" s="10"/>
      <c r="AJ2390" s="10"/>
      <c r="AK2390" s="10"/>
      <c r="AL2390" s="10"/>
    </row>
    <row r="2391" spans="1:38">
      <c r="A2391" s="10"/>
      <c r="B2391" s="10"/>
      <c r="C2391" s="10"/>
      <c r="D2391" s="10"/>
      <c r="E2391" s="10"/>
      <c r="F2391" s="10"/>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0"/>
      <c r="AH2391" s="10"/>
      <c r="AI2391" s="10"/>
      <c r="AJ2391" s="10"/>
      <c r="AK2391" s="10"/>
      <c r="AL2391" s="10"/>
    </row>
    <row r="2392" spans="1:38">
      <c r="A2392" s="10"/>
      <c r="B2392" s="10"/>
      <c r="C2392" s="10"/>
      <c r="D2392" s="10"/>
      <c r="E2392" s="10"/>
      <c r="F2392" s="10"/>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0"/>
      <c r="AH2392" s="10"/>
      <c r="AI2392" s="10"/>
      <c r="AJ2392" s="10"/>
      <c r="AK2392" s="10"/>
      <c r="AL2392" s="10"/>
    </row>
    <row r="2393" spans="1:38">
      <c r="A2393" s="10"/>
      <c r="B2393" s="10"/>
      <c r="C2393" s="10"/>
      <c r="D2393" s="10"/>
      <c r="E2393" s="10"/>
      <c r="F2393" s="10"/>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0"/>
      <c r="AH2393" s="10"/>
      <c r="AI2393" s="10"/>
      <c r="AJ2393" s="10"/>
      <c r="AK2393" s="10"/>
      <c r="AL2393" s="10"/>
    </row>
    <row r="2394" spans="1:38">
      <c r="A2394" s="10"/>
      <c r="B2394" s="10"/>
      <c r="C2394" s="10"/>
      <c r="D2394" s="10"/>
      <c r="E2394" s="10"/>
      <c r="F2394" s="10"/>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0"/>
      <c r="AH2394" s="10"/>
      <c r="AI2394" s="10"/>
      <c r="AJ2394" s="10"/>
      <c r="AK2394" s="10"/>
      <c r="AL2394" s="10"/>
    </row>
    <row r="2395" spans="1:38">
      <c r="A2395" s="10"/>
      <c r="B2395" s="10"/>
      <c r="C2395" s="10"/>
      <c r="D2395" s="10"/>
      <c r="E2395" s="10"/>
      <c r="F2395" s="10"/>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0"/>
      <c r="AH2395" s="10"/>
      <c r="AI2395" s="10"/>
      <c r="AJ2395" s="10"/>
      <c r="AK2395" s="10"/>
      <c r="AL2395" s="10"/>
    </row>
    <row r="2396" spans="1:38">
      <c r="A2396" s="10"/>
      <c r="B2396" s="10"/>
      <c r="C2396" s="10"/>
      <c r="D2396" s="10"/>
      <c r="E2396" s="10"/>
      <c r="F2396" s="10"/>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0"/>
      <c r="AH2396" s="10"/>
      <c r="AI2396" s="10"/>
      <c r="AJ2396" s="10"/>
      <c r="AK2396" s="10"/>
      <c r="AL2396" s="10"/>
    </row>
    <row r="2397" spans="1:38">
      <c r="A2397" s="10"/>
      <c r="B2397" s="10"/>
      <c r="C2397" s="10"/>
      <c r="D2397" s="10"/>
      <c r="E2397" s="10"/>
      <c r="F2397" s="10"/>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0"/>
      <c r="AH2397" s="10"/>
      <c r="AI2397" s="10"/>
      <c r="AJ2397" s="10"/>
      <c r="AK2397" s="10"/>
      <c r="AL2397" s="10"/>
    </row>
    <row r="2398" spans="1:38">
      <c r="A2398" s="10"/>
      <c r="B2398" s="10"/>
      <c r="C2398" s="10"/>
      <c r="D2398" s="10"/>
      <c r="E2398" s="10"/>
      <c r="F2398" s="10"/>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0"/>
      <c r="AH2398" s="10"/>
      <c r="AI2398" s="10"/>
      <c r="AJ2398" s="10"/>
      <c r="AK2398" s="10"/>
      <c r="AL2398" s="10"/>
    </row>
    <row r="2399" spans="1:38">
      <c r="A2399" s="10"/>
      <c r="B2399" s="10"/>
      <c r="C2399" s="10"/>
      <c r="D2399" s="10"/>
      <c r="E2399" s="10"/>
      <c r="F2399" s="10"/>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0"/>
      <c r="AH2399" s="10"/>
      <c r="AI2399" s="10"/>
      <c r="AJ2399" s="10"/>
      <c r="AK2399" s="10"/>
      <c r="AL2399" s="10"/>
    </row>
    <row r="2400" spans="1:38">
      <c r="A2400" s="9"/>
      <c r="B2400" s="9"/>
      <c r="C2400" s="9"/>
      <c r="D2400" s="9"/>
      <c r="E2400" s="9"/>
      <c r="F2400" s="9"/>
      <c r="G2400" s="9"/>
      <c r="H2400" s="9"/>
      <c r="I2400" s="9"/>
      <c r="J2400" s="9"/>
      <c r="K2400" s="9"/>
      <c r="L2400" s="9"/>
      <c r="M2400" s="9"/>
      <c r="N2400" s="9"/>
      <c r="O2400" s="9"/>
      <c r="P2400" s="9"/>
      <c r="Q2400" s="9"/>
      <c r="R2400" s="9"/>
      <c r="S2400" s="9"/>
      <c r="T2400" s="9"/>
      <c r="U2400" s="9"/>
      <c r="V2400" s="9"/>
      <c r="W2400" s="9"/>
      <c r="X2400" s="9"/>
      <c r="Y2400" s="9"/>
      <c r="Z2400" s="9"/>
      <c r="AA2400" s="9"/>
      <c r="AB2400" s="9"/>
      <c r="AC2400" s="9"/>
      <c r="AD2400" s="9"/>
      <c r="AE2400" s="9"/>
      <c r="AF2400" s="9"/>
      <c r="AG2400" s="9"/>
      <c r="AH2400" s="9"/>
      <c r="AI2400" s="9"/>
      <c r="AJ2400" s="9"/>
      <c r="AK2400" s="9"/>
      <c r="AL2400" s="9"/>
    </row>
    <row r="2401" spans="1:38">
      <c r="A2401" s="11"/>
      <c r="B2401" s="11"/>
      <c r="C2401" s="11"/>
      <c r="D2401" s="11"/>
      <c r="E2401" s="11"/>
      <c r="F2401" s="11"/>
      <c r="G2401" s="11"/>
      <c r="H2401" s="11"/>
      <c r="I2401" s="11"/>
      <c r="J2401" s="11"/>
      <c r="K2401" s="11"/>
      <c r="L2401" s="11"/>
      <c r="M2401" s="11"/>
      <c r="N2401" s="11"/>
      <c r="O2401" s="11"/>
      <c r="P2401" s="11"/>
      <c r="Q2401" s="11"/>
      <c r="R2401" s="11"/>
      <c r="S2401" s="11"/>
      <c r="T2401" s="11"/>
      <c r="U2401" s="11"/>
      <c r="V2401" s="11"/>
      <c r="W2401" s="11"/>
      <c r="X2401" s="11"/>
      <c r="Y2401" s="11"/>
      <c r="Z2401" s="11"/>
      <c r="AA2401" s="11"/>
      <c r="AB2401" s="11"/>
      <c r="AC2401" s="11"/>
      <c r="AD2401" s="11"/>
      <c r="AE2401" s="11"/>
      <c r="AF2401" s="11"/>
      <c r="AG2401" s="11"/>
      <c r="AH2401" s="11"/>
      <c r="AI2401" s="11"/>
      <c r="AJ2401" s="11"/>
      <c r="AK2401" s="11"/>
      <c r="AL2401" s="11"/>
    </row>
    <row r="2411" spans="1:38">
      <c r="A2411" s="14"/>
      <c r="B2411" s="14"/>
      <c r="C2411" s="14"/>
      <c r="D2411" s="14"/>
      <c r="E2411" s="14"/>
      <c r="F2411" s="14"/>
      <c r="G2411" s="14"/>
      <c r="H2411" s="14"/>
      <c r="I2411" s="14"/>
      <c r="J2411" s="14"/>
      <c r="K2411" s="14"/>
      <c r="L2411" s="14"/>
      <c r="M2411" s="14"/>
      <c r="N2411" s="14"/>
      <c r="O2411" s="14"/>
      <c r="P2411" s="14"/>
      <c r="Q2411" s="14"/>
      <c r="R2411" s="14"/>
      <c r="S2411" s="14"/>
      <c r="T2411" s="14"/>
      <c r="U2411" s="14"/>
      <c r="V2411" s="14"/>
      <c r="W2411" s="14"/>
      <c r="X2411" s="14"/>
      <c r="Y2411" s="14"/>
      <c r="Z2411" s="14"/>
      <c r="AA2411" s="14"/>
      <c r="AB2411" s="14"/>
      <c r="AC2411" s="14"/>
      <c r="AD2411" s="14"/>
      <c r="AE2411" s="14"/>
      <c r="AF2411" s="14"/>
      <c r="AG2411" s="14"/>
      <c r="AH2411" s="14"/>
      <c r="AI2411" s="14"/>
      <c r="AJ2411" s="14"/>
      <c r="AK2411" s="14"/>
      <c r="AL2411" s="14"/>
    </row>
    <row r="2412" spans="1:38">
      <c r="A2412" s="9"/>
      <c r="B2412" s="9"/>
      <c r="C2412" s="9"/>
      <c r="D2412" s="9"/>
      <c r="E2412" s="9"/>
      <c r="F2412" s="9"/>
      <c r="G2412" s="9"/>
      <c r="H2412" s="9"/>
      <c r="I2412" s="9"/>
      <c r="J2412" s="9"/>
      <c r="K2412" s="9"/>
      <c r="L2412" s="9"/>
      <c r="M2412" s="9"/>
      <c r="N2412" s="9"/>
      <c r="O2412" s="9"/>
      <c r="P2412" s="9"/>
      <c r="Q2412" s="9"/>
      <c r="R2412" s="9"/>
      <c r="S2412" s="9"/>
      <c r="T2412" s="9"/>
      <c r="U2412" s="9"/>
      <c r="V2412" s="9"/>
      <c r="W2412" s="9"/>
      <c r="X2412" s="9"/>
      <c r="Y2412" s="9"/>
      <c r="Z2412" s="9"/>
      <c r="AA2412" s="9"/>
      <c r="AB2412" s="9"/>
      <c r="AC2412" s="9"/>
      <c r="AD2412" s="9"/>
      <c r="AE2412" s="9"/>
      <c r="AF2412" s="9"/>
      <c r="AG2412" s="9"/>
      <c r="AH2412" s="9"/>
      <c r="AI2412" s="9"/>
      <c r="AJ2412" s="9"/>
      <c r="AK2412" s="9"/>
      <c r="AL2412" s="9"/>
    </row>
    <row r="2413" spans="1:38">
      <c r="A2413" s="10"/>
      <c r="B2413" s="10"/>
      <c r="C2413" s="10"/>
      <c r="D2413" s="10"/>
      <c r="E2413" s="10"/>
      <c r="F2413" s="10"/>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0"/>
      <c r="AH2413" s="10"/>
      <c r="AI2413" s="10"/>
      <c r="AJ2413" s="10"/>
      <c r="AK2413" s="10"/>
      <c r="AL2413" s="10"/>
    </row>
    <row r="2414" spans="1:38">
      <c r="A2414" s="10"/>
      <c r="B2414" s="10"/>
      <c r="C2414" s="10"/>
      <c r="D2414" s="10"/>
      <c r="E2414" s="10"/>
      <c r="F2414" s="10"/>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0"/>
      <c r="AH2414" s="10"/>
      <c r="AI2414" s="10"/>
      <c r="AJ2414" s="10"/>
      <c r="AK2414" s="10"/>
      <c r="AL2414" s="10"/>
    </row>
    <row r="2415" spans="1:38">
      <c r="A2415" s="10"/>
      <c r="B2415" s="10"/>
      <c r="C2415" s="10"/>
      <c r="D2415" s="10"/>
      <c r="E2415" s="10"/>
      <c r="F2415" s="10"/>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0"/>
      <c r="AH2415" s="10"/>
      <c r="AI2415" s="10"/>
      <c r="AJ2415" s="10"/>
      <c r="AK2415" s="10"/>
      <c r="AL2415" s="10"/>
    </row>
    <row r="2416" spans="1:38">
      <c r="A2416" s="10"/>
      <c r="B2416" s="10"/>
      <c r="C2416" s="10"/>
      <c r="D2416" s="10"/>
      <c r="E2416" s="10"/>
      <c r="F2416" s="10"/>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0"/>
      <c r="AH2416" s="10"/>
      <c r="AI2416" s="10"/>
      <c r="AJ2416" s="10"/>
      <c r="AK2416" s="10"/>
      <c r="AL2416" s="10"/>
    </row>
    <row r="2417" spans="1:38">
      <c r="A2417" s="10"/>
      <c r="B2417" s="10"/>
      <c r="C2417" s="10"/>
      <c r="D2417" s="10"/>
      <c r="E2417" s="10"/>
      <c r="F2417" s="10"/>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0"/>
      <c r="AH2417" s="10"/>
      <c r="AI2417" s="10"/>
      <c r="AJ2417" s="10"/>
      <c r="AK2417" s="10"/>
      <c r="AL2417" s="10"/>
    </row>
    <row r="2418" spans="1:38">
      <c r="A2418" s="10"/>
      <c r="B2418" s="10"/>
      <c r="C2418" s="10"/>
      <c r="D2418" s="10"/>
      <c r="E2418" s="10"/>
      <c r="F2418" s="10"/>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0"/>
      <c r="AH2418" s="10"/>
      <c r="AI2418" s="10"/>
      <c r="AJ2418" s="10"/>
      <c r="AK2418" s="10"/>
      <c r="AL2418" s="10"/>
    </row>
    <row r="2419" spans="1:38">
      <c r="A2419" s="10"/>
      <c r="B2419" s="10"/>
      <c r="C2419" s="10"/>
      <c r="D2419" s="10"/>
      <c r="E2419" s="10"/>
      <c r="F2419" s="10"/>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0"/>
      <c r="AH2419" s="10"/>
      <c r="AI2419" s="10"/>
      <c r="AJ2419" s="10"/>
      <c r="AK2419" s="10"/>
      <c r="AL2419" s="10"/>
    </row>
    <row r="2420" spans="1:38">
      <c r="A2420" s="10"/>
      <c r="B2420" s="10"/>
      <c r="C2420" s="10"/>
      <c r="D2420" s="10"/>
      <c r="E2420" s="10"/>
      <c r="F2420" s="10"/>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0"/>
      <c r="AH2420" s="10"/>
      <c r="AI2420" s="10"/>
      <c r="AJ2420" s="10"/>
      <c r="AK2420" s="10"/>
      <c r="AL2420" s="10"/>
    </row>
    <row r="2421" spans="1:38">
      <c r="A2421" s="10"/>
      <c r="B2421" s="10"/>
      <c r="C2421" s="10"/>
      <c r="D2421" s="10"/>
      <c r="E2421" s="10"/>
      <c r="F2421" s="10"/>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0"/>
      <c r="AH2421" s="10"/>
      <c r="AI2421" s="10"/>
      <c r="AJ2421" s="10"/>
      <c r="AK2421" s="10"/>
      <c r="AL2421" s="10"/>
    </row>
    <row r="2422" spans="1:38">
      <c r="A2422" s="10"/>
      <c r="B2422" s="10"/>
      <c r="C2422" s="10"/>
      <c r="D2422" s="10"/>
      <c r="E2422" s="10"/>
      <c r="F2422" s="10"/>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0"/>
      <c r="AH2422" s="10"/>
      <c r="AI2422" s="10"/>
      <c r="AJ2422" s="10"/>
      <c r="AK2422" s="10"/>
      <c r="AL2422" s="10"/>
    </row>
    <row r="2424" spans="1:38">
      <c r="A2424" s="11"/>
      <c r="B2424" s="11"/>
      <c r="C2424" s="11"/>
      <c r="D2424" s="11"/>
      <c r="E2424" s="11"/>
      <c r="F2424" s="11"/>
      <c r="G2424" s="11"/>
      <c r="H2424" s="11"/>
      <c r="I2424" s="11"/>
      <c r="J2424" s="11"/>
      <c r="K2424" s="11"/>
      <c r="L2424" s="11"/>
      <c r="M2424" s="11"/>
      <c r="N2424" s="11"/>
      <c r="O2424" s="11"/>
      <c r="P2424" s="11"/>
      <c r="Q2424" s="11"/>
      <c r="R2424" s="11"/>
      <c r="S2424" s="11"/>
      <c r="T2424" s="11"/>
      <c r="U2424" s="11"/>
      <c r="V2424" s="11"/>
      <c r="W2424" s="11"/>
      <c r="X2424" s="11"/>
      <c r="Y2424" s="11"/>
      <c r="Z2424" s="11"/>
      <c r="AA2424" s="11"/>
      <c r="AB2424" s="11"/>
      <c r="AC2424" s="11"/>
      <c r="AD2424" s="11"/>
      <c r="AE2424" s="11"/>
      <c r="AF2424" s="11"/>
      <c r="AG2424" s="11"/>
      <c r="AH2424" s="11"/>
      <c r="AI2424" s="11"/>
      <c r="AJ2424" s="11"/>
      <c r="AK2424" s="11"/>
      <c r="AL2424" s="11"/>
    </row>
    <row r="2448" spans="1:38">
      <c r="A2448" s="14"/>
      <c r="B2448" s="14"/>
      <c r="C2448" s="14"/>
      <c r="D2448" s="14"/>
      <c r="E2448" s="14"/>
      <c r="F2448" s="14"/>
      <c r="G2448" s="14"/>
      <c r="H2448" s="14"/>
      <c r="I2448" s="14"/>
      <c r="J2448" s="14"/>
      <c r="K2448" s="14"/>
      <c r="L2448" s="14"/>
      <c r="M2448" s="14"/>
      <c r="N2448" s="14"/>
      <c r="O2448" s="14"/>
      <c r="P2448" s="14"/>
      <c r="Q2448" s="14"/>
      <c r="R2448" s="14"/>
      <c r="S2448" s="14"/>
      <c r="T2448" s="14"/>
      <c r="U2448" s="14"/>
      <c r="V2448" s="14"/>
      <c r="W2448" s="14"/>
      <c r="X2448" s="14"/>
      <c r="Y2448" s="14"/>
      <c r="Z2448" s="14"/>
      <c r="AA2448" s="14"/>
      <c r="AB2448" s="14"/>
      <c r="AC2448" s="14"/>
      <c r="AD2448" s="14"/>
      <c r="AE2448" s="14"/>
      <c r="AF2448" s="14"/>
      <c r="AG2448" s="14"/>
      <c r="AH2448" s="14"/>
      <c r="AI2448" s="14"/>
      <c r="AJ2448" s="14"/>
      <c r="AK2448" s="14"/>
      <c r="AL2448" s="14"/>
    </row>
    <row r="2449" spans="1:38">
      <c r="A2449" s="9"/>
      <c r="B2449" s="9"/>
      <c r="C2449" s="9"/>
      <c r="D2449" s="9"/>
      <c r="E2449" s="9"/>
      <c r="F2449" s="9"/>
      <c r="G2449" s="9"/>
      <c r="H2449" s="9"/>
      <c r="I2449" s="9"/>
      <c r="J2449" s="9"/>
      <c r="K2449" s="9"/>
      <c r="L2449" s="9"/>
      <c r="M2449" s="9"/>
      <c r="N2449" s="9"/>
      <c r="O2449" s="9"/>
      <c r="P2449" s="9"/>
      <c r="Q2449" s="9"/>
      <c r="R2449" s="9"/>
      <c r="S2449" s="9"/>
      <c r="T2449" s="9"/>
      <c r="U2449" s="9"/>
      <c r="V2449" s="9"/>
      <c r="W2449" s="9"/>
      <c r="X2449" s="9"/>
      <c r="Y2449" s="9"/>
      <c r="Z2449" s="9"/>
      <c r="AA2449" s="9"/>
      <c r="AB2449" s="9"/>
      <c r="AC2449" s="9"/>
      <c r="AD2449" s="9"/>
      <c r="AE2449" s="9"/>
      <c r="AF2449" s="9"/>
      <c r="AG2449" s="9"/>
      <c r="AH2449" s="9"/>
      <c r="AI2449" s="9"/>
      <c r="AJ2449" s="9"/>
      <c r="AK2449" s="9"/>
      <c r="AL2449" s="9"/>
    </row>
    <row r="2450" spans="1:38">
      <c r="A2450" s="10"/>
      <c r="B2450" s="10"/>
      <c r="C2450" s="10"/>
      <c r="D2450" s="10"/>
      <c r="E2450" s="10"/>
      <c r="F2450" s="10"/>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0"/>
      <c r="AH2450" s="10"/>
      <c r="AI2450" s="10"/>
      <c r="AJ2450" s="10"/>
      <c r="AK2450" s="10"/>
      <c r="AL2450" s="10"/>
    </row>
    <row r="2451" spans="1:38">
      <c r="A2451" s="10"/>
      <c r="B2451" s="10"/>
      <c r="C2451" s="10"/>
      <c r="D2451" s="10"/>
      <c r="E2451" s="10"/>
      <c r="F2451" s="10"/>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0"/>
      <c r="AH2451" s="10"/>
      <c r="AI2451" s="10"/>
      <c r="AJ2451" s="10"/>
      <c r="AK2451" s="10"/>
      <c r="AL2451" s="10"/>
    </row>
    <row r="2452" spans="1:38">
      <c r="A2452" s="10"/>
      <c r="B2452" s="10"/>
      <c r="C2452" s="10"/>
      <c r="D2452" s="10"/>
      <c r="E2452" s="10"/>
      <c r="F2452" s="10"/>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0"/>
      <c r="AH2452" s="10"/>
      <c r="AI2452" s="10"/>
      <c r="AJ2452" s="10"/>
      <c r="AK2452" s="10"/>
      <c r="AL2452" s="10"/>
    </row>
    <row r="2453" spans="1:38">
      <c r="A2453" s="10"/>
      <c r="B2453" s="10"/>
      <c r="C2453" s="10"/>
      <c r="D2453" s="10"/>
      <c r="E2453" s="10"/>
      <c r="F2453" s="10"/>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0"/>
      <c r="AH2453" s="10"/>
      <c r="AI2453" s="10"/>
      <c r="AJ2453" s="10"/>
      <c r="AK2453" s="10"/>
      <c r="AL2453" s="10"/>
    </row>
    <row r="2454" spans="1:38">
      <c r="A2454" s="10"/>
      <c r="B2454" s="10"/>
      <c r="C2454" s="10"/>
      <c r="D2454" s="10"/>
      <c r="E2454" s="10"/>
      <c r="F2454" s="10"/>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0"/>
      <c r="AH2454" s="10"/>
      <c r="AI2454" s="10"/>
      <c r="AJ2454" s="10"/>
      <c r="AK2454" s="10"/>
      <c r="AL2454" s="10"/>
    </row>
    <row r="2455" spans="1:38">
      <c r="A2455" s="10"/>
      <c r="B2455" s="10"/>
      <c r="C2455" s="10"/>
      <c r="D2455" s="10"/>
      <c r="E2455" s="10"/>
      <c r="F2455" s="10"/>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0"/>
      <c r="AH2455" s="10"/>
      <c r="AI2455" s="10"/>
      <c r="AJ2455" s="10"/>
      <c r="AK2455" s="10"/>
      <c r="AL2455" s="10"/>
    </row>
    <row r="2456" spans="1:38">
      <c r="A2456" s="10"/>
      <c r="B2456" s="10"/>
      <c r="C2456" s="10"/>
      <c r="D2456" s="10"/>
      <c r="E2456" s="10"/>
      <c r="F2456" s="10"/>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0"/>
      <c r="AH2456" s="10"/>
      <c r="AI2456" s="10"/>
      <c r="AJ2456" s="10"/>
      <c r="AK2456" s="10"/>
      <c r="AL2456" s="10"/>
    </row>
    <row r="2457" spans="1:38">
      <c r="A2457" s="10"/>
      <c r="B2457" s="10"/>
      <c r="C2457" s="10"/>
      <c r="D2457" s="10"/>
      <c r="E2457" s="10"/>
      <c r="F2457" s="10"/>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0"/>
      <c r="AH2457" s="10"/>
      <c r="AI2457" s="10"/>
      <c r="AJ2457" s="10"/>
      <c r="AK2457" s="10"/>
      <c r="AL2457" s="10"/>
    </row>
    <row r="2458" spans="1:38">
      <c r="A2458" s="10"/>
      <c r="B2458" s="10"/>
      <c r="C2458" s="10"/>
      <c r="D2458" s="10"/>
      <c r="E2458" s="10"/>
      <c r="F2458" s="10"/>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0"/>
      <c r="AH2458" s="10"/>
      <c r="AI2458" s="10"/>
      <c r="AJ2458" s="10"/>
      <c r="AK2458" s="10"/>
      <c r="AL2458" s="10"/>
    </row>
    <row r="2459" spans="1:38">
      <c r="A2459" s="10"/>
      <c r="B2459" s="10"/>
      <c r="C2459" s="10"/>
      <c r="D2459" s="10"/>
      <c r="E2459" s="10"/>
      <c r="F2459" s="10"/>
      <c r="G2459" s="10"/>
      <c r="H2459" s="10"/>
      <c r="I2459" s="10"/>
      <c r="J2459" s="10"/>
      <c r="K2459" s="10"/>
      <c r="L2459" s="10"/>
      <c r="M2459" s="10"/>
      <c r="N2459" s="10"/>
      <c r="O2459" s="10"/>
      <c r="P2459" s="10"/>
      <c r="Q2459" s="10"/>
      <c r="R2459" s="10"/>
      <c r="S2459" s="10"/>
      <c r="T2459" s="10"/>
      <c r="U2459" s="10"/>
      <c r="V2459" s="10"/>
      <c r="W2459" s="10"/>
      <c r="X2459" s="10"/>
      <c r="Y2459" s="10"/>
      <c r="Z2459" s="10"/>
      <c r="AA2459" s="10"/>
      <c r="AB2459" s="10"/>
      <c r="AC2459" s="10"/>
      <c r="AD2459" s="10"/>
      <c r="AE2459" s="10"/>
      <c r="AF2459" s="10"/>
      <c r="AG2459" s="10"/>
      <c r="AH2459" s="10"/>
      <c r="AI2459" s="10"/>
      <c r="AJ2459" s="10"/>
      <c r="AK2459" s="10"/>
      <c r="AL2459" s="10"/>
    </row>
    <row r="2461" spans="1:38">
      <c r="A2461" s="11"/>
      <c r="B2461" s="11"/>
      <c r="C2461" s="11"/>
      <c r="D2461" s="11"/>
      <c r="E2461" s="11"/>
      <c r="F2461" s="11"/>
      <c r="G2461" s="11"/>
      <c r="H2461" s="11"/>
      <c r="I2461" s="11"/>
      <c r="J2461" s="11"/>
      <c r="K2461" s="11"/>
      <c r="L2461" s="11"/>
      <c r="M2461" s="11"/>
      <c r="N2461" s="11"/>
      <c r="O2461" s="11"/>
      <c r="P2461" s="11"/>
      <c r="Q2461" s="11"/>
      <c r="R2461" s="11"/>
      <c r="S2461" s="11"/>
      <c r="T2461" s="11"/>
      <c r="U2461" s="11"/>
      <c r="V2461" s="11"/>
      <c r="W2461" s="11"/>
      <c r="X2461" s="11"/>
      <c r="Y2461" s="11"/>
      <c r="Z2461" s="11"/>
      <c r="AA2461" s="11"/>
      <c r="AB2461" s="11"/>
      <c r="AC2461" s="11"/>
      <c r="AD2461" s="11"/>
      <c r="AE2461" s="11"/>
      <c r="AF2461" s="11"/>
      <c r="AG2461" s="11"/>
      <c r="AH2461" s="11"/>
      <c r="AI2461" s="11"/>
      <c r="AJ2461" s="11"/>
      <c r="AK2461" s="11"/>
      <c r="AL2461" s="11"/>
    </row>
    <row r="2471" spans="1:38">
      <c r="A2471" s="14"/>
      <c r="B2471" s="14"/>
      <c r="C2471" s="14"/>
      <c r="D2471" s="14"/>
      <c r="E2471" s="14"/>
      <c r="F2471" s="14"/>
      <c r="G2471" s="14"/>
      <c r="H2471" s="14"/>
      <c r="I2471" s="14"/>
      <c r="J2471" s="14"/>
      <c r="K2471" s="14"/>
      <c r="L2471" s="14"/>
      <c r="M2471" s="14"/>
      <c r="N2471" s="14"/>
      <c r="O2471" s="14"/>
      <c r="P2471" s="14"/>
      <c r="Q2471" s="14"/>
      <c r="R2471" s="14"/>
      <c r="S2471" s="14"/>
      <c r="T2471" s="14"/>
      <c r="U2471" s="14"/>
      <c r="V2471" s="14"/>
      <c r="W2471" s="14"/>
      <c r="X2471" s="14"/>
      <c r="Y2471" s="14"/>
      <c r="Z2471" s="14"/>
      <c r="AA2471" s="14"/>
      <c r="AB2471" s="14"/>
      <c r="AC2471" s="14"/>
      <c r="AD2471" s="14"/>
      <c r="AE2471" s="14"/>
      <c r="AF2471" s="14"/>
      <c r="AG2471" s="14"/>
      <c r="AH2471" s="14"/>
      <c r="AI2471" s="14"/>
      <c r="AJ2471" s="14"/>
      <c r="AK2471" s="14"/>
      <c r="AL2471" s="14"/>
    </row>
    <row r="2472" spans="1:38">
      <c r="A2472" s="9"/>
      <c r="B2472" s="9"/>
      <c r="C2472" s="9"/>
      <c r="D2472" s="9"/>
      <c r="E2472" s="9"/>
      <c r="F2472" s="9"/>
      <c r="G2472" s="9"/>
      <c r="H2472" s="9"/>
      <c r="I2472" s="9"/>
      <c r="J2472" s="9"/>
      <c r="K2472" s="9"/>
      <c r="L2472" s="9"/>
      <c r="M2472" s="9"/>
      <c r="N2472" s="9"/>
      <c r="O2472" s="9"/>
      <c r="P2472" s="9"/>
      <c r="Q2472" s="9"/>
      <c r="R2472" s="9"/>
      <c r="S2472" s="9"/>
      <c r="T2472" s="9"/>
      <c r="U2472" s="9"/>
      <c r="V2472" s="9"/>
      <c r="W2472" s="9"/>
      <c r="X2472" s="9"/>
      <c r="Y2472" s="9"/>
      <c r="Z2472" s="9"/>
      <c r="AA2472" s="9"/>
      <c r="AB2472" s="9"/>
      <c r="AC2472" s="9"/>
      <c r="AD2472" s="9"/>
      <c r="AE2472" s="9"/>
      <c r="AF2472" s="9"/>
      <c r="AG2472" s="9"/>
      <c r="AH2472" s="9"/>
      <c r="AI2472" s="9"/>
      <c r="AJ2472" s="9"/>
      <c r="AK2472" s="9"/>
      <c r="AL2472" s="9"/>
    </row>
    <row r="2473" spans="1:38">
      <c r="A2473" s="10"/>
      <c r="B2473" s="10"/>
      <c r="C2473" s="10"/>
      <c r="D2473" s="10"/>
      <c r="E2473" s="10"/>
      <c r="F2473" s="10"/>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0"/>
      <c r="AH2473" s="10"/>
      <c r="AI2473" s="10"/>
      <c r="AJ2473" s="10"/>
      <c r="AK2473" s="10"/>
      <c r="AL2473" s="10"/>
    </row>
    <row r="2474" spans="1:38">
      <c r="A2474" s="10"/>
      <c r="B2474" s="10"/>
      <c r="C2474" s="10"/>
      <c r="D2474" s="10"/>
      <c r="E2474" s="10"/>
      <c r="F2474" s="10"/>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0"/>
      <c r="AH2474" s="10"/>
      <c r="AI2474" s="10"/>
      <c r="AJ2474" s="10"/>
      <c r="AK2474" s="10"/>
      <c r="AL2474" s="10"/>
    </row>
    <row r="2475" spans="1:38">
      <c r="A2475" s="10"/>
      <c r="B2475" s="10"/>
      <c r="C2475" s="10"/>
      <c r="D2475" s="10"/>
      <c r="E2475" s="10"/>
      <c r="F2475" s="10"/>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0"/>
      <c r="AH2475" s="10"/>
      <c r="AI2475" s="10"/>
      <c r="AJ2475" s="10"/>
      <c r="AK2475" s="10"/>
      <c r="AL2475" s="10"/>
    </row>
    <row r="2476" spans="1:38">
      <c r="A2476" s="10"/>
      <c r="B2476" s="10"/>
      <c r="C2476" s="10"/>
      <c r="D2476" s="10"/>
      <c r="E2476" s="10"/>
      <c r="F2476" s="10"/>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0"/>
      <c r="AH2476" s="10"/>
      <c r="AI2476" s="10"/>
      <c r="AJ2476" s="10"/>
      <c r="AK2476" s="10"/>
      <c r="AL2476" s="10"/>
    </row>
    <row r="2477" spans="1:38">
      <c r="A2477" s="10"/>
      <c r="B2477" s="10"/>
      <c r="C2477" s="10"/>
      <c r="D2477" s="10"/>
      <c r="E2477" s="10"/>
      <c r="F2477" s="10"/>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0"/>
      <c r="AH2477" s="10"/>
      <c r="AI2477" s="10"/>
      <c r="AJ2477" s="10"/>
      <c r="AK2477" s="10"/>
      <c r="AL2477" s="10"/>
    </row>
    <row r="2478" spans="1:38">
      <c r="A2478" s="10"/>
      <c r="B2478" s="10"/>
      <c r="C2478" s="10"/>
      <c r="D2478" s="10"/>
      <c r="E2478" s="10"/>
      <c r="F2478" s="10"/>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0"/>
      <c r="AH2478" s="10"/>
      <c r="AI2478" s="10"/>
      <c r="AJ2478" s="10"/>
      <c r="AK2478" s="10"/>
      <c r="AL2478" s="10"/>
    </row>
    <row r="2479" spans="1:38">
      <c r="A2479" s="10"/>
      <c r="B2479" s="10"/>
      <c r="C2479" s="10"/>
      <c r="D2479" s="10"/>
      <c r="E2479" s="10"/>
      <c r="F2479" s="10"/>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0"/>
      <c r="AH2479" s="10"/>
      <c r="AI2479" s="10"/>
      <c r="AJ2479" s="10"/>
      <c r="AK2479" s="10"/>
      <c r="AL2479" s="10"/>
    </row>
    <row r="2480" spans="1:38">
      <c r="A2480" s="10"/>
      <c r="B2480" s="10"/>
      <c r="C2480" s="10"/>
      <c r="D2480" s="10"/>
      <c r="E2480" s="10"/>
      <c r="F2480" s="10"/>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0"/>
      <c r="AH2480" s="10"/>
      <c r="AI2480" s="10"/>
      <c r="AJ2480" s="10"/>
      <c r="AK2480" s="10"/>
      <c r="AL2480" s="10"/>
    </row>
    <row r="2481" spans="1:38">
      <c r="A2481" s="10"/>
      <c r="B2481" s="10"/>
      <c r="C2481" s="10"/>
      <c r="D2481" s="10"/>
      <c r="E2481" s="10"/>
      <c r="F2481" s="10"/>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0"/>
      <c r="AH2481" s="10"/>
      <c r="AI2481" s="10"/>
      <c r="AJ2481" s="10"/>
      <c r="AK2481" s="10"/>
      <c r="AL2481" s="10"/>
    </row>
    <row r="2482" spans="1:38">
      <c r="A2482" s="10"/>
      <c r="B2482" s="10"/>
      <c r="C2482" s="10"/>
      <c r="D2482" s="10"/>
      <c r="E2482" s="10"/>
      <c r="F2482" s="10"/>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0"/>
      <c r="AH2482" s="10"/>
      <c r="AI2482" s="10"/>
      <c r="AJ2482" s="10"/>
      <c r="AK2482" s="10"/>
      <c r="AL2482" s="10"/>
    </row>
    <row r="2483" spans="1:38">
      <c r="A2483" s="11"/>
      <c r="B2483" s="11"/>
      <c r="C2483" s="11"/>
      <c r="D2483" s="11"/>
      <c r="E2483" s="11"/>
      <c r="F2483" s="11"/>
      <c r="G2483" s="11"/>
      <c r="H2483" s="11"/>
      <c r="I2483" s="11"/>
      <c r="J2483" s="11"/>
      <c r="K2483" s="11"/>
      <c r="L2483" s="11"/>
      <c r="M2483" s="11"/>
      <c r="N2483" s="11"/>
      <c r="O2483" s="11"/>
      <c r="P2483" s="11"/>
      <c r="Q2483" s="11"/>
      <c r="R2483" s="11"/>
      <c r="S2483" s="11"/>
      <c r="T2483" s="11"/>
      <c r="U2483" s="11"/>
      <c r="V2483" s="11"/>
      <c r="W2483" s="11"/>
      <c r="X2483" s="11"/>
      <c r="Y2483" s="11"/>
      <c r="Z2483" s="11"/>
      <c r="AA2483" s="11"/>
      <c r="AB2483" s="11"/>
      <c r="AC2483" s="11"/>
      <c r="AD2483" s="11"/>
      <c r="AE2483" s="11"/>
      <c r="AF2483" s="11"/>
      <c r="AG2483" s="11"/>
      <c r="AH2483" s="11"/>
      <c r="AI2483" s="11"/>
      <c r="AJ2483" s="11"/>
      <c r="AK2483" s="11"/>
      <c r="AL2483" s="11"/>
    </row>
    <row r="2484" spans="1:38">
      <c r="A2484" s="11"/>
      <c r="B2484" s="11"/>
      <c r="C2484" s="11"/>
      <c r="D2484" s="11"/>
      <c r="E2484" s="11"/>
      <c r="F2484" s="11"/>
      <c r="G2484" s="11"/>
      <c r="H2484" s="11"/>
      <c r="I2484" s="11"/>
      <c r="J2484" s="11"/>
      <c r="K2484" s="11"/>
      <c r="L2484" s="11"/>
      <c r="M2484" s="11"/>
      <c r="N2484" s="11"/>
      <c r="O2484" s="11"/>
      <c r="P2484" s="11"/>
      <c r="Q2484" s="11"/>
      <c r="R2484" s="11"/>
      <c r="S2484" s="11"/>
      <c r="T2484" s="11"/>
      <c r="U2484" s="11"/>
      <c r="V2484" s="11"/>
      <c r="W2484" s="11"/>
      <c r="X2484" s="11"/>
      <c r="Y2484" s="11"/>
      <c r="Z2484" s="11"/>
      <c r="AA2484" s="11"/>
      <c r="AB2484" s="11"/>
      <c r="AC2484" s="11"/>
      <c r="AD2484" s="11"/>
      <c r="AE2484" s="11"/>
      <c r="AF2484" s="11"/>
      <c r="AG2484" s="11"/>
      <c r="AH2484" s="11"/>
      <c r="AI2484" s="11"/>
      <c r="AJ2484" s="11"/>
      <c r="AK2484" s="11"/>
      <c r="AL2484" s="11"/>
    </row>
    <row r="2496" spans="1:38">
      <c r="A2496" s="14"/>
      <c r="B2496" s="14"/>
      <c r="C2496" s="14"/>
      <c r="D2496" s="14"/>
      <c r="E2496" s="14"/>
      <c r="F2496" s="14"/>
      <c r="G2496" s="14"/>
      <c r="H2496" s="14"/>
      <c r="I2496" s="14"/>
      <c r="J2496" s="14"/>
      <c r="K2496" s="14"/>
      <c r="L2496" s="14"/>
      <c r="M2496" s="14"/>
      <c r="N2496" s="14"/>
      <c r="O2496" s="14"/>
      <c r="P2496" s="14"/>
      <c r="Q2496" s="14"/>
      <c r="R2496" s="14"/>
      <c r="S2496" s="14"/>
      <c r="T2496" s="14"/>
      <c r="U2496" s="14"/>
      <c r="V2496" s="14"/>
      <c r="W2496" s="14"/>
      <c r="X2496" s="14"/>
      <c r="Y2496" s="14"/>
      <c r="Z2496" s="14"/>
      <c r="AA2496" s="14"/>
      <c r="AB2496" s="14"/>
      <c r="AC2496" s="14"/>
      <c r="AD2496" s="14"/>
      <c r="AE2496" s="14"/>
      <c r="AF2496" s="14"/>
      <c r="AG2496" s="14"/>
      <c r="AH2496" s="14"/>
      <c r="AI2496" s="14"/>
      <c r="AJ2496" s="14"/>
      <c r="AK2496" s="14"/>
      <c r="AL2496" s="14"/>
    </row>
    <row r="2497" spans="1:38">
      <c r="A2497" s="9"/>
      <c r="B2497" s="9"/>
      <c r="C2497" s="9"/>
      <c r="D2497" s="9"/>
      <c r="E2497" s="9"/>
      <c r="F2497" s="9"/>
      <c r="G2497" s="9"/>
      <c r="H2497" s="9"/>
      <c r="I2497" s="9"/>
      <c r="J2497" s="9"/>
      <c r="K2497" s="9"/>
      <c r="L2497" s="9"/>
      <c r="M2497" s="9"/>
      <c r="N2497" s="9"/>
      <c r="O2497" s="9"/>
      <c r="P2497" s="9"/>
      <c r="Q2497" s="9"/>
      <c r="R2497" s="9"/>
      <c r="S2497" s="9"/>
      <c r="T2497" s="9"/>
      <c r="U2497" s="9"/>
      <c r="V2497" s="9"/>
      <c r="W2497" s="9"/>
      <c r="X2497" s="9"/>
      <c r="Y2497" s="9"/>
      <c r="Z2497" s="9"/>
      <c r="AA2497" s="9"/>
      <c r="AB2497" s="9"/>
      <c r="AC2497" s="9"/>
      <c r="AD2497" s="9"/>
      <c r="AE2497" s="9"/>
      <c r="AF2497" s="9"/>
      <c r="AG2497" s="9"/>
      <c r="AH2497" s="9"/>
      <c r="AI2497" s="9"/>
      <c r="AJ2497" s="9"/>
      <c r="AK2497" s="9"/>
      <c r="AL2497" s="9"/>
    </row>
    <row r="2498" spans="1:38">
      <c r="A2498" s="10"/>
      <c r="B2498" s="10"/>
      <c r="C2498" s="10"/>
      <c r="D2498" s="10"/>
      <c r="E2498" s="10"/>
      <c r="F2498" s="10"/>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0"/>
      <c r="AH2498" s="10"/>
      <c r="AI2498" s="10"/>
      <c r="AJ2498" s="10"/>
      <c r="AK2498" s="10"/>
      <c r="AL2498" s="10"/>
    </row>
    <row r="2499" spans="1:38">
      <c r="A2499" s="10"/>
      <c r="B2499" s="10"/>
      <c r="C2499" s="10"/>
      <c r="D2499" s="10"/>
      <c r="E2499" s="10"/>
      <c r="F2499" s="10"/>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0"/>
      <c r="AH2499" s="10"/>
      <c r="AI2499" s="10"/>
      <c r="AJ2499" s="10"/>
      <c r="AK2499" s="10"/>
      <c r="AL2499" s="10"/>
    </row>
    <row r="2500" spans="1:38">
      <c r="A2500" s="10"/>
      <c r="B2500" s="10"/>
      <c r="C2500" s="10"/>
      <c r="D2500" s="10"/>
      <c r="E2500" s="10"/>
      <c r="F2500" s="10"/>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0"/>
      <c r="AH2500" s="10"/>
      <c r="AI2500" s="10"/>
      <c r="AJ2500" s="10"/>
      <c r="AK2500" s="10"/>
      <c r="AL2500" s="10"/>
    </row>
    <row r="2501" spans="1:38">
      <c r="A2501" s="10"/>
      <c r="B2501" s="10"/>
      <c r="C2501" s="10"/>
      <c r="D2501" s="10"/>
      <c r="E2501" s="10"/>
      <c r="F2501" s="10"/>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0"/>
      <c r="AH2501" s="10"/>
      <c r="AI2501" s="10"/>
      <c r="AJ2501" s="10"/>
      <c r="AK2501" s="10"/>
      <c r="AL2501" s="10"/>
    </row>
    <row r="2502" spans="1:38">
      <c r="A2502" s="10"/>
      <c r="B2502" s="10"/>
      <c r="C2502" s="10"/>
      <c r="D2502" s="10"/>
      <c r="E2502" s="10"/>
      <c r="F2502" s="10"/>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0"/>
      <c r="AH2502" s="10"/>
      <c r="AI2502" s="10"/>
      <c r="AJ2502" s="10"/>
      <c r="AK2502" s="10"/>
      <c r="AL2502" s="10"/>
    </row>
    <row r="2503" spans="1:38">
      <c r="A2503" s="10"/>
      <c r="B2503" s="10"/>
      <c r="C2503" s="10"/>
      <c r="D2503" s="10"/>
      <c r="E2503" s="10"/>
      <c r="F2503" s="10"/>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0"/>
      <c r="AH2503" s="10"/>
      <c r="AI2503" s="10"/>
      <c r="AJ2503" s="10"/>
      <c r="AK2503" s="10"/>
      <c r="AL2503" s="10"/>
    </row>
    <row r="2504" spans="1:38">
      <c r="A2504" s="10"/>
      <c r="B2504" s="10"/>
      <c r="C2504" s="10"/>
      <c r="D2504" s="10"/>
      <c r="E2504" s="10"/>
      <c r="F2504" s="10"/>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0"/>
      <c r="AH2504" s="10"/>
      <c r="AI2504" s="10"/>
      <c r="AJ2504" s="10"/>
      <c r="AK2504" s="10"/>
      <c r="AL2504" s="10"/>
    </row>
    <row r="2505" spans="1:38">
      <c r="A2505" s="10"/>
      <c r="B2505" s="10"/>
      <c r="C2505" s="10"/>
      <c r="D2505" s="10"/>
      <c r="E2505" s="10"/>
      <c r="F2505" s="10"/>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0"/>
      <c r="AH2505" s="10"/>
      <c r="AI2505" s="10"/>
      <c r="AJ2505" s="10"/>
      <c r="AK2505" s="10"/>
      <c r="AL2505" s="10"/>
    </row>
    <row r="2506" spans="1:38">
      <c r="A2506" s="10"/>
      <c r="B2506" s="10"/>
      <c r="C2506" s="10"/>
      <c r="D2506" s="10"/>
      <c r="E2506" s="10"/>
      <c r="F2506" s="10"/>
      <c r="G2506" s="10"/>
      <c r="H2506" s="10"/>
      <c r="I2506" s="10"/>
      <c r="J2506" s="10"/>
      <c r="K2506" s="10"/>
      <c r="L2506" s="10"/>
      <c r="M2506" s="10"/>
      <c r="N2506" s="10"/>
      <c r="O2506" s="10"/>
      <c r="P2506" s="10"/>
      <c r="Q2506" s="10"/>
      <c r="R2506" s="10"/>
      <c r="S2506" s="10"/>
      <c r="T2506" s="10"/>
      <c r="U2506" s="10"/>
      <c r="V2506" s="10"/>
      <c r="W2506" s="10"/>
      <c r="X2506" s="10"/>
      <c r="Y2506" s="10"/>
      <c r="Z2506" s="10"/>
      <c r="AA2506" s="10"/>
      <c r="AB2506" s="10"/>
      <c r="AC2506" s="10"/>
      <c r="AD2506" s="10"/>
      <c r="AE2506" s="10"/>
      <c r="AF2506" s="10"/>
      <c r="AG2506" s="10"/>
      <c r="AH2506" s="10"/>
      <c r="AI2506" s="10"/>
      <c r="AJ2506" s="10"/>
      <c r="AK2506" s="10"/>
      <c r="AL2506" s="10"/>
    </row>
    <row r="2507" spans="1:38">
      <c r="A2507" s="10"/>
      <c r="B2507" s="10"/>
      <c r="C2507" s="10"/>
      <c r="D2507" s="10"/>
      <c r="E2507" s="10"/>
      <c r="F2507" s="10"/>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0"/>
      <c r="AH2507" s="10"/>
      <c r="AI2507" s="10"/>
      <c r="AJ2507" s="10"/>
      <c r="AK2507" s="10"/>
      <c r="AL2507" s="10"/>
    </row>
    <row r="2508" spans="1:38">
      <c r="A2508" s="9"/>
      <c r="B2508" s="9"/>
      <c r="C2508" s="9"/>
      <c r="D2508" s="9"/>
      <c r="E2508" s="9"/>
      <c r="F2508" s="9"/>
      <c r="G2508" s="9"/>
      <c r="H2508" s="9"/>
      <c r="I2508" s="9"/>
      <c r="J2508" s="9"/>
      <c r="K2508" s="9"/>
      <c r="L2508" s="9"/>
      <c r="M2508" s="9"/>
      <c r="N2508" s="9"/>
      <c r="O2508" s="9"/>
      <c r="P2508" s="9"/>
      <c r="Q2508" s="9"/>
      <c r="R2508" s="9"/>
      <c r="S2508" s="9"/>
      <c r="T2508" s="9"/>
      <c r="U2508" s="9"/>
      <c r="V2508" s="9"/>
      <c r="W2508" s="9"/>
      <c r="X2508" s="9"/>
      <c r="Y2508" s="9"/>
      <c r="Z2508" s="9"/>
      <c r="AA2508" s="9"/>
      <c r="AB2508" s="9"/>
      <c r="AC2508" s="9"/>
      <c r="AD2508" s="9"/>
      <c r="AE2508" s="9"/>
      <c r="AF2508" s="9"/>
      <c r="AG2508" s="9"/>
      <c r="AH2508" s="9"/>
      <c r="AI2508" s="9"/>
      <c r="AJ2508" s="9"/>
      <c r="AK2508" s="9"/>
      <c r="AL2508" s="9"/>
    </row>
    <row r="2509" spans="1:38">
      <c r="A2509" s="11"/>
      <c r="B2509" s="11"/>
      <c r="C2509" s="11"/>
      <c r="D2509" s="11"/>
      <c r="E2509" s="11"/>
      <c r="F2509" s="11"/>
      <c r="G2509" s="11"/>
      <c r="H2509" s="11"/>
      <c r="I2509" s="11"/>
      <c r="J2509" s="11"/>
      <c r="K2509" s="11"/>
      <c r="L2509" s="11"/>
      <c r="M2509" s="11"/>
      <c r="N2509" s="11"/>
      <c r="O2509" s="11"/>
      <c r="P2509" s="11"/>
      <c r="Q2509" s="11"/>
      <c r="R2509" s="11"/>
      <c r="S2509" s="11"/>
      <c r="T2509" s="11"/>
      <c r="U2509" s="11"/>
      <c r="V2509" s="11"/>
      <c r="W2509" s="11"/>
      <c r="X2509" s="11"/>
      <c r="Y2509" s="11"/>
      <c r="Z2509" s="11"/>
      <c r="AA2509" s="11"/>
      <c r="AB2509" s="11"/>
      <c r="AC2509" s="11"/>
      <c r="AD2509" s="11"/>
      <c r="AE2509" s="11"/>
      <c r="AF2509" s="11"/>
      <c r="AG2509" s="11"/>
      <c r="AH2509" s="11"/>
      <c r="AI2509" s="11"/>
      <c r="AJ2509" s="11"/>
      <c r="AK2509" s="11"/>
      <c r="AL2509" s="11"/>
    </row>
    <row r="2518" spans="1:38">
      <c r="A2518" s="14"/>
      <c r="B2518" s="14"/>
      <c r="C2518" s="14"/>
      <c r="D2518" s="14"/>
      <c r="E2518" s="14"/>
      <c r="F2518" s="14"/>
      <c r="G2518" s="14"/>
      <c r="H2518" s="14"/>
      <c r="I2518" s="14"/>
      <c r="J2518" s="14"/>
      <c r="K2518" s="14"/>
      <c r="L2518" s="14"/>
      <c r="M2518" s="14"/>
      <c r="N2518" s="14"/>
      <c r="O2518" s="14"/>
      <c r="P2518" s="14"/>
      <c r="Q2518" s="14"/>
      <c r="R2518" s="14"/>
      <c r="S2518" s="14"/>
      <c r="T2518" s="14"/>
      <c r="U2518" s="14"/>
      <c r="V2518" s="14"/>
      <c r="W2518" s="14"/>
      <c r="X2518" s="14"/>
      <c r="Y2518" s="14"/>
      <c r="Z2518" s="14"/>
      <c r="AA2518" s="14"/>
      <c r="AB2518" s="14"/>
      <c r="AC2518" s="14"/>
      <c r="AD2518" s="14"/>
      <c r="AE2518" s="14"/>
      <c r="AF2518" s="14"/>
      <c r="AG2518" s="14"/>
      <c r="AH2518" s="14"/>
      <c r="AI2518" s="14"/>
      <c r="AJ2518" s="14"/>
      <c r="AK2518" s="14"/>
      <c r="AL2518" s="14"/>
    </row>
    <row r="2519" spans="1:38">
      <c r="A2519" s="9"/>
      <c r="B2519" s="9"/>
      <c r="C2519" s="9"/>
      <c r="D2519" s="9"/>
      <c r="E2519" s="9"/>
      <c r="F2519" s="9"/>
      <c r="G2519" s="9"/>
      <c r="H2519" s="9"/>
      <c r="I2519" s="9"/>
      <c r="J2519" s="9"/>
      <c r="K2519" s="9"/>
      <c r="L2519" s="9"/>
      <c r="M2519" s="9"/>
      <c r="N2519" s="9"/>
      <c r="O2519" s="9"/>
      <c r="P2519" s="9"/>
      <c r="Q2519" s="9"/>
      <c r="R2519" s="9"/>
      <c r="S2519" s="9"/>
      <c r="T2519" s="9"/>
      <c r="U2519" s="9"/>
      <c r="V2519" s="9"/>
      <c r="W2519" s="9"/>
      <c r="X2519" s="9"/>
      <c r="Y2519" s="9"/>
      <c r="Z2519" s="9"/>
      <c r="AA2519" s="9"/>
      <c r="AB2519" s="9"/>
      <c r="AC2519" s="9"/>
      <c r="AD2519" s="9"/>
      <c r="AE2519" s="9"/>
      <c r="AF2519" s="9"/>
      <c r="AG2519" s="9"/>
      <c r="AH2519" s="9"/>
      <c r="AI2519" s="9"/>
      <c r="AJ2519" s="9"/>
      <c r="AK2519" s="9"/>
      <c r="AL2519" s="9"/>
    </row>
    <row r="2520" spans="1:38">
      <c r="A2520" s="10"/>
      <c r="B2520" s="10"/>
      <c r="C2520" s="10"/>
      <c r="D2520" s="10"/>
      <c r="E2520" s="10"/>
      <c r="F2520" s="10"/>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0"/>
      <c r="AH2520" s="10"/>
      <c r="AI2520" s="10"/>
      <c r="AJ2520" s="10"/>
      <c r="AK2520" s="10"/>
      <c r="AL2520" s="10"/>
    </row>
    <row r="2521" spans="1:38">
      <c r="A2521" s="10"/>
      <c r="B2521" s="10"/>
      <c r="C2521" s="10"/>
      <c r="D2521" s="10"/>
      <c r="E2521" s="10"/>
      <c r="F2521" s="10"/>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0"/>
      <c r="AH2521" s="10"/>
      <c r="AI2521" s="10"/>
      <c r="AJ2521" s="10"/>
      <c r="AK2521" s="10"/>
      <c r="AL2521" s="10"/>
    </row>
    <row r="2522" spans="1:38">
      <c r="A2522" s="10"/>
      <c r="B2522" s="10"/>
      <c r="C2522" s="10"/>
      <c r="D2522" s="10"/>
      <c r="E2522" s="10"/>
      <c r="F2522" s="10"/>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0"/>
      <c r="AH2522" s="10"/>
      <c r="AI2522" s="10"/>
      <c r="AJ2522" s="10"/>
      <c r="AK2522" s="10"/>
      <c r="AL2522" s="10"/>
    </row>
    <row r="2523" spans="1:38">
      <c r="A2523" s="10"/>
      <c r="B2523" s="10"/>
      <c r="C2523" s="10"/>
      <c r="D2523" s="10"/>
      <c r="E2523" s="10"/>
      <c r="F2523" s="10"/>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0"/>
      <c r="AH2523" s="10"/>
      <c r="AI2523" s="10"/>
      <c r="AJ2523" s="10"/>
      <c r="AK2523" s="10"/>
      <c r="AL2523" s="10"/>
    </row>
    <row r="2524" spans="1:38">
      <c r="A2524" s="10"/>
      <c r="B2524" s="10"/>
      <c r="C2524" s="10"/>
      <c r="D2524" s="10"/>
      <c r="E2524" s="10"/>
      <c r="F2524" s="10"/>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0"/>
      <c r="AH2524" s="10"/>
      <c r="AI2524" s="10"/>
      <c r="AJ2524" s="10"/>
      <c r="AK2524" s="10"/>
      <c r="AL2524" s="10"/>
    </row>
    <row r="2525" spans="1:38">
      <c r="A2525" s="10"/>
      <c r="B2525" s="10"/>
      <c r="C2525" s="10"/>
      <c r="D2525" s="10"/>
      <c r="E2525" s="10"/>
      <c r="F2525" s="10"/>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0"/>
      <c r="AH2525" s="10"/>
      <c r="AI2525" s="10"/>
      <c r="AJ2525" s="10"/>
      <c r="AK2525" s="10"/>
      <c r="AL2525" s="10"/>
    </row>
    <row r="2526" spans="1:38">
      <c r="A2526" s="10"/>
      <c r="B2526" s="10"/>
      <c r="C2526" s="10"/>
      <c r="D2526" s="10"/>
      <c r="E2526" s="10"/>
      <c r="F2526" s="10"/>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0"/>
      <c r="AH2526" s="10"/>
      <c r="AI2526" s="10"/>
      <c r="AJ2526" s="10"/>
      <c r="AK2526" s="10"/>
      <c r="AL2526" s="10"/>
    </row>
    <row r="2527" spans="1:38">
      <c r="A2527" s="10"/>
      <c r="B2527" s="10"/>
      <c r="C2527" s="10"/>
      <c r="D2527" s="10"/>
      <c r="E2527" s="10"/>
      <c r="F2527" s="10"/>
      <c r="G2527" s="10"/>
      <c r="H2527" s="10"/>
      <c r="I2527" s="10"/>
      <c r="J2527" s="10"/>
      <c r="K2527" s="10"/>
      <c r="L2527" s="10"/>
      <c r="M2527" s="10"/>
      <c r="N2527" s="10"/>
      <c r="O2527" s="10"/>
      <c r="P2527" s="10"/>
      <c r="Q2527" s="10"/>
      <c r="R2527" s="10"/>
      <c r="S2527" s="10"/>
      <c r="T2527" s="10"/>
      <c r="U2527" s="10"/>
      <c r="V2527" s="10"/>
      <c r="W2527" s="10"/>
      <c r="X2527" s="10"/>
      <c r="Y2527" s="10"/>
      <c r="Z2527" s="10"/>
      <c r="AA2527" s="10"/>
      <c r="AB2527" s="10"/>
      <c r="AC2527" s="10"/>
      <c r="AD2527" s="10"/>
      <c r="AE2527" s="10"/>
      <c r="AF2527" s="10"/>
      <c r="AG2527" s="10"/>
      <c r="AH2527" s="10"/>
      <c r="AI2527" s="10"/>
      <c r="AJ2527" s="10"/>
      <c r="AK2527" s="10"/>
      <c r="AL2527" s="10"/>
    </row>
    <row r="2528" spans="1:38">
      <c r="A2528" s="10"/>
      <c r="B2528" s="10"/>
      <c r="C2528" s="10"/>
      <c r="D2528" s="10"/>
      <c r="E2528" s="10"/>
      <c r="F2528" s="10"/>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0"/>
      <c r="AH2528" s="10"/>
      <c r="AI2528" s="10"/>
      <c r="AJ2528" s="10"/>
      <c r="AK2528" s="10"/>
      <c r="AL2528" s="10"/>
    </row>
    <row r="2529" spans="1:38">
      <c r="A2529" s="10"/>
      <c r="B2529" s="10"/>
      <c r="C2529" s="10"/>
      <c r="D2529" s="10"/>
      <c r="E2529" s="10"/>
      <c r="F2529" s="10"/>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0"/>
      <c r="AH2529" s="10"/>
      <c r="AI2529" s="10"/>
      <c r="AJ2529" s="10"/>
      <c r="AK2529" s="10"/>
      <c r="AL2529" s="10"/>
    </row>
    <row r="2530" spans="1:38">
      <c r="A2530" s="9"/>
      <c r="B2530" s="9"/>
      <c r="C2530" s="9"/>
      <c r="D2530" s="9"/>
      <c r="E2530" s="9"/>
      <c r="F2530" s="9"/>
      <c r="G2530" s="9"/>
      <c r="H2530" s="9"/>
      <c r="I2530" s="9"/>
      <c r="J2530" s="9"/>
      <c r="K2530" s="9"/>
      <c r="L2530" s="9"/>
      <c r="M2530" s="9"/>
      <c r="N2530" s="9"/>
      <c r="O2530" s="9"/>
      <c r="P2530" s="9"/>
      <c r="Q2530" s="9"/>
      <c r="R2530" s="9"/>
      <c r="S2530" s="9"/>
      <c r="T2530" s="9"/>
      <c r="U2530" s="9"/>
      <c r="V2530" s="9"/>
      <c r="W2530" s="9"/>
      <c r="X2530" s="9"/>
      <c r="Y2530" s="9"/>
      <c r="Z2530" s="9"/>
      <c r="AA2530" s="9"/>
      <c r="AB2530" s="9"/>
      <c r="AC2530" s="9"/>
      <c r="AD2530" s="9"/>
      <c r="AE2530" s="9"/>
      <c r="AF2530" s="9"/>
      <c r="AG2530" s="9"/>
      <c r="AH2530" s="9"/>
      <c r="AI2530" s="9"/>
      <c r="AJ2530" s="9"/>
      <c r="AK2530" s="9"/>
      <c r="AL2530" s="9"/>
    </row>
    <row r="2531" spans="1:38">
      <c r="A2531" s="11"/>
      <c r="B2531" s="11"/>
      <c r="C2531" s="11"/>
      <c r="D2531" s="11"/>
      <c r="E2531" s="11"/>
      <c r="F2531" s="11"/>
      <c r="G2531" s="11"/>
      <c r="H2531" s="11"/>
      <c r="I2531" s="11"/>
      <c r="J2531" s="11"/>
      <c r="K2531" s="11"/>
      <c r="L2531" s="11"/>
      <c r="M2531" s="11"/>
      <c r="N2531" s="11"/>
      <c r="O2531" s="11"/>
      <c r="P2531" s="11"/>
      <c r="Q2531" s="11"/>
      <c r="R2531" s="11"/>
      <c r="S2531" s="11"/>
      <c r="T2531" s="11"/>
      <c r="U2531" s="11"/>
      <c r="V2531" s="11"/>
      <c r="W2531" s="11"/>
      <c r="X2531" s="11"/>
      <c r="Y2531" s="11"/>
      <c r="Z2531" s="11"/>
      <c r="AA2531" s="11"/>
      <c r="AB2531" s="11"/>
      <c r="AC2531" s="11"/>
      <c r="AD2531" s="11"/>
      <c r="AE2531" s="11"/>
      <c r="AF2531" s="11"/>
      <c r="AG2531" s="11"/>
      <c r="AH2531" s="11"/>
      <c r="AI2531" s="11"/>
      <c r="AJ2531" s="11"/>
      <c r="AK2531" s="11"/>
      <c r="AL2531" s="11"/>
    </row>
    <row r="2545" spans="1:38">
      <c r="A2545" s="14"/>
      <c r="B2545" s="14"/>
      <c r="C2545" s="14"/>
      <c r="D2545" s="14"/>
      <c r="E2545" s="14"/>
      <c r="F2545" s="14"/>
      <c r="G2545" s="14"/>
      <c r="H2545" s="14"/>
      <c r="I2545" s="14"/>
      <c r="J2545" s="14"/>
      <c r="K2545" s="14"/>
      <c r="L2545" s="14"/>
      <c r="M2545" s="14"/>
      <c r="N2545" s="14"/>
      <c r="O2545" s="14"/>
      <c r="P2545" s="14"/>
      <c r="Q2545" s="14"/>
      <c r="R2545" s="14"/>
      <c r="S2545" s="14"/>
      <c r="T2545" s="14"/>
      <c r="U2545" s="14"/>
      <c r="V2545" s="14"/>
      <c r="W2545" s="14"/>
      <c r="X2545" s="14"/>
      <c r="Y2545" s="14"/>
      <c r="Z2545" s="14"/>
      <c r="AA2545" s="14"/>
      <c r="AB2545" s="14"/>
      <c r="AC2545" s="14"/>
      <c r="AD2545" s="14"/>
      <c r="AE2545" s="14"/>
      <c r="AF2545" s="14"/>
      <c r="AG2545" s="14"/>
      <c r="AH2545" s="14"/>
      <c r="AI2545" s="14"/>
      <c r="AJ2545" s="14"/>
      <c r="AK2545" s="14"/>
      <c r="AL2545" s="14"/>
    </row>
    <row r="2546" spans="1:38">
      <c r="A2546" s="9"/>
      <c r="B2546" s="9"/>
      <c r="C2546" s="9"/>
      <c r="D2546" s="9"/>
      <c r="E2546" s="9"/>
      <c r="F2546" s="9"/>
      <c r="G2546" s="9"/>
      <c r="H2546" s="9"/>
      <c r="I2546" s="9"/>
      <c r="J2546" s="9"/>
      <c r="K2546" s="9"/>
      <c r="L2546" s="9"/>
      <c r="M2546" s="9"/>
      <c r="N2546" s="9"/>
      <c r="O2546" s="9"/>
      <c r="P2546" s="9"/>
      <c r="Q2546" s="9"/>
      <c r="R2546" s="9"/>
      <c r="S2546" s="9"/>
      <c r="T2546" s="9"/>
      <c r="U2546" s="9"/>
      <c r="V2546" s="9"/>
      <c r="W2546" s="9"/>
      <c r="X2546" s="9"/>
      <c r="Y2546" s="9"/>
      <c r="Z2546" s="9"/>
      <c r="AA2546" s="9"/>
      <c r="AB2546" s="9"/>
      <c r="AC2546" s="9"/>
      <c r="AD2546" s="9"/>
      <c r="AE2546" s="9"/>
      <c r="AF2546" s="9"/>
      <c r="AG2546" s="9"/>
      <c r="AH2546" s="9"/>
      <c r="AI2546" s="9"/>
      <c r="AJ2546" s="9"/>
      <c r="AK2546" s="9"/>
      <c r="AL2546" s="9"/>
    </row>
    <row r="2547" spans="1:38">
      <c r="A2547" s="10"/>
      <c r="B2547" s="10"/>
      <c r="C2547" s="10"/>
      <c r="D2547" s="10"/>
      <c r="E2547" s="10"/>
      <c r="F2547" s="10"/>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0"/>
      <c r="AH2547" s="10"/>
      <c r="AI2547" s="10"/>
      <c r="AJ2547" s="10"/>
      <c r="AK2547" s="10"/>
      <c r="AL2547" s="10"/>
    </row>
    <row r="2548" spans="1:38">
      <c r="A2548" s="10"/>
      <c r="B2548" s="10"/>
      <c r="C2548" s="10"/>
      <c r="D2548" s="10"/>
      <c r="E2548" s="10"/>
      <c r="F2548" s="10"/>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0"/>
      <c r="AH2548" s="10"/>
      <c r="AI2548" s="10"/>
      <c r="AJ2548" s="10"/>
      <c r="AK2548" s="10"/>
      <c r="AL2548" s="10"/>
    </row>
    <row r="2549" spans="1:38">
      <c r="A2549" s="10"/>
      <c r="B2549" s="10"/>
      <c r="C2549" s="10"/>
      <c r="D2549" s="10"/>
      <c r="E2549" s="10"/>
      <c r="F2549" s="10"/>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0"/>
      <c r="AH2549" s="10"/>
      <c r="AI2549" s="10"/>
      <c r="AJ2549" s="10"/>
      <c r="AK2549" s="10"/>
      <c r="AL2549" s="10"/>
    </row>
    <row r="2550" spans="1:38">
      <c r="A2550" s="10"/>
      <c r="B2550" s="10"/>
      <c r="C2550" s="10"/>
      <c r="D2550" s="10"/>
      <c r="E2550" s="10"/>
      <c r="F2550" s="10"/>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0"/>
      <c r="AH2550" s="10"/>
      <c r="AI2550" s="10"/>
      <c r="AJ2550" s="10"/>
      <c r="AK2550" s="10"/>
      <c r="AL2550" s="10"/>
    </row>
    <row r="2551" spans="1:38">
      <c r="A2551" s="10"/>
      <c r="B2551" s="10"/>
      <c r="C2551" s="10"/>
      <c r="D2551" s="10"/>
      <c r="E2551" s="10"/>
      <c r="F2551" s="10"/>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0"/>
      <c r="AH2551" s="10"/>
      <c r="AI2551" s="10"/>
      <c r="AJ2551" s="10"/>
      <c r="AK2551" s="10"/>
      <c r="AL2551" s="10"/>
    </row>
    <row r="2552" spans="1:38">
      <c r="A2552" s="10"/>
      <c r="B2552" s="10"/>
      <c r="C2552" s="10"/>
      <c r="D2552" s="10"/>
      <c r="E2552" s="10"/>
      <c r="F2552" s="10"/>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0"/>
      <c r="AH2552" s="10"/>
      <c r="AI2552" s="10"/>
      <c r="AJ2552" s="10"/>
      <c r="AK2552" s="10"/>
      <c r="AL2552" s="10"/>
    </row>
    <row r="2553" spans="1:38">
      <c r="A2553" s="10"/>
      <c r="B2553" s="10"/>
      <c r="C2553" s="10"/>
      <c r="D2553" s="10"/>
      <c r="E2553" s="10"/>
      <c r="F2553" s="10"/>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0"/>
      <c r="AH2553" s="10"/>
      <c r="AI2553" s="10"/>
      <c r="AJ2553" s="10"/>
      <c r="AK2553" s="10"/>
      <c r="AL2553" s="10"/>
    </row>
    <row r="2554" spans="1:38">
      <c r="A2554" s="10"/>
      <c r="B2554" s="10"/>
      <c r="C2554" s="10"/>
      <c r="D2554" s="10"/>
      <c r="E2554" s="10"/>
      <c r="F2554" s="10"/>
      <c r="G2554" s="10"/>
      <c r="H2554" s="10"/>
      <c r="I2554" s="10"/>
      <c r="J2554" s="10"/>
      <c r="K2554" s="10"/>
      <c r="L2554" s="10"/>
      <c r="M2554" s="10"/>
      <c r="N2554" s="10"/>
      <c r="O2554" s="10"/>
      <c r="P2554" s="10"/>
      <c r="Q2554" s="10"/>
      <c r="R2554" s="10"/>
      <c r="S2554" s="10"/>
      <c r="T2554" s="10"/>
      <c r="U2554" s="10"/>
      <c r="V2554" s="10"/>
      <c r="W2554" s="10"/>
      <c r="X2554" s="10"/>
      <c r="Y2554" s="10"/>
      <c r="Z2554" s="10"/>
      <c r="AA2554" s="10"/>
      <c r="AB2554" s="10"/>
      <c r="AC2554" s="10"/>
      <c r="AD2554" s="10"/>
      <c r="AE2554" s="10"/>
      <c r="AF2554" s="10"/>
      <c r="AG2554" s="10"/>
      <c r="AH2554" s="10"/>
      <c r="AI2554" s="10"/>
      <c r="AJ2554" s="10"/>
      <c r="AK2554" s="10"/>
      <c r="AL2554" s="10"/>
    </row>
    <row r="2555" spans="1:38">
      <c r="A2555" s="10"/>
      <c r="B2555" s="10"/>
      <c r="C2555" s="10"/>
      <c r="D2555" s="10"/>
      <c r="E2555" s="10"/>
      <c r="F2555" s="10"/>
      <c r="G2555" s="10"/>
      <c r="H2555" s="10"/>
      <c r="I2555" s="10"/>
      <c r="J2555" s="10"/>
      <c r="K2555" s="10"/>
      <c r="L2555" s="10"/>
      <c r="M2555" s="10"/>
      <c r="N2555" s="10"/>
      <c r="O2555" s="10"/>
      <c r="P2555" s="10"/>
      <c r="Q2555" s="10"/>
      <c r="R2555" s="10"/>
      <c r="S2555" s="10"/>
      <c r="T2555" s="10"/>
      <c r="U2555" s="10"/>
      <c r="V2555" s="10"/>
      <c r="W2555" s="10"/>
      <c r="X2555" s="10"/>
      <c r="Y2555" s="10"/>
      <c r="Z2555" s="10"/>
      <c r="AA2555" s="10"/>
      <c r="AB2555" s="10"/>
      <c r="AC2555" s="10"/>
      <c r="AD2555" s="10"/>
      <c r="AE2555" s="10"/>
      <c r="AF2555" s="10"/>
      <c r="AG2555" s="10"/>
      <c r="AH2555" s="10"/>
      <c r="AI2555" s="10"/>
      <c r="AJ2555" s="10"/>
      <c r="AK2555" s="10"/>
      <c r="AL2555" s="10"/>
    </row>
    <row r="2556" spans="1:38">
      <c r="A2556" s="10"/>
      <c r="B2556" s="10"/>
      <c r="C2556" s="10"/>
      <c r="D2556" s="10"/>
      <c r="E2556" s="10"/>
      <c r="F2556" s="10"/>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0"/>
      <c r="AH2556" s="10"/>
      <c r="AI2556" s="10"/>
      <c r="AJ2556" s="10"/>
      <c r="AK2556" s="10"/>
      <c r="AL2556" s="10"/>
    </row>
    <row r="2557" spans="1:38">
      <c r="A2557" s="11"/>
      <c r="B2557" s="11"/>
      <c r="C2557" s="11"/>
      <c r="D2557" s="11"/>
      <c r="E2557" s="11"/>
      <c r="F2557" s="11"/>
      <c r="G2557" s="11"/>
      <c r="H2557" s="11"/>
      <c r="I2557" s="11"/>
      <c r="J2557" s="11"/>
      <c r="K2557" s="11"/>
      <c r="L2557" s="11"/>
      <c r="M2557" s="11"/>
      <c r="N2557" s="11"/>
      <c r="O2557" s="11"/>
      <c r="P2557" s="11"/>
      <c r="Q2557" s="11"/>
      <c r="R2557" s="11"/>
      <c r="S2557" s="11"/>
      <c r="T2557" s="11"/>
      <c r="U2557" s="11"/>
      <c r="V2557" s="11"/>
      <c r="W2557" s="11"/>
      <c r="X2557" s="11"/>
      <c r="Y2557" s="11"/>
      <c r="Z2557" s="11"/>
      <c r="AA2557" s="11"/>
      <c r="AB2557" s="11"/>
      <c r="AC2557" s="11"/>
      <c r="AD2557" s="11"/>
      <c r="AE2557" s="11"/>
      <c r="AF2557" s="11"/>
      <c r="AG2557" s="11"/>
      <c r="AH2557" s="11"/>
      <c r="AI2557" s="11"/>
      <c r="AJ2557" s="11"/>
      <c r="AK2557" s="11"/>
      <c r="AL2557" s="11"/>
    </row>
    <row r="2558" spans="1:38">
      <c r="A2558" s="11"/>
      <c r="B2558" s="11"/>
      <c r="C2558" s="11"/>
      <c r="D2558" s="11"/>
      <c r="E2558" s="11"/>
      <c r="F2558" s="11"/>
      <c r="G2558" s="11"/>
      <c r="H2558" s="11"/>
      <c r="I2558" s="11"/>
      <c r="J2558" s="11"/>
      <c r="K2558" s="11"/>
      <c r="L2558" s="11"/>
      <c r="M2558" s="11"/>
      <c r="N2558" s="11"/>
      <c r="O2558" s="11"/>
      <c r="P2558" s="11"/>
      <c r="Q2558" s="11"/>
      <c r="R2558" s="11"/>
      <c r="S2558" s="11"/>
      <c r="T2558" s="11"/>
      <c r="U2558" s="11"/>
      <c r="V2558" s="11"/>
      <c r="W2558" s="11"/>
      <c r="X2558" s="11"/>
      <c r="Y2558" s="11"/>
      <c r="Z2558" s="11"/>
      <c r="AA2558" s="11"/>
      <c r="AB2558" s="11"/>
      <c r="AC2558" s="11"/>
      <c r="AD2558" s="11"/>
      <c r="AE2558" s="11"/>
      <c r="AF2558" s="11"/>
      <c r="AG2558" s="11"/>
      <c r="AH2558" s="11"/>
      <c r="AI2558" s="11"/>
      <c r="AJ2558" s="11"/>
      <c r="AK2558" s="11"/>
      <c r="AL2558" s="11"/>
    </row>
    <row r="2572" spans="1:38">
      <c r="A2572" s="14"/>
      <c r="B2572" s="14"/>
      <c r="C2572" s="14"/>
      <c r="D2572" s="14"/>
      <c r="E2572" s="14"/>
      <c r="F2572" s="14"/>
      <c r="G2572" s="14"/>
      <c r="H2572" s="14"/>
      <c r="I2572" s="14"/>
      <c r="J2572" s="14"/>
      <c r="K2572" s="14"/>
      <c r="L2572" s="14"/>
      <c r="M2572" s="14"/>
      <c r="N2572" s="14"/>
      <c r="O2572" s="14"/>
      <c r="P2572" s="14"/>
      <c r="Q2572" s="14"/>
      <c r="R2572" s="14"/>
      <c r="S2572" s="14"/>
      <c r="T2572" s="14"/>
      <c r="U2572" s="14"/>
      <c r="V2572" s="14"/>
      <c r="W2572" s="14"/>
      <c r="X2572" s="14"/>
      <c r="Y2572" s="14"/>
      <c r="Z2572" s="14"/>
      <c r="AA2572" s="14"/>
      <c r="AB2572" s="14"/>
      <c r="AC2572" s="14"/>
      <c r="AD2572" s="14"/>
      <c r="AE2572" s="14"/>
      <c r="AF2572" s="14"/>
      <c r="AG2572" s="14"/>
      <c r="AH2572" s="14"/>
      <c r="AI2572" s="14"/>
      <c r="AJ2572" s="14"/>
      <c r="AK2572" s="14"/>
      <c r="AL2572" s="14"/>
    </row>
    <row r="2573" spans="1:38">
      <c r="A2573" s="9"/>
      <c r="B2573" s="9"/>
      <c r="C2573" s="9"/>
      <c r="D2573" s="9"/>
      <c r="E2573" s="9"/>
      <c r="F2573" s="9"/>
      <c r="G2573" s="9"/>
      <c r="H2573" s="9"/>
      <c r="I2573" s="9"/>
      <c r="J2573" s="9"/>
      <c r="K2573" s="9"/>
      <c r="L2573" s="9"/>
      <c r="M2573" s="9"/>
      <c r="N2573" s="9"/>
      <c r="O2573" s="9"/>
      <c r="P2573" s="9"/>
      <c r="Q2573" s="9"/>
      <c r="R2573" s="9"/>
      <c r="S2573" s="9"/>
      <c r="T2573" s="9"/>
      <c r="U2573" s="9"/>
      <c r="V2573" s="9"/>
      <c r="W2573" s="9"/>
      <c r="X2573" s="9"/>
      <c r="Y2573" s="9"/>
      <c r="Z2573" s="9"/>
      <c r="AA2573" s="9"/>
      <c r="AB2573" s="9"/>
      <c r="AC2573" s="9"/>
      <c r="AD2573" s="9"/>
      <c r="AE2573" s="9"/>
      <c r="AF2573" s="9"/>
      <c r="AG2573" s="9"/>
      <c r="AH2573" s="9"/>
      <c r="AI2573" s="9"/>
      <c r="AJ2573" s="9"/>
      <c r="AK2573" s="9"/>
      <c r="AL2573" s="9"/>
    </row>
    <row r="2574" spans="1:38">
      <c r="A2574" s="10"/>
      <c r="B2574" s="10"/>
      <c r="C2574" s="10"/>
      <c r="D2574" s="10"/>
      <c r="E2574" s="10"/>
      <c r="F2574" s="10"/>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0"/>
      <c r="AH2574" s="10"/>
      <c r="AI2574" s="10"/>
      <c r="AJ2574" s="10"/>
      <c r="AK2574" s="10"/>
      <c r="AL2574" s="10"/>
    </row>
    <row r="2575" spans="1:38">
      <c r="A2575" s="10"/>
      <c r="B2575" s="10"/>
      <c r="C2575" s="10"/>
      <c r="D2575" s="10"/>
      <c r="E2575" s="10"/>
      <c r="F2575" s="10"/>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0"/>
      <c r="AH2575" s="10"/>
      <c r="AI2575" s="10"/>
      <c r="AJ2575" s="10"/>
      <c r="AK2575" s="10"/>
      <c r="AL2575" s="10"/>
    </row>
    <row r="2576" spans="1:38">
      <c r="A2576" s="10"/>
      <c r="B2576" s="10"/>
      <c r="C2576" s="10"/>
      <c r="D2576" s="10"/>
      <c r="E2576" s="10"/>
      <c r="F2576" s="10"/>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0"/>
      <c r="AH2576" s="10"/>
      <c r="AI2576" s="10"/>
      <c r="AJ2576" s="10"/>
      <c r="AK2576" s="10"/>
      <c r="AL2576" s="10"/>
    </row>
    <row r="2577" spans="1:38">
      <c r="A2577" s="10"/>
      <c r="B2577" s="10"/>
      <c r="C2577" s="10"/>
      <c r="D2577" s="10"/>
      <c r="E2577" s="10"/>
      <c r="F2577" s="10"/>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0"/>
      <c r="AH2577" s="10"/>
      <c r="AI2577" s="10"/>
      <c r="AJ2577" s="10"/>
      <c r="AK2577" s="10"/>
      <c r="AL2577" s="10"/>
    </row>
    <row r="2578" spans="1:38">
      <c r="A2578" s="10"/>
      <c r="B2578" s="10"/>
      <c r="C2578" s="10"/>
      <c r="D2578" s="10"/>
      <c r="E2578" s="10"/>
      <c r="F2578" s="10"/>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0"/>
      <c r="AH2578" s="10"/>
      <c r="AI2578" s="10"/>
      <c r="AJ2578" s="10"/>
      <c r="AK2578" s="10"/>
      <c r="AL2578" s="10"/>
    </row>
    <row r="2579" spans="1:38">
      <c r="A2579" s="10"/>
      <c r="B2579" s="10"/>
      <c r="C2579" s="10"/>
      <c r="D2579" s="10"/>
      <c r="E2579" s="10"/>
      <c r="F2579" s="10"/>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0"/>
      <c r="AH2579" s="10"/>
      <c r="AI2579" s="10"/>
      <c r="AJ2579" s="10"/>
      <c r="AK2579" s="10"/>
      <c r="AL2579" s="10"/>
    </row>
    <row r="2580" spans="1:38">
      <c r="A2580" s="10"/>
      <c r="B2580" s="10"/>
      <c r="C2580" s="10"/>
      <c r="D2580" s="10"/>
      <c r="E2580" s="10"/>
      <c r="F2580" s="10"/>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0"/>
      <c r="AH2580" s="10"/>
      <c r="AI2580" s="10"/>
      <c r="AJ2580" s="10"/>
      <c r="AK2580" s="10"/>
      <c r="AL2580" s="10"/>
    </row>
    <row r="2581" spans="1:38">
      <c r="A2581" s="10"/>
      <c r="B2581" s="10"/>
      <c r="C2581" s="10"/>
      <c r="D2581" s="10"/>
      <c r="E2581" s="10"/>
      <c r="F2581" s="10"/>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0"/>
      <c r="AH2581" s="10"/>
      <c r="AI2581" s="10"/>
      <c r="AJ2581" s="10"/>
      <c r="AK2581" s="10"/>
      <c r="AL2581" s="10"/>
    </row>
    <row r="2582" spans="1:38">
      <c r="A2582" s="10"/>
      <c r="B2582" s="10"/>
      <c r="C2582" s="10"/>
      <c r="D2582" s="10"/>
      <c r="E2582" s="10"/>
      <c r="F2582" s="10"/>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0"/>
      <c r="AH2582" s="10"/>
      <c r="AI2582" s="10"/>
      <c r="AJ2582" s="10"/>
      <c r="AK2582" s="10"/>
      <c r="AL2582" s="10"/>
    </row>
    <row r="2583" spans="1:38">
      <c r="A2583" s="10"/>
      <c r="B2583" s="10"/>
      <c r="C2583" s="10"/>
      <c r="D2583" s="10"/>
      <c r="E2583" s="10"/>
      <c r="F2583" s="10"/>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0"/>
      <c r="AH2583" s="10"/>
      <c r="AI2583" s="10"/>
      <c r="AJ2583" s="10"/>
      <c r="AK2583" s="10"/>
      <c r="AL2583" s="10"/>
    </row>
    <row r="2584" spans="1:38">
      <c r="A2584" s="9"/>
      <c r="B2584" s="9"/>
      <c r="C2584" s="9"/>
      <c r="D2584" s="9"/>
      <c r="E2584" s="9"/>
      <c r="F2584" s="9"/>
      <c r="G2584" s="9"/>
      <c r="H2584" s="9"/>
      <c r="I2584" s="9"/>
      <c r="J2584" s="9"/>
      <c r="K2584" s="9"/>
      <c r="L2584" s="9"/>
      <c r="M2584" s="9"/>
      <c r="N2584" s="9"/>
      <c r="O2584" s="9"/>
      <c r="P2584" s="9"/>
      <c r="Q2584" s="9"/>
      <c r="R2584" s="9"/>
      <c r="S2584" s="9"/>
      <c r="T2584" s="9"/>
      <c r="U2584" s="9"/>
      <c r="V2584" s="9"/>
      <c r="W2584" s="9"/>
      <c r="X2584" s="9"/>
      <c r="Y2584" s="9"/>
      <c r="Z2584" s="9"/>
      <c r="AA2584" s="9"/>
      <c r="AB2584" s="9"/>
      <c r="AC2584" s="9"/>
      <c r="AD2584" s="9"/>
      <c r="AE2584" s="9"/>
      <c r="AF2584" s="9"/>
      <c r="AG2584" s="9"/>
      <c r="AH2584" s="9"/>
      <c r="AI2584" s="9"/>
      <c r="AJ2584" s="9"/>
      <c r="AK2584" s="9"/>
      <c r="AL2584" s="9"/>
    </row>
    <row r="2585" spans="1:38">
      <c r="A2585" s="9"/>
      <c r="B2585" s="9"/>
      <c r="C2585" s="9"/>
      <c r="D2585" s="9"/>
      <c r="E2585" s="9"/>
      <c r="F2585" s="9"/>
      <c r="G2585" s="9"/>
      <c r="H2585" s="9"/>
      <c r="I2585" s="9"/>
      <c r="J2585" s="9"/>
      <c r="K2585" s="9"/>
      <c r="L2585" s="9"/>
      <c r="M2585" s="9"/>
      <c r="N2585" s="9"/>
      <c r="O2585" s="9"/>
      <c r="P2585" s="9"/>
      <c r="Q2585" s="9"/>
      <c r="R2585" s="9"/>
      <c r="S2585" s="9"/>
      <c r="T2585" s="9"/>
      <c r="U2585" s="9"/>
      <c r="V2585" s="9"/>
      <c r="W2585" s="9"/>
      <c r="X2585" s="9"/>
      <c r="Y2585" s="9"/>
      <c r="Z2585" s="9"/>
      <c r="AA2585" s="9"/>
      <c r="AB2585" s="9"/>
      <c r="AC2585" s="9"/>
      <c r="AD2585" s="9"/>
      <c r="AE2585" s="9"/>
      <c r="AF2585" s="9"/>
      <c r="AG2585" s="9"/>
      <c r="AH2585" s="9"/>
      <c r="AI2585" s="9"/>
      <c r="AJ2585" s="9"/>
      <c r="AK2585" s="9"/>
      <c r="AL2585" s="9"/>
    </row>
    <row r="2586" spans="1:38">
      <c r="A2586" s="11"/>
      <c r="B2586" s="11"/>
      <c r="C2586" s="11"/>
      <c r="D2586" s="11"/>
      <c r="E2586" s="11"/>
      <c r="F2586" s="11"/>
      <c r="G2586" s="11"/>
      <c r="H2586" s="11"/>
      <c r="I2586" s="11"/>
      <c r="J2586" s="11"/>
      <c r="K2586" s="11"/>
      <c r="L2586" s="11"/>
      <c r="M2586" s="11"/>
      <c r="N2586" s="11"/>
      <c r="O2586" s="11"/>
      <c r="P2586" s="11"/>
      <c r="Q2586" s="11"/>
      <c r="R2586" s="11"/>
      <c r="S2586" s="11"/>
      <c r="T2586" s="11"/>
      <c r="U2586" s="11"/>
      <c r="V2586" s="11"/>
      <c r="W2586" s="11"/>
      <c r="X2586" s="11"/>
      <c r="Y2586" s="11"/>
      <c r="Z2586" s="11"/>
      <c r="AA2586" s="11"/>
      <c r="AB2586" s="11"/>
      <c r="AC2586" s="11"/>
      <c r="AD2586" s="11"/>
      <c r="AE2586" s="11"/>
      <c r="AF2586" s="11"/>
      <c r="AG2586" s="11"/>
      <c r="AH2586" s="11"/>
      <c r="AI2586" s="11"/>
      <c r="AJ2586" s="11"/>
      <c r="AK2586" s="11"/>
      <c r="AL2586" s="11"/>
    </row>
    <row r="2601" spans="1:38">
      <c r="A2601" s="14"/>
      <c r="B2601" s="14"/>
      <c r="C2601" s="14"/>
      <c r="D2601" s="14"/>
      <c r="E2601" s="14"/>
      <c r="F2601" s="14"/>
      <c r="G2601" s="14"/>
      <c r="H2601" s="14"/>
      <c r="I2601" s="14"/>
      <c r="J2601" s="14"/>
      <c r="K2601" s="14"/>
      <c r="L2601" s="14"/>
      <c r="M2601" s="14"/>
      <c r="N2601" s="14"/>
      <c r="O2601" s="14"/>
      <c r="P2601" s="14"/>
      <c r="Q2601" s="14"/>
      <c r="R2601" s="14"/>
      <c r="S2601" s="14"/>
      <c r="T2601" s="14"/>
      <c r="U2601" s="14"/>
      <c r="V2601" s="14"/>
      <c r="W2601" s="14"/>
      <c r="X2601" s="14"/>
      <c r="Y2601" s="14"/>
      <c r="Z2601" s="14"/>
      <c r="AA2601" s="14"/>
      <c r="AB2601" s="14"/>
      <c r="AC2601" s="14"/>
      <c r="AD2601" s="14"/>
      <c r="AE2601" s="14"/>
      <c r="AF2601" s="14"/>
      <c r="AG2601" s="14"/>
      <c r="AH2601" s="14"/>
      <c r="AI2601" s="14"/>
      <c r="AJ2601" s="14"/>
      <c r="AK2601" s="14"/>
      <c r="AL2601" s="14"/>
    </row>
    <row r="2602" spans="1:38">
      <c r="A2602" s="9"/>
      <c r="B2602" s="9"/>
      <c r="C2602" s="9"/>
      <c r="D2602" s="9"/>
      <c r="E2602" s="9"/>
      <c r="F2602" s="9"/>
      <c r="G2602" s="9"/>
      <c r="H2602" s="9"/>
      <c r="I2602" s="9"/>
      <c r="J2602" s="9"/>
      <c r="K2602" s="9"/>
      <c r="L2602" s="9"/>
      <c r="M2602" s="9"/>
      <c r="N2602" s="9"/>
      <c r="O2602" s="9"/>
      <c r="P2602" s="9"/>
      <c r="Q2602" s="9"/>
      <c r="R2602" s="9"/>
      <c r="S2602" s="9"/>
      <c r="T2602" s="9"/>
      <c r="U2602" s="9"/>
      <c r="V2602" s="9"/>
      <c r="W2602" s="9"/>
      <c r="X2602" s="9"/>
      <c r="Y2602" s="9"/>
      <c r="Z2602" s="9"/>
      <c r="AA2602" s="9"/>
      <c r="AB2602" s="9"/>
      <c r="AC2602" s="9"/>
      <c r="AD2602" s="9"/>
      <c r="AE2602" s="9"/>
      <c r="AF2602" s="9"/>
      <c r="AG2602" s="9"/>
      <c r="AH2602" s="9"/>
      <c r="AI2602" s="9"/>
      <c r="AJ2602" s="9"/>
      <c r="AK2602" s="9"/>
      <c r="AL2602" s="9"/>
    </row>
    <row r="2603" spans="1:38">
      <c r="A2603" s="10"/>
      <c r="B2603" s="10"/>
      <c r="C2603" s="10"/>
      <c r="D2603" s="10"/>
      <c r="E2603" s="10"/>
      <c r="F2603" s="10"/>
      <c r="G2603" s="10"/>
      <c r="H2603" s="10"/>
      <c r="I2603" s="10"/>
      <c r="J2603" s="10"/>
      <c r="K2603" s="10"/>
      <c r="L2603" s="10"/>
      <c r="M2603" s="10"/>
      <c r="N2603" s="10"/>
      <c r="O2603" s="10"/>
      <c r="P2603" s="10"/>
      <c r="Q2603" s="10"/>
      <c r="R2603" s="10"/>
      <c r="S2603" s="10"/>
      <c r="T2603" s="10"/>
      <c r="U2603" s="10"/>
      <c r="V2603" s="10"/>
      <c r="W2603" s="10"/>
      <c r="X2603" s="10"/>
      <c r="Y2603" s="10"/>
      <c r="Z2603" s="10"/>
      <c r="AA2603" s="10"/>
      <c r="AB2603" s="10"/>
      <c r="AC2603" s="10"/>
      <c r="AD2603" s="10"/>
      <c r="AE2603" s="10"/>
      <c r="AF2603" s="10"/>
      <c r="AG2603" s="10"/>
      <c r="AH2603" s="10"/>
      <c r="AI2603" s="10"/>
      <c r="AJ2603" s="10"/>
      <c r="AK2603" s="10"/>
      <c r="AL2603" s="10"/>
    </row>
    <row r="2604" spans="1:38">
      <c r="A2604" s="10"/>
      <c r="B2604" s="10"/>
      <c r="C2604" s="10"/>
      <c r="D2604" s="10"/>
      <c r="E2604" s="10"/>
      <c r="F2604" s="10"/>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0"/>
      <c r="AH2604" s="10"/>
      <c r="AI2604" s="10"/>
      <c r="AJ2604" s="10"/>
      <c r="AK2604" s="10"/>
      <c r="AL2604" s="10"/>
    </row>
    <row r="2605" spans="1:38">
      <c r="A2605" s="10"/>
      <c r="B2605" s="10"/>
      <c r="C2605" s="10"/>
      <c r="D2605" s="10"/>
      <c r="E2605" s="10"/>
      <c r="F2605" s="10"/>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0"/>
      <c r="AH2605" s="10"/>
      <c r="AI2605" s="10"/>
      <c r="AJ2605" s="10"/>
      <c r="AK2605" s="10"/>
      <c r="AL2605" s="10"/>
    </row>
    <row r="2606" spans="1:38">
      <c r="A2606" s="10"/>
      <c r="B2606" s="10"/>
      <c r="C2606" s="10"/>
      <c r="D2606" s="10"/>
      <c r="E2606" s="10"/>
      <c r="F2606" s="10"/>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0"/>
      <c r="AH2606" s="10"/>
      <c r="AI2606" s="10"/>
      <c r="AJ2606" s="10"/>
      <c r="AK2606" s="10"/>
      <c r="AL2606" s="10"/>
    </row>
    <row r="2607" spans="1:38">
      <c r="A2607" s="10"/>
      <c r="B2607" s="10"/>
      <c r="C2607" s="10"/>
      <c r="D2607" s="10"/>
      <c r="E2607" s="10"/>
      <c r="F2607" s="10"/>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0"/>
      <c r="AH2607" s="10"/>
      <c r="AI2607" s="10"/>
      <c r="AJ2607" s="10"/>
      <c r="AK2607" s="10"/>
      <c r="AL2607" s="10"/>
    </row>
    <row r="2608" spans="1:38">
      <c r="A2608" s="10"/>
      <c r="B2608" s="10"/>
      <c r="C2608" s="10"/>
      <c r="D2608" s="10"/>
      <c r="E2608" s="10"/>
      <c r="F2608" s="10"/>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0"/>
      <c r="AH2608" s="10"/>
      <c r="AI2608" s="10"/>
      <c r="AJ2608" s="10"/>
      <c r="AK2608" s="10"/>
      <c r="AL2608" s="10"/>
    </row>
    <row r="2609" spans="1:38">
      <c r="A2609" s="10"/>
      <c r="B2609" s="10"/>
      <c r="C2609" s="10"/>
      <c r="D2609" s="10"/>
      <c r="E2609" s="10"/>
      <c r="F2609" s="10"/>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0"/>
      <c r="AH2609" s="10"/>
      <c r="AI2609" s="10"/>
      <c r="AJ2609" s="10"/>
      <c r="AK2609" s="10"/>
      <c r="AL2609" s="10"/>
    </row>
    <row r="2610" spans="1:38">
      <c r="A2610" s="10"/>
      <c r="B2610" s="10"/>
      <c r="C2610" s="10"/>
      <c r="D2610" s="10"/>
      <c r="E2610" s="10"/>
      <c r="F2610" s="10"/>
      <c r="G2610" s="10"/>
      <c r="H2610" s="10"/>
      <c r="I2610" s="10"/>
      <c r="J2610" s="10"/>
      <c r="K2610" s="10"/>
      <c r="L2610" s="10"/>
      <c r="M2610" s="10"/>
      <c r="N2610" s="10"/>
      <c r="O2610" s="10"/>
      <c r="P2610" s="10"/>
      <c r="Q2610" s="10"/>
      <c r="R2610" s="10"/>
      <c r="S2610" s="10"/>
      <c r="T2610" s="10"/>
      <c r="U2610" s="10"/>
      <c r="V2610" s="10"/>
      <c r="W2610" s="10"/>
      <c r="X2610" s="10"/>
      <c r="Y2610" s="10"/>
      <c r="Z2610" s="10"/>
      <c r="AA2610" s="10"/>
      <c r="AB2610" s="10"/>
      <c r="AC2610" s="10"/>
      <c r="AD2610" s="10"/>
      <c r="AE2610" s="10"/>
      <c r="AF2610" s="10"/>
      <c r="AG2610" s="10"/>
      <c r="AH2610" s="10"/>
      <c r="AI2610" s="10"/>
      <c r="AJ2610" s="10"/>
      <c r="AK2610" s="10"/>
      <c r="AL2610" s="10"/>
    </row>
    <row r="2611" spans="1:38">
      <c r="A2611" s="10"/>
      <c r="B2611" s="10"/>
      <c r="C2611" s="10"/>
      <c r="D2611" s="10"/>
      <c r="E2611" s="10"/>
      <c r="F2611" s="10"/>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0"/>
      <c r="AH2611" s="10"/>
      <c r="AI2611" s="10"/>
      <c r="AJ2611" s="10"/>
      <c r="AK2611" s="10"/>
      <c r="AL2611" s="10"/>
    </row>
    <row r="2612" spans="1:38">
      <c r="A2612" s="10"/>
      <c r="B2612" s="10"/>
      <c r="C2612" s="10"/>
      <c r="D2612" s="10"/>
      <c r="E2612" s="10"/>
      <c r="F2612" s="10"/>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0"/>
      <c r="AH2612" s="10"/>
      <c r="AI2612" s="10"/>
      <c r="AJ2612" s="10"/>
      <c r="AK2612" s="10"/>
      <c r="AL2612" s="10"/>
    </row>
    <row r="2613" spans="1:38">
      <c r="A2613" s="9"/>
      <c r="B2613" s="9"/>
      <c r="C2613" s="9"/>
      <c r="D2613" s="9"/>
      <c r="E2613" s="9"/>
      <c r="F2613" s="9"/>
      <c r="G2613" s="9"/>
      <c r="H2613" s="9"/>
      <c r="I2613" s="9"/>
      <c r="J2613" s="9"/>
      <c r="K2613" s="9"/>
      <c r="L2613" s="9"/>
      <c r="M2613" s="9"/>
      <c r="N2613" s="9"/>
      <c r="O2613" s="9"/>
      <c r="P2613" s="9"/>
      <c r="Q2613" s="9"/>
      <c r="R2613" s="9"/>
      <c r="S2613" s="9"/>
      <c r="T2613" s="9"/>
      <c r="U2613" s="9"/>
      <c r="V2613" s="9"/>
      <c r="W2613" s="9"/>
      <c r="X2613" s="9"/>
      <c r="Y2613" s="9"/>
      <c r="Z2613" s="9"/>
      <c r="AA2613" s="9"/>
      <c r="AB2613" s="9"/>
      <c r="AC2613" s="9"/>
      <c r="AD2613" s="9"/>
      <c r="AE2613" s="9"/>
      <c r="AF2613" s="9"/>
      <c r="AG2613" s="9"/>
      <c r="AH2613" s="9"/>
      <c r="AI2613" s="9"/>
      <c r="AJ2613" s="9"/>
      <c r="AK2613" s="9"/>
      <c r="AL2613" s="9"/>
    </row>
    <row r="2614" spans="1:38">
      <c r="A2614" s="11"/>
      <c r="B2614" s="11"/>
      <c r="C2614" s="11"/>
      <c r="D2614" s="11"/>
      <c r="E2614" s="11"/>
      <c r="F2614" s="11"/>
      <c r="G2614" s="11"/>
      <c r="H2614" s="11"/>
      <c r="I2614" s="11"/>
      <c r="J2614" s="11"/>
      <c r="K2614" s="11"/>
      <c r="L2614" s="11"/>
      <c r="M2614" s="11"/>
      <c r="N2614" s="11"/>
      <c r="O2614" s="11"/>
      <c r="P2614" s="11"/>
      <c r="Q2614" s="11"/>
      <c r="R2614" s="11"/>
      <c r="S2614" s="11"/>
      <c r="T2614" s="11"/>
      <c r="U2614" s="11"/>
      <c r="V2614" s="11"/>
      <c r="W2614" s="11"/>
      <c r="X2614" s="11"/>
      <c r="Y2614" s="11"/>
      <c r="Z2614" s="11"/>
      <c r="AA2614" s="11"/>
      <c r="AB2614" s="11"/>
      <c r="AC2614" s="11"/>
      <c r="AD2614" s="11"/>
      <c r="AE2614" s="11"/>
      <c r="AF2614" s="11"/>
      <c r="AG2614" s="11"/>
      <c r="AH2614" s="11"/>
      <c r="AI2614" s="11"/>
      <c r="AJ2614" s="11"/>
      <c r="AK2614" s="11"/>
      <c r="AL2614" s="11"/>
    </row>
    <row r="2624" spans="1:38">
      <c r="A2624" s="14"/>
      <c r="B2624" s="14"/>
      <c r="C2624" s="14"/>
      <c r="D2624" s="14"/>
      <c r="E2624" s="14"/>
      <c r="F2624" s="14"/>
      <c r="G2624" s="14"/>
      <c r="H2624" s="14"/>
      <c r="I2624" s="14"/>
      <c r="J2624" s="14"/>
      <c r="K2624" s="14"/>
      <c r="L2624" s="14"/>
      <c r="M2624" s="14"/>
      <c r="N2624" s="14"/>
      <c r="O2624" s="14"/>
      <c r="P2624" s="14"/>
      <c r="Q2624" s="14"/>
      <c r="R2624" s="14"/>
      <c r="S2624" s="14"/>
      <c r="T2624" s="14"/>
      <c r="U2624" s="14"/>
      <c r="V2624" s="14"/>
      <c r="W2624" s="14"/>
      <c r="X2624" s="14"/>
      <c r="Y2624" s="14"/>
      <c r="Z2624" s="14"/>
      <c r="AA2624" s="14"/>
      <c r="AB2624" s="14"/>
      <c r="AC2624" s="14"/>
      <c r="AD2624" s="14"/>
      <c r="AE2624" s="14"/>
      <c r="AF2624" s="14"/>
      <c r="AG2624" s="14"/>
      <c r="AH2624" s="14"/>
      <c r="AI2624" s="14"/>
      <c r="AJ2624" s="14"/>
      <c r="AK2624" s="14"/>
      <c r="AL2624" s="14"/>
    </row>
    <row r="2625" spans="1:38">
      <c r="A2625" s="9"/>
      <c r="B2625" s="9"/>
      <c r="C2625" s="9"/>
      <c r="D2625" s="9"/>
      <c r="E2625" s="9"/>
      <c r="F2625" s="9"/>
      <c r="G2625" s="9"/>
      <c r="H2625" s="9"/>
      <c r="I2625" s="9"/>
      <c r="J2625" s="9"/>
      <c r="K2625" s="9"/>
      <c r="L2625" s="9"/>
      <c r="M2625" s="9"/>
      <c r="N2625" s="9"/>
      <c r="O2625" s="9"/>
      <c r="P2625" s="9"/>
      <c r="Q2625" s="9"/>
      <c r="R2625" s="9"/>
      <c r="S2625" s="9"/>
      <c r="T2625" s="9"/>
      <c r="U2625" s="9"/>
      <c r="V2625" s="9"/>
      <c r="W2625" s="9"/>
      <c r="X2625" s="9"/>
      <c r="Y2625" s="9"/>
      <c r="Z2625" s="9"/>
      <c r="AA2625" s="9"/>
      <c r="AB2625" s="9"/>
      <c r="AC2625" s="9"/>
      <c r="AD2625" s="9"/>
      <c r="AE2625" s="9"/>
      <c r="AF2625" s="9"/>
      <c r="AG2625" s="9"/>
      <c r="AH2625" s="9"/>
      <c r="AI2625" s="9"/>
      <c r="AJ2625" s="9"/>
      <c r="AK2625" s="9"/>
      <c r="AL2625" s="9"/>
    </row>
    <row r="2626" spans="1:38">
      <c r="A2626" s="10"/>
      <c r="B2626" s="10"/>
      <c r="C2626" s="10"/>
      <c r="D2626" s="10"/>
      <c r="E2626" s="10"/>
      <c r="F2626" s="10"/>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0"/>
      <c r="AH2626" s="10"/>
      <c r="AI2626" s="10"/>
      <c r="AJ2626" s="10"/>
      <c r="AK2626" s="10"/>
      <c r="AL2626" s="10"/>
    </row>
    <row r="2627" spans="1:38">
      <c r="A2627" s="10"/>
      <c r="B2627" s="10"/>
      <c r="C2627" s="10"/>
      <c r="D2627" s="10"/>
      <c r="E2627" s="10"/>
      <c r="F2627" s="10"/>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0"/>
      <c r="AH2627" s="10"/>
      <c r="AI2627" s="10"/>
      <c r="AJ2627" s="10"/>
      <c r="AK2627" s="10"/>
      <c r="AL2627" s="10"/>
    </row>
    <row r="2628" spans="1:38">
      <c r="A2628" s="10"/>
      <c r="B2628" s="10"/>
      <c r="C2628" s="10"/>
      <c r="D2628" s="10"/>
      <c r="E2628" s="10"/>
      <c r="F2628" s="10"/>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0"/>
      <c r="AH2628" s="10"/>
      <c r="AI2628" s="10"/>
      <c r="AJ2628" s="10"/>
      <c r="AK2628" s="10"/>
      <c r="AL2628" s="10"/>
    </row>
    <row r="2629" spans="1:38">
      <c r="A2629" s="10"/>
      <c r="B2629" s="10"/>
      <c r="C2629" s="10"/>
      <c r="D2629" s="10"/>
      <c r="E2629" s="10"/>
      <c r="F2629" s="10"/>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0"/>
      <c r="AH2629" s="10"/>
      <c r="AI2629" s="10"/>
      <c r="AJ2629" s="10"/>
      <c r="AK2629" s="10"/>
      <c r="AL2629" s="10"/>
    </row>
    <row r="2630" spans="1:38">
      <c r="A2630" s="10"/>
      <c r="B2630" s="10"/>
      <c r="C2630" s="10"/>
      <c r="D2630" s="10"/>
      <c r="E2630" s="10"/>
      <c r="F2630" s="10"/>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0"/>
      <c r="AH2630" s="10"/>
      <c r="AI2630" s="10"/>
      <c r="AJ2630" s="10"/>
      <c r="AK2630" s="10"/>
      <c r="AL2630" s="10"/>
    </row>
    <row r="2631" spans="1:38">
      <c r="A2631" s="10"/>
      <c r="B2631" s="10"/>
      <c r="C2631" s="10"/>
      <c r="D2631" s="10"/>
      <c r="E2631" s="10"/>
      <c r="F2631" s="10"/>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0"/>
      <c r="AH2631" s="10"/>
      <c r="AI2631" s="10"/>
      <c r="AJ2631" s="10"/>
      <c r="AK2631" s="10"/>
      <c r="AL2631" s="10"/>
    </row>
    <row r="2632" spans="1:38">
      <c r="A2632" s="10"/>
      <c r="B2632" s="10"/>
      <c r="C2632" s="10"/>
      <c r="D2632" s="10"/>
      <c r="E2632" s="10"/>
      <c r="F2632" s="10"/>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0"/>
      <c r="AH2632" s="10"/>
      <c r="AI2632" s="10"/>
      <c r="AJ2632" s="10"/>
      <c r="AK2632" s="10"/>
      <c r="AL2632" s="10"/>
    </row>
    <row r="2633" spans="1:38">
      <c r="A2633" s="10"/>
      <c r="B2633" s="10"/>
      <c r="C2633" s="10"/>
      <c r="D2633" s="10"/>
      <c r="E2633" s="10"/>
      <c r="F2633" s="10"/>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0"/>
      <c r="AH2633" s="10"/>
      <c r="AI2633" s="10"/>
      <c r="AJ2633" s="10"/>
      <c r="AK2633" s="10"/>
      <c r="AL2633" s="10"/>
    </row>
    <row r="2634" spans="1:38">
      <c r="A2634" s="10"/>
      <c r="B2634" s="10"/>
      <c r="C2634" s="10"/>
      <c r="D2634" s="10"/>
      <c r="E2634" s="10"/>
      <c r="F2634" s="10"/>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0"/>
      <c r="AH2634" s="10"/>
      <c r="AI2634" s="10"/>
      <c r="AJ2634" s="10"/>
      <c r="AK2634" s="10"/>
      <c r="AL2634" s="10"/>
    </row>
    <row r="2635" spans="1:38">
      <c r="A2635" s="10"/>
      <c r="B2635" s="10"/>
      <c r="C2635" s="10"/>
      <c r="D2635" s="10"/>
      <c r="E2635" s="10"/>
      <c r="F2635" s="10"/>
      <c r="G2635" s="10"/>
      <c r="H2635" s="10"/>
      <c r="I2635" s="10"/>
      <c r="J2635" s="10"/>
      <c r="K2635" s="10"/>
      <c r="L2635" s="10"/>
      <c r="M2635" s="10"/>
      <c r="N2635" s="10"/>
      <c r="O2635" s="10"/>
      <c r="P2635" s="10"/>
      <c r="Q2635" s="10"/>
      <c r="R2635" s="10"/>
      <c r="S2635" s="10"/>
      <c r="T2635" s="10"/>
      <c r="U2635" s="10"/>
      <c r="V2635" s="10"/>
      <c r="W2635" s="10"/>
      <c r="X2635" s="10"/>
      <c r="Y2635" s="10"/>
      <c r="Z2635" s="10"/>
      <c r="AA2635" s="10"/>
      <c r="AB2635" s="10"/>
      <c r="AC2635" s="10"/>
      <c r="AD2635" s="10"/>
      <c r="AE2635" s="10"/>
      <c r="AF2635" s="10"/>
      <c r="AG2635" s="10"/>
      <c r="AH2635" s="10"/>
      <c r="AI2635" s="10"/>
      <c r="AJ2635" s="10"/>
      <c r="AK2635" s="10"/>
      <c r="AL2635" s="10"/>
    </row>
    <row r="2636" spans="1:38">
      <c r="A2636" s="10"/>
      <c r="B2636" s="10"/>
      <c r="C2636" s="10"/>
      <c r="D2636" s="10"/>
      <c r="E2636" s="10"/>
      <c r="F2636" s="10"/>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0"/>
      <c r="AH2636" s="10"/>
      <c r="AI2636" s="10"/>
      <c r="AJ2636" s="10"/>
      <c r="AK2636" s="10"/>
      <c r="AL2636" s="10"/>
    </row>
    <row r="2637" spans="1:38">
      <c r="A2637" s="11"/>
      <c r="B2637" s="11"/>
      <c r="C2637" s="11"/>
      <c r="D2637" s="11"/>
      <c r="E2637" s="11"/>
      <c r="F2637" s="11"/>
      <c r="G2637" s="11"/>
      <c r="H2637" s="11"/>
      <c r="I2637" s="11"/>
      <c r="J2637" s="11"/>
      <c r="K2637" s="11"/>
      <c r="L2637" s="11"/>
      <c r="M2637" s="11"/>
      <c r="N2637" s="11"/>
      <c r="O2637" s="11"/>
      <c r="P2637" s="11"/>
      <c r="Q2637" s="11"/>
      <c r="R2637" s="11"/>
      <c r="S2637" s="11"/>
      <c r="T2637" s="11"/>
      <c r="U2637" s="11"/>
      <c r="V2637" s="11"/>
      <c r="W2637" s="11"/>
      <c r="X2637" s="11"/>
      <c r="Y2637" s="11"/>
      <c r="Z2637" s="11"/>
      <c r="AA2637" s="11"/>
      <c r="AB2637" s="11"/>
      <c r="AC2637" s="11"/>
      <c r="AD2637" s="11"/>
      <c r="AE2637" s="11"/>
      <c r="AF2637" s="11"/>
      <c r="AG2637" s="11"/>
      <c r="AH2637" s="11"/>
      <c r="AI2637" s="11"/>
      <c r="AJ2637" s="11"/>
      <c r="AK2637" s="11"/>
      <c r="AL2637" s="11"/>
    </row>
    <row r="2646" spans="1:38">
      <c r="A2646" s="14"/>
      <c r="B2646" s="14"/>
      <c r="C2646" s="14"/>
      <c r="D2646" s="14"/>
      <c r="E2646" s="14"/>
      <c r="F2646" s="14"/>
      <c r="G2646" s="14"/>
      <c r="H2646" s="14"/>
      <c r="I2646" s="14"/>
      <c r="J2646" s="14"/>
      <c r="K2646" s="14"/>
      <c r="L2646" s="14"/>
      <c r="M2646" s="14"/>
      <c r="N2646" s="14"/>
      <c r="O2646" s="14"/>
      <c r="P2646" s="14"/>
      <c r="Q2646" s="14"/>
      <c r="R2646" s="14"/>
      <c r="S2646" s="14"/>
      <c r="T2646" s="14"/>
      <c r="U2646" s="14"/>
      <c r="V2646" s="14"/>
      <c r="W2646" s="14"/>
      <c r="X2646" s="14"/>
      <c r="Y2646" s="14"/>
      <c r="Z2646" s="14"/>
      <c r="AA2646" s="14"/>
      <c r="AB2646" s="14"/>
      <c r="AC2646" s="14"/>
      <c r="AD2646" s="14"/>
      <c r="AE2646" s="14"/>
      <c r="AF2646" s="14"/>
      <c r="AG2646" s="14"/>
      <c r="AH2646" s="14"/>
      <c r="AI2646" s="14"/>
      <c r="AJ2646" s="14"/>
      <c r="AK2646" s="14"/>
      <c r="AL2646" s="14"/>
    </row>
    <row r="2647" spans="1:38">
      <c r="A2647" s="9"/>
      <c r="B2647" s="9"/>
      <c r="C2647" s="9"/>
      <c r="D2647" s="9"/>
      <c r="E2647" s="9"/>
      <c r="F2647" s="9"/>
      <c r="G2647" s="9"/>
      <c r="H2647" s="9"/>
      <c r="I2647" s="9"/>
      <c r="J2647" s="9"/>
      <c r="K2647" s="9"/>
      <c r="L2647" s="9"/>
      <c r="M2647" s="9"/>
      <c r="N2647" s="9"/>
      <c r="O2647" s="9"/>
      <c r="P2647" s="9"/>
      <c r="Q2647" s="9"/>
      <c r="R2647" s="9"/>
      <c r="S2647" s="9"/>
      <c r="T2647" s="9"/>
      <c r="U2647" s="9"/>
      <c r="V2647" s="9"/>
      <c r="W2647" s="9"/>
      <c r="X2647" s="9"/>
      <c r="Y2647" s="9"/>
      <c r="Z2647" s="9"/>
      <c r="AA2647" s="9"/>
      <c r="AB2647" s="9"/>
      <c r="AC2647" s="9"/>
      <c r="AD2647" s="9"/>
      <c r="AE2647" s="9"/>
      <c r="AF2647" s="9"/>
      <c r="AG2647" s="9"/>
      <c r="AH2647" s="9"/>
      <c r="AI2647" s="9"/>
      <c r="AJ2647" s="9"/>
      <c r="AK2647" s="9"/>
      <c r="AL2647" s="9"/>
    </row>
    <row r="2648" spans="1:38">
      <c r="A2648" s="10"/>
      <c r="B2648" s="10"/>
      <c r="C2648" s="10"/>
      <c r="D2648" s="10"/>
      <c r="E2648" s="10"/>
      <c r="F2648" s="10"/>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0"/>
      <c r="AH2648" s="10"/>
      <c r="AI2648" s="10"/>
      <c r="AJ2648" s="10"/>
      <c r="AK2648" s="10"/>
      <c r="AL2648" s="10"/>
    </row>
    <row r="2649" spans="1:38">
      <c r="A2649" s="10"/>
      <c r="B2649" s="10"/>
      <c r="C2649" s="10"/>
      <c r="D2649" s="10"/>
      <c r="E2649" s="10"/>
      <c r="F2649" s="10"/>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0"/>
      <c r="AH2649" s="10"/>
      <c r="AI2649" s="10"/>
      <c r="AJ2649" s="10"/>
      <c r="AK2649" s="10"/>
      <c r="AL2649" s="10"/>
    </row>
    <row r="2650" spans="1:38">
      <c r="A2650" s="10"/>
      <c r="B2650" s="10"/>
      <c r="C2650" s="10"/>
      <c r="D2650" s="10"/>
      <c r="E2650" s="10"/>
      <c r="F2650" s="10"/>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0"/>
      <c r="AH2650" s="10"/>
      <c r="AI2650" s="10"/>
      <c r="AJ2650" s="10"/>
      <c r="AK2650" s="10"/>
      <c r="AL2650" s="10"/>
    </row>
    <row r="2651" spans="1:38">
      <c r="A2651" s="10"/>
      <c r="B2651" s="10"/>
      <c r="C2651" s="10"/>
      <c r="D2651" s="10"/>
      <c r="E2651" s="10"/>
      <c r="F2651" s="10"/>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0"/>
      <c r="AH2651" s="10"/>
      <c r="AI2651" s="10"/>
      <c r="AJ2651" s="10"/>
      <c r="AK2651" s="10"/>
      <c r="AL2651" s="10"/>
    </row>
    <row r="2652" spans="1:38">
      <c r="A2652" s="10"/>
      <c r="B2652" s="10"/>
      <c r="C2652" s="10"/>
      <c r="D2652" s="10"/>
      <c r="E2652" s="10"/>
      <c r="F2652" s="10"/>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0"/>
      <c r="AH2652" s="10"/>
      <c r="AI2652" s="10"/>
      <c r="AJ2652" s="10"/>
      <c r="AK2652" s="10"/>
      <c r="AL2652" s="10"/>
    </row>
    <row r="2653" spans="1:38">
      <c r="A2653" s="10"/>
      <c r="B2653" s="10"/>
      <c r="C2653" s="10"/>
      <c r="D2653" s="10"/>
      <c r="E2653" s="10"/>
      <c r="F2653" s="10"/>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0"/>
      <c r="AH2653" s="10"/>
      <c r="AI2653" s="10"/>
      <c r="AJ2653" s="10"/>
      <c r="AK2653" s="10"/>
      <c r="AL2653" s="10"/>
    </row>
    <row r="2654" spans="1:38">
      <c r="A2654" s="10"/>
      <c r="B2654" s="10"/>
      <c r="C2654" s="10"/>
      <c r="D2654" s="10"/>
      <c r="E2654" s="10"/>
      <c r="F2654" s="10"/>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0"/>
      <c r="AH2654" s="10"/>
      <c r="AI2654" s="10"/>
      <c r="AJ2654" s="10"/>
      <c r="AK2654" s="10"/>
      <c r="AL2654" s="10"/>
    </row>
    <row r="2655" spans="1:38">
      <c r="A2655" s="10"/>
      <c r="B2655" s="10"/>
      <c r="C2655" s="10"/>
      <c r="D2655" s="10"/>
      <c r="E2655" s="10"/>
      <c r="F2655" s="10"/>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0"/>
      <c r="AH2655" s="10"/>
      <c r="AI2655" s="10"/>
      <c r="AJ2655" s="10"/>
      <c r="AK2655" s="10"/>
      <c r="AL2655" s="10"/>
    </row>
    <row r="2656" spans="1:38">
      <c r="A2656" s="10"/>
      <c r="B2656" s="10"/>
      <c r="C2656" s="10"/>
      <c r="D2656" s="10"/>
      <c r="E2656" s="10"/>
      <c r="F2656" s="10"/>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0"/>
      <c r="AH2656" s="10"/>
      <c r="AI2656" s="10"/>
      <c r="AJ2656" s="10"/>
      <c r="AK2656" s="10"/>
      <c r="AL2656" s="10"/>
    </row>
    <row r="2657" spans="1:38">
      <c r="A2657" s="10"/>
      <c r="B2657" s="10"/>
      <c r="C2657" s="10"/>
      <c r="D2657" s="10"/>
      <c r="E2657" s="10"/>
      <c r="F2657" s="10"/>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0"/>
      <c r="AH2657" s="10"/>
      <c r="AI2657" s="10"/>
      <c r="AJ2657" s="10"/>
      <c r="AK2657" s="10"/>
      <c r="AL2657" s="10"/>
    </row>
    <row r="2658" spans="1:38">
      <c r="A2658" s="10"/>
      <c r="B2658" s="10"/>
      <c r="C2658" s="10"/>
      <c r="D2658" s="10"/>
      <c r="E2658" s="10"/>
      <c r="F2658" s="10"/>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0"/>
      <c r="AH2658" s="10"/>
      <c r="AI2658" s="10"/>
      <c r="AJ2658" s="10"/>
      <c r="AK2658" s="10"/>
      <c r="AL2658" s="10"/>
    </row>
    <row r="2659" spans="1:38">
      <c r="A2659" s="11"/>
      <c r="B2659" s="11"/>
      <c r="C2659" s="11"/>
      <c r="D2659" s="11"/>
      <c r="E2659" s="11"/>
      <c r="F2659" s="11"/>
      <c r="G2659" s="11"/>
      <c r="H2659" s="11"/>
      <c r="I2659" s="11"/>
      <c r="J2659" s="11"/>
      <c r="K2659" s="11"/>
      <c r="L2659" s="11"/>
      <c r="M2659" s="11"/>
      <c r="N2659" s="11"/>
      <c r="O2659" s="11"/>
      <c r="P2659" s="11"/>
      <c r="Q2659" s="11"/>
      <c r="R2659" s="11"/>
      <c r="S2659" s="11"/>
      <c r="T2659" s="11"/>
      <c r="U2659" s="11"/>
      <c r="V2659" s="11"/>
      <c r="W2659" s="11"/>
      <c r="X2659" s="11"/>
      <c r="Y2659" s="11"/>
      <c r="Z2659" s="11"/>
      <c r="AA2659" s="11"/>
      <c r="AB2659" s="11"/>
      <c r="AC2659" s="11"/>
      <c r="AD2659" s="11"/>
      <c r="AE2659" s="11"/>
      <c r="AF2659" s="11"/>
      <c r="AG2659" s="11"/>
      <c r="AH2659" s="11"/>
      <c r="AI2659" s="11"/>
      <c r="AJ2659" s="11"/>
      <c r="AK2659" s="11"/>
      <c r="AL2659" s="11"/>
    </row>
    <row r="2666" spans="1:38">
      <c r="A2666" s="14"/>
      <c r="B2666" s="14"/>
      <c r="C2666" s="14"/>
      <c r="D2666" s="14"/>
      <c r="E2666" s="14"/>
      <c r="F2666" s="14"/>
      <c r="G2666" s="14"/>
      <c r="H2666" s="14"/>
      <c r="I2666" s="14"/>
      <c r="J2666" s="14"/>
      <c r="K2666" s="14"/>
      <c r="L2666" s="14"/>
      <c r="M2666" s="14"/>
      <c r="N2666" s="14"/>
      <c r="O2666" s="14"/>
      <c r="P2666" s="14"/>
      <c r="Q2666" s="14"/>
      <c r="R2666" s="14"/>
      <c r="S2666" s="14"/>
      <c r="T2666" s="14"/>
      <c r="U2666" s="14"/>
      <c r="V2666" s="14"/>
      <c r="W2666" s="14"/>
      <c r="X2666" s="14"/>
      <c r="Y2666" s="14"/>
      <c r="Z2666" s="14"/>
      <c r="AA2666" s="14"/>
      <c r="AB2666" s="14"/>
      <c r="AC2666" s="14"/>
      <c r="AD2666" s="14"/>
      <c r="AE2666" s="14"/>
      <c r="AF2666" s="14"/>
      <c r="AG2666" s="14"/>
      <c r="AH2666" s="14"/>
      <c r="AI2666" s="14"/>
      <c r="AJ2666" s="14"/>
      <c r="AK2666" s="14"/>
      <c r="AL2666" s="14"/>
    </row>
    <row r="2667" spans="1:38">
      <c r="A2667" s="9"/>
      <c r="B2667" s="9"/>
      <c r="C2667" s="9"/>
      <c r="D2667" s="9"/>
      <c r="E2667" s="9"/>
      <c r="F2667" s="9"/>
      <c r="G2667" s="9"/>
      <c r="H2667" s="9"/>
      <c r="I2667" s="9"/>
      <c r="J2667" s="9"/>
      <c r="K2667" s="9"/>
      <c r="L2667" s="9"/>
      <c r="M2667" s="9"/>
      <c r="N2667" s="9"/>
      <c r="O2667" s="9"/>
      <c r="P2667" s="9"/>
      <c r="Q2667" s="9"/>
      <c r="R2667" s="9"/>
      <c r="S2667" s="9"/>
      <c r="T2667" s="9"/>
      <c r="U2667" s="9"/>
      <c r="V2667" s="9"/>
      <c r="W2667" s="9"/>
      <c r="X2667" s="9"/>
      <c r="Y2667" s="9"/>
      <c r="Z2667" s="9"/>
      <c r="AA2667" s="9"/>
      <c r="AB2667" s="9"/>
      <c r="AC2667" s="9"/>
      <c r="AD2667" s="9"/>
      <c r="AE2667" s="9"/>
      <c r="AF2667" s="9"/>
      <c r="AG2667" s="9"/>
      <c r="AH2667" s="9"/>
      <c r="AI2667" s="9"/>
      <c r="AJ2667" s="9"/>
      <c r="AK2667" s="9"/>
      <c r="AL2667" s="9"/>
    </row>
    <row r="2668" spans="1:38">
      <c r="A2668" s="10"/>
      <c r="B2668" s="10"/>
      <c r="C2668" s="10"/>
      <c r="D2668" s="10"/>
      <c r="E2668" s="10"/>
      <c r="F2668" s="10"/>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0"/>
      <c r="AH2668" s="10"/>
      <c r="AI2668" s="10"/>
      <c r="AJ2668" s="10"/>
      <c r="AK2668" s="10"/>
      <c r="AL2668" s="10"/>
    </row>
    <row r="2669" spans="1:38">
      <c r="A2669" s="10"/>
      <c r="B2669" s="10"/>
      <c r="C2669" s="10"/>
      <c r="D2669" s="10"/>
      <c r="E2669" s="10"/>
      <c r="F2669" s="10"/>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0"/>
      <c r="AH2669" s="10"/>
      <c r="AI2669" s="10"/>
      <c r="AJ2669" s="10"/>
      <c r="AK2669" s="10"/>
      <c r="AL2669" s="10"/>
    </row>
    <row r="2670" spans="1:38">
      <c r="A2670" s="10"/>
      <c r="B2670" s="10"/>
      <c r="C2670" s="10"/>
      <c r="D2670" s="10"/>
      <c r="E2670" s="10"/>
      <c r="F2670" s="10"/>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0"/>
      <c r="AH2670" s="10"/>
      <c r="AI2670" s="10"/>
      <c r="AJ2670" s="10"/>
      <c r="AK2670" s="10"/>
      <c r="AL2670" s="10"/>
    </row>
    <row r="2671" spans="1:38">
      <c r="A2671" s="10"/>
      <c r="B2671" s="10"/>
      <c r="C2671" s="10"/>
      <c r="D2671" s="10"/>
      <c r="E2671" s="10"/>
      <c r="F2671" s="10"/>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0"/>
      <c r="AH2671" s="10"/>
      <c r="AI2671" s="10"/>
      <c r="AJ2671" s="10"/>
      <c r="AK2671" s="10"/>
      <c r="AL2671" s="10"/>
    </row>
    <row r="2672" spans="1:38">
      <c r="A2672" s="10"/>
      <c r="B2672" s="10"/>
      <c r="C2672" s="10"/>
      <c r="D2672" s="10"/>
      <c r="E2672" s="10"/>
      <c r="F2672" s="10"/>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0"/>
      <c r="AH2672" s="10"/>
      <c r="AI2672" s="10"/>
      <c r="AJ2672" s="10"/>
      <c r="AK2672" s="10"/>
      <c r="AL2672" s="10"/>
    </row>
    <row r="2673" spans="1:38">
      <c r="A2673" s="10"/>
      <c r="B2673" s="10"/>
      <c r="C2673" s="10"/>
      <c r="D2673" s="10"/>
      <c r="E2673" s="10"/>
      <c r="F2673" s="10"/>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0"/>
      <c r="AH2673" s="10"/>
      <c r="AI2673" s="10"/>
      <c r="AJ2673" s="10"/>
      <c r="AK2673" s="10"/>
      <c r="AL2673" s="10"/>
    </row>
    <row r="2674" spans="1:38">
      <c r="A2674" s="10"/>
      <c r="B2674" s="10"/>
      <c r="C2674" s="10"/>
      <c r="D2674" s="10"/>
      <c r="E2674" s="10"/>
      <c r="F2674" s="10"/>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0"/>
      <c r="AH2674" s="10"/>
      <c r="AI2674" s="10"/>
      <c r="AJ2674" s="10"/>
      <c r="AK2674" s="10"/>
      <c r="AL2674" s="10"/>
    </row>
    <row r="2675" spans="1:38">
      <c r="A2675" s="10"/>
      <c r="B2675" s="10"/>
      <c r="C2675" s="10"/>
      <c r="D2675" s="10"/>
      <c r="E2675" s="10"/>
      <c r="F2675" s="10"/>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0"/>
      <c r="AH2675" s="10"/>
      <c r="AI2675" s="10"/>
      <c r="AJ2675" s="10"/>
      <c r="AK2675" s="10"/>
      <c r="AL2675" s="10"/>
    </row>
    <row r="2676" spans="1:38">
      <c r="A2676" s="10"/>
      <c r="B2676" s="10"/>
      <c r="C2676" s="10"/>
      <c r="D2676" s="10"/>
      <c r="E2676" s="10"/>
      <c r="F2676" s="10"/>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0"/>
      <c r="AH2676" s="10"/>
      <c r="AI2676" s="10"/>
      <c r="AJ2676" s="10"/>
      <c r="AK2676" s="10"/>
      <c r="AL2676" s="10"/>
    </row>
    <row r="2677" spans="1:38">
      <c r="A2677" s="10"/>
      <c r="B2677" s="10"/>
      <c r="C2677" s="10"/>
      <c r="D2677" s="10"/>
      <c r="E2677" s="10"/>
      <c r="F2677" s="10"/>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0"/>
      <c r="AH2677" s="10"/>
      <c r="AI2677" s="10"/>
      <c r="AJ2677" s="10"/>
      <c r="AK2677" s="10"/>
      <c r="AL2677" s="10"/>
    </row>
    <row r="2678" spans="1:38">
      <c r="A2678" s="9"/>
      <c r="B2678" s="9"/>
      <c r="C2678" s="9"/>
      <c r="D2678" s="9"/>
      <c r="E2678" s="9"/>
      <c r="F2678" s="9"/>
      <c r="G2678" s="9"/>
      <c r="H2678" s="9"/>
      <c r="I2678" s="9"/>
      <c r="J2678" s="9"/>
      <c r="K2678" s="9"/>
      <c r="L2678" s="9"/>
      <c r="M2678" s="9"/>
      <c r="N2678" s="9"/>
      <c r="O2678" s="9"/>
      <c r="P2678" s="9"/>
      <c r="Q2678" s="9"/>
      <c r="R2678" s="9"/>
      <c r="S2678" s="9"/>
      <c r="T2678" s="9"/>
      <c r="U2678" s="9"/>
      <c r="V2678" s="9"/>
      <c r="W2678" s="9"/>
      <c r="X2678" s="9"/>
      <c r="Y2678" s="9"/>
      <c r="Z2678" s="9"/>
      <c r="AA2678" s="9"/>
      <c r="AB2678" s="9"/>
      <c r="AC2678" s="9"/>
      <c r="AD2678" s="9"/>
      <c r="AE2678" s="9"/>
      <c r="AF2678" s="9"/>
      <c r="AG2678" s="9"/>
      <c r="AH2678" s="9"/>
      <c r="AI2678" s="9"/>
      <c r="AJ2678" s="9"/>
      <c r="AK2678" s="9"/>
      <c r="AL2678" s="9"/>
    </row>
    <row r="2679" spans="1:38">
      <c r="A2679" s="11"/>
      <c r="B2679" s="11"/>
      <c r="C2679" s="11"/>
      <c r="D2679" s="11"/>
      <c r="E2679" s="11"/>
      <c r="F2679" s="11"/>
      <c r="G2679" s="11"/>
      <c r="H2679" s="11"/>
      <c r="I2679" s="11"/>
      <c r="J2679" s="11"/>
      <c r="K2679" s="11"/>
      <c r="L2679" s="11"/>
      <c r="M2679" s="11"/>
      <c r="N2679" s="11"/>
      <c r="O2679" s="11"/>
      <c r="P2679" s="11"/>
      <c r="Q2679" s="11"/>
      <c r="R2679" s="11"/>
      <c r="S2679" s="11"/>
      <c r="T2679" s="11"/>
      <c r="U2679" s="11"/>
      <c r="V2679" s="11"/>
      <c r="W2679" s="11"/>
      <c r="X2679" s="11"/>
      <c r="Y2679" s="11"/>
      <c r="Z2679" s="11"/>
      <c r="AA2679" s="11"/>
      <c r="AB2679" s="11"/>
      <c r="AC2679" s="11"/>
      <c r="AD2679" s="11"/>
      <c r="AE2679" s="11"/>
      <c r="AF2679" s="11"/>
      <c r="AG2679" s="11"/>
      <c r="AH2679" s="11"/>
      <c r="AI2679" s="11"/>
      <c r="AJ2679" s="11"/>
      <c r="AK2679" s="11"/>
      <c r="AL2679" s="11"/>
    </row>
    <row r="2694" spans="1:38">
      <c r="A2694" s="14"/>
      <c r="B2694" s="14"/>
      <c r="C2694" s="14"/>
      <c r="D2694" s="14"/>
      <c r="E2694" s="14"/>
      <c r="F2694" s="14"/>
      <c r="G2694" s="14"/>
      <c r="H2694" s="14"/>
      <c r="I2694" s="14"/>
      <c r="J2694" s="14"/>
      <c r="K2694" s="14"/>
      <c r="L2694" s="14"/>
      <c r="M2694" s="14"/>
      <c r="N2694" s="14"/>
      <c r="O2694" s="14"/>
      <c r="P2694" s="14"/>
      <c r="Q2694" s="14"/>
      <c r="R2694" s="14"/>
      <c r="S2694" s="14"/>
      <c r="T2694" s="14"/>
      <c r="U2694" s="14"/>
      <c r="V2694" s="14"/>
      <c r="W2694" s="14"/>
      <c r="X2694" s="14"/>
      <c r="Y2694" s="14"/>
      <c r="Z2694" s="14"/>
      <c r="AA2694" s="14"/>
      <c r="AB2694" s="14"/>
      <c r="AC2694" s="14"/>
      <c r="AD2694" s="14"/>
      <c r="AE2694" s="14"/>
      <c r="AF2694" s="14"/>
      <c r="AG2694" s="14"/>
      <c r="AH2694" s="14"/>
      <c r="AI2694" s="14"/>
      <c r="AJ2694" s="14"/>
      <c r="AK2694" s="14"/>
      <c r="AL2694" s="14"/>
    </row>
    <row r="2695" spans="1:38">
      <c r="A2695" s="9"/>
      <c r="B2695" s="9"/>
      <c r="C2695" s="9"/>
      <c r="D2695" s="9"/>
      <c r="E2695" s="9"/>
      <c r="F2695" s="9"/>
      <c r="G2695" s="9"/>
      <c r="H2695" s="9"/>
      <c r="I2695" s="9"/>
      <c r="J2695" s="9"/>
      <c r="K2695" s="9"/>
      <c r="L2695" s="9"/>
      <c r="M2695" s="9"/>
      <c r="N2695" s="9"/>
      <c r="O2695" s="9"/>
      <c r="P2695" s="9"/>
      <c r="Q2695" s="9"/>
      <c r="R2695" s="9"/>
      <c r="S2695" s="9"/>
      <c r="T2695" s="9"/>
      <c r="U2695" s="9"/>
      <c r="V2695" s="9"/>
      <c r="W2695" s="9"/>
      <c r="X2695" s="9"/>
      <c r="Y2695" s="9"/>
      <c r="Z2695" s="9"/>
      <c r="AA2695" s="9"/>
      <c r="AB2695" s="9"/>
      <c r="AC2695" s="9"/>
      <c r="AD2695" s="9"/>
      <c r="AE2695" s="9"/>
      <c r="AF2695" s="9"/>
      <c r="AG2695" s="9"/>
      <c r="AH2695" s="9"/>
      <c r="AI2695" s="9"/>
      <c r="AJ2695" s="9"/>
      <c r="AK2695" s="9"/>
      <c r="AL2695" s="9"/>
    </row>
    <row r="2696" spans="1:38">
      <c r="A2696" s="10"/>
      <c r="B2696" s="10"/>
      <c r="C2696" s="10"/>
      <c r="D2696" s="10"/>
      <c r="E2696" s="10"/>
      <c r="F2696" s="10"/>
      <c r="G2696" s="10"/>
      <c r="H2696" s="10"/>
      <c r="I2696" s="10"/>
      <c r="J2696" s="10"/>
      <c r="K2696" s="10"/>
      <c r="L2696" s="10"/>
      <c r="M2696" s="10"/>
      <c r="N2696" s="10"/>
      <c r="O2696" s="10"/>
      <c r="P2696" s="10"/>
      <c r="Q2696" s="10"/>
      <c r="R2696" s="10"/>
      <c r="S2696" s="10"/>
      <c r="T2696" s="10"/>
      <c r="U2696" s="10"/>
      <c r="V2696" s="10"/>
      <c r="W2696" s="10"/>
      <c r="X2696" s="10"/>
      <c r="Y2696" s="10"/>
      <c r="Z2696" s="10"/>
      <c r="AA2696" s="10"/>
      <c r="AB2696" s="10"/>
      <c r="AC2696" s="10"/>
      <c r="AD2696" s="10"/>
      <c r="AE2696" s="10"/>
      <c r="AF2696" s="10"/>
      <c r="AG2696" s="10"/>
      <c r="AH2696" s="10"/>
      <c r="AI2696" s="10"/>
      <c r="AJ2696" s="10"/>
      <c r="AK2696" s="10"/>
      <c r="AL2696" s="10"/>
    </row>
    <row r="2697" spans="1:38">
      <c r="A2697" s="10"/>
      <c r="B2697" s="10"/>
      <c r="C2697" s="10"/>
      <c r="D2697" s="10"/>
      <c r="E2697" s="10"/>
      <c r="F2697" s="10"/>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0"/>
      <c r="AH2697" s="10"/>
      <c r="AI2697" s="10"/>
      <c r="AJ2697" s="10"/>
      <c r="AK2697" s="10"/>
      <c r="AL2697" s="10"/>
    </row>
    <row r="2698" spans="1:38">
      <c r="A2698" s="10"/>
      <c r="B2698" s="10"/>
      <c r="C2698" s="10"/>
      <c r="D2698" s="10"/>
      <c r="E2698" s="10"/>
      <c r="F2698" s="10"/>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0"/>
      <c r="AH2698" s="10"/>
      <c r="AI2698" s="10"/>
      <c r="AJ2698" s="10"/>
      <c r="AK2698" s="10"/>
      <c r="AL2698" s="10"/>
    </row>
    <row r="2699" spans="1:38">
      <c r="A2699" s="10"/>
      <c r="B2699" s="10"/>
      <c r="C2699" s="10"/>
      <c r="D2699" s="10"/>
      <c r="E2699" s="10"/>
      <c r="F2699" s="10"/>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0"/>
      <c r="AH2699" s="10"/>
      <c r="AI2699" s="10"/>
      <c r="AJ2699" s="10"/>
      <c r="AK2699" s="10"/>
      <c r="AL2699" s="10"/>
    </row>
    <row r="2700" spans="1:38">
      <c r="A2700" s="10"/>
      <c r="B2700" s="10"/>
      <c r="C2700" s="10"/>
      <c r="D2700" s="10"/>
      <c r="E2700" s="10"/>
      <c r="F2700" s="10"/>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0"/>
      <c r="AH2700" s="10"/>
      <c r="AI2700" s="10"/>
      <c r="AJ2700" s="10"/>
      <c r="AK2700" s="10"/>
      <c r="AL2700" s="10"/>
    </row>
    <row r="2701" spans="1:38">
      <c r="A2701" s="10"/>
      <c r="B2701" s="10"/>
      <c r="C2701" s="10"/>
      <c r="D2701" s="10"/>
      <c r="E2701" s="10"/>
      <c r="F2701" s="10"/>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0"/>
      <c r="AH2701" s="10"/>
      <c r="AI2701" s="10"/>
      <c r="AJ2701" s="10"/>
      <c r="AK2701" s="10"/>
      <c r="AL2701" s="10"/>
    </row>
    <row r="2702" spans="1:38">
      <c r="A2702" s="10"/>
      <c r="B2702" s="10"/>
      <c r="C2702" s="10"/>
      <c r="D2702" s="10"/>
      <c r="E2702" s="10"/>
      <c r="F2702" s="10"/>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0"/>
      <c r="AH2702" s="10"/>
      <c r="AI2702" s="10"/>
      <c r="AJ2702" s="10"/>
      <c r="AK2702" s="10"/>
      <c r="AL2702" s="10"/>
    </row>
    <row r="2703" spans="1:38">
      <c r="A2703" s="10"/>
      <c r="B2703" s="10"/>
      <c r="C2703" s="10"/>
      <c r="D2703" s="10"/>
      <c r="E2703" s="10"/>
      <c r="F2703" s="10"/>
      <c r="G2703" s="10"/>
      <c r="H2703" s="10"/>
      <c r="I2703" s="10"/>
      <c r="J2703" s="10"/>
      <c r="K2703" s="10"/>
      <c r="L2703" s="10"/>
      <c r="M2703" s="10"/>
      <c r="N2703" s="10"/>
      <c r="O2703" s="10"/>
      <c r="P2703" s="10"/>
      <c r="Q2703" s="10"/>
      <c r="R2703" s="10"/>
      <c r="S2703" s="10"/>
      <c r="T2703" s="10"/>
      <c r="U2703" s="10"/>
      <c r="V2703" s="10"/>
      <c r="W2703" s="10"/>
      <c r="X2703" s="10"/>
      <c r="Y2703" s="10"/>
      <c r="Z2703" s="10"/>
      <c r="AA2703" s="10"/>
      <c r="AB2703" s="10"/>
      <c r="AC2703" s="10"/>
      <c r="AD2703" s="10"/>
      <c r="AE2703" s="10"/>
      <c r="AF2703" s="10"/>
      <c r="AG2703" s="10"/>
      <c r="AH2703" s="10"/>
      <c r="AI2703" s="10"/>
      <c r="AJ2703" s="10"/>
      <c r="AK2703" s="10"/>
      <c r="AL2703" s="10"/>
    </row>
    <row r="2704" spans="1:38">
      <c r="A2704" s="10"/>
      <c r="B2704" s="10"/>
      <c r="C2704" s="10"/>
      <c r="D2704" s="10"/>
      <c r="E2704" s="10"/>
      <c r="F2704" s="10"/>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0"/>
      <c r="AH2704" s="10"/>
      <c r="AI2704" s="10"/>
      <c r="AJ2704" s="10"/>
      <c r="AK2704" s="10"/>
      <c r="AL2704" s="10"/>
    </row>
    <row r="2705" spans="1:38">
      <c r="A2705" s="10"/>
      <c r="B2705" s="10"/>
      <c r="C2705" s="10"/>
      <c r="D2705" s="10"/>
      <c r="E2705" s="10"/>
      <c r="F2705" s="10"/>
      <c r="G2705" s="10"/>
      <c r="H2705" s="10"/>
      <c r="I2705" s="10"/>
      <c r="J2705" s="10"/>
      <c r="K2705" s="10"/>
      <c r="L2705" s="10"/>
      <c r="M2705" s="10"/>
      <c r="N2705" s="10"/>
      <c r="O2705" s="10"/>
      <c r="P2705" s="10"/>
      <c r="Q2705" s="10"/>
      <c r="R2705" s="10"/>
      <c r="S2705" s="10"/>
      <c r="T2705" s="10"/>
      <c r="U2705" s="10"/>
      <c r="V2705" s="10"/>
      <c r="W2705" s="10"/>
      <c r="X2705" s="10"/>
      <c r="Y2705" s="10"/>
      <c r="Z2705" s="10"/>
      <c r="AA2705" s="10"/>
      <c r="AB2705" s="10"/>
      <c r="AC2705" s="10"/>
      <c r="AD2705" s="10"/>
      <c r="AE2705" s="10"/>
      <c r="AF2705" s="10"/>
      <c r="AG2705" s="10"/>
      <c r="AH2705" s="10"/>
      <c r="AI2705" s="10"/>
      <c r="AJ2705" s="10"/>
      <c r="AK2705" s="10"/>
      <c r="AL2705" s="10"/>
    </row>
    <row r="2706" spans="1:38">
      <c r="A2706" s="10"/>
      <c r="B2706" s="10"/>
      <c r="C2706" s="10"/>
      <c r="D2706" s="10"/>
      <c r="E2706" s="10"/>
      <c r="F2706" s="10"/>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0"/>
      <c r="AH2706" s="10"/>
      <c r="AI2706" s="10"/>
      <c r="AJ2706" s="10"/>
      <c r="AK2706" s="10"/>
      <c r="AL2706" s="10"/>
    </row>
    <row r="2707" spans="1:38">
      <c r="A2707" s="11"/>
      <c r="B2707" s="11"/>
      <c r="C2707" s="11"/>
      <c r="D2707" s="11"/>
      <c r="E2707" s="11"/>
      <c r="F2707" s="11"/>
      <c r="G2707" s="11"/>
      <c r="H2707" s="11"/>
      <c r="I2707" s="11"/>
      <c r="J2707" s="11"/>
      <c r="K2707" s="11"/>
      <c r="L2707" s="11"/>
      <c r="M2707" s="11"/>
      <c r="N2707" s="11"/>
      <c r="O2707" s="11"/>
      <c r="P2707" s="11"/>
      <c r="Q2707" s="11"/>
      <c r="R2707" s="11"/>
      <c r="S2707" s="11"/>
      <c r="T2707" s="11"/>
      <c r="U2707" s="11"/>
      <c r="V2707" s="11"/>
      <c r="W2707" s="11"/>
      <c r="X2707" s="11"/>
      <c r="Y2707" s="11"/>
      <c r="Z2707" s="11"/>
      <c r="AA2707" s="11"/>
      <c r="AB2707" s="11"/>
      <c r="AC2707" s="11"/>
      <c r="AD2707" s="11"/>
      <c r="AE2707" s="11"/>
      <c r="AF2707" s="11"/>
      <c r="AG2707" s="11"/>
      <c r="AH2707" s="11"/>
      <c r="AI2707" s="11"/>
      <c r="AJ2707" s="11"/>
      <c r="AK2707" s="11"/>
      <c r="AL2707" s="11"/>
    </row>
    <row r="2718" spans="1:38">
      <c r="A2718" s="14"/>
      <c r="B2718" s="14"/>
      <c r="C2718" s="14"/>
      <c r="D2718" s="14"/>
      <c r="E2718" s="14"/>
      <c r="F2718" s="14"/>
      <c r="G2718" s="14"/>
      <c r="H2718" s="14"/>
      <c r="I2718" s="14"/>
      <c r="J2718" s="14"/>
      <c r="K2718" s="14"/>
      <c r="L2718" s="14"/>
      <c r="M2718" s="14"/>
      <c r="N2718" s="14"/>
      <c r="O2718" s="14"/>
      <c r="P2718" s="14"/>
      <c r="Q2718" s="14"/>
      <c r="R2718" s="14"/>
      <c r="S2718" s="14"/>
      <c r="T2718" s="14"/>
      <c r="U2718" s="14"/>
      <c r="V2718" s="14"/>
      <c r="W2718" s="14"/>
      <c r="X2718" s="14"/>
      <c r="Y2718" s="14"/>
      <c r="Z2718" s="14"/>
      <c r="AA2718" s="14"/>
      <c r="AB2718" s="14"/>
      <c r="AC2718" s="14"/>
      <c r="AD2718" s="14"/>
      <c r="AE2718" s="14"/>
      <c r="AF2718" s="14"/>
      <c r="AG2718" s="14"/>
      <c r="AH2718" s="14"/>
      <c r="AI2718" s="14"/>
      <c r="AJ2718" s="14"/>
      <c r="AK2718" s="14"/>
      <c r="AL2718" s="14"/>
    </row>
    <row r="2719" spans="1:38">
      <c r="A2719" s="9"/>
      <c r="B2719" s="9"/>
      <c r="C2719" s="9"/>
      <c r="D2719" s="9"/>
      <c r="E2719" s="9"/>
      <c r="F2719" s="9"/>
      <c r="G2719" s="9"/>
      <c r="H2719" s="9"/>
      <c r="I2719" s="9"/>
      <c r="J2719" s="9"/>
      <c r="K2719" s="9"/>
      <c r="L2719" s="9"/>
      <c r="M2719" s="9"/>
      <c r="N2719" s="9"/>
      <c r="O2719" s="9"/>
      <c r="P2719" s="9"/>
      <c r="Q2719" s="9"/>
      <c r="R2719" s="9"/>
      <c r="S2719" s="9"/>
      <c r="T2719" s="9"/>
      <c r="U2719" s="9"/>
      <c r="V2719" s="9"/>
      <c r="W2719" s="9"/>
      <c r="X2719" s="9"/>
      <c r="Y2719" s="9"/>
      <c r="Z2719" s="9"/>
      <c r="AA2719" s="9"/>
      <c r="AB2719" s="9"/>
      <c r="AC2719" s="9"/>
      <c r="AD2719" s="9"/>
      <c r="AE2719" s="9"/>
      <c r="AF2719" s="9"/>
      <c r="AG2719" s="9"/>
      <c r="AH2719" s="9"/>
      <c r="AI2719" s="9"/>
      <c r="AJ2719" s="9"/>
      <c r="AK2719" s="9"/>
      <c r="AL2719" s="9"/>
    </row>
    <row r="2720" spans="1:38">
      <c r="A2720" s="10"/>
      <c r="B2720" s="10"/>
      <c r="C2720" s="10"/>
      <c r="D2720" s="10"/>
      <c r="E2720" s="10"/>
      <c r="F2720" s="10"/>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0"/>
      <c r="AH2720" s="10"/>
      <c r="AI2720" s="10"/>
      <c r="AJ2720" s="10"/>
      <c r="AK2720" s="10"/>
      <c r="AL2720" s="10"/>
    </row>
    <row r="2721" spans="1:38">
      <c r="A2721" s="10"/>
      <c r="B2721" s="10"/>
      <c r="C2721" s="10"/>
      <c r="D2721" s="10"/>
      <c r="E2721" s="10"/>
      <c r="F2721" s="10"/>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0"/>
      <c r="AH2721" s="10"/>
      <c r="AI2721" s="10"/>
      <c r="AJ2721" s="10"/>
      <c r="AK2721" s="10"/>
      <c r="AL2721" s="10"/>
    </row>
    <row r="2722" spans="1:38">
      <c r="A2722" s="10"/>
      <c r="B2722" s="10"/>
      <c r="C2722" s="10"/>
      <c r="D2722" s="10"/>
      <c r="E2722" s="10"/>
      <c r="F2722" s="10"/>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0"/>
      <c r="AH2722" s="10"/>
      <c r="AI2722" s="10"/>
      <c r="AJ2722" s="10"/>
      <c r="AK2722" s="10"/>
      <c r="AL2722" s="10"/>
    </row>
    <row r="2723" spans="1:38">
      <c r="A2723" s="10"/>
      <c r="B2723" s="10"/>
      <c r="C2723" s="10"/>
      <c r="D2723" s="10"/>
      <c r="E2723" s="10"/>
      <c r="F2723" s="10"/>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0"/>
      <c r="AH2723" s="10"/>
      <c r="AI2723" s="10"/>
      <c r="AJ2723" s="10"/>
      <c r="AK2723" s="10"/>
      <c r="AL2723" s="10"/>
    </row>
    <row r="2724" spans="1:38">
      <c r="A2724" s="10"/>
      <c r="B2724" s="10"/>
      <c r="C2724" s="10"/>
      <c r="D2724" s="10"/>
      <c r="E2724" s="10"/>
      <c r="F2724" s="10"/>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0"/>
      <c r="AH2724" s="10"/>
      <c r="AI2724" s="10"/>
      <c r="AJ2724" s="10"/>
      <c r="AK2724" s="10"/>
      <c r="AL2724" s="10"/>
    </row>
    <row r="2725" spans="1:38">
      <c r="A2725" s="10"/>
      <c r="B2725" s="10"/>
      <c r="C2725" s="10"/>
      <c r="D2725" s="10"/>
      <c r="E2725" s="10"/>
      <c r="F2725" s="10"/>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0"/>
      <c r="AH2725" s="10"/>
      <c r="AI2725" s="10"/>
      <c r="AJ2725" s="10"/>
      <c r="AK2725" s="10"/>
      <c r="AL2725" s="10"/>
    </row>
    <row r="2726" spans="1:38">
      <c r="A2726" s="10"/>
      <c r="B2726" s="10"/>
      <c r="C2726" s="10"/>
      <c r="D2726" s="10"/>
      <c r="E2726" s="10"/>
      <c r="F2726" s="10"/>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0"/>
      <c r="AH2726" s="10"/>
      <c r="AI2726" s="10"/>
      <c r="AJ2726" s="10"/>
      <c r="AK2726" s="10"/>
      <c r="AL2726" s="10"/>
    </row>
    <row r="2727" spans="1:38">
      <c r="A2727" s="10"/>
      <c r="B2727" s="10"/>
      <c r="C2727" s="10"/>
      <c r="D2727" s="10"/>
      <c r="E2727" s="10"/>
      <c r="F2727" s="10"/>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0"/>
      <c r="AH2727" s="10"/>
      <c r="AI2727" s="10"/>
      <c r="AJ2727" s="10"/>
      <c r="AK2727" s="10"/>
      <c r="AL2727" s="10"/>
    </row>
    <row r="2728" spans="1:38">
      <c r="A2728" s="10"/>
      <c r="B2728" s="10"/>
      <c r="C2728" s="10"/>
      <c r="D2728" s="10"/>
      <c r="E2728" s="10"/>
      <c r="F2728" s="10"/>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0"/>
      <c r="AH2728" s="10"/>
      <c r="AI2728" s="10"/>
      <c r="AJ2728" s="10"/>
      <c r="AK2728" s="10"/>
      <c r="AL2728" s="10"/>
    </row>
    <row r="2729" spans="1:38">
      <c r="A2729" s="10"/>
      <c r="B2729" s="10"/>
      <c r="C2729" s="10"/>
      <c r="D2729" s="10"/>
      <c r="E2729" s="10"/>
      <c r="F2729" s="10"/>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0"/>
      <c r="AH2729" s="10"/>
      <c r="AI2729" s="10"/>
      <c r="AJ2729" s="10"/>
      <c r="AK2729" s="10"/>
      <c r="AL2729" s="10"/>
    </row>
    <row r="2730" spans="1:38">
      <c r="A2730" s="10"/>
      <c r="B2730" s="10"/>
      <c r="C2730" s="10"/>
      <c r="D2730" s="10"/>
      <c r="E2730" s="10"/>
      <c r="F2730" s="10"/>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0"/>
      <c r="AH2730" s="10"/>
      <c r="AI2730" s="10"/>
      <c r="AJ2730" s="10"/>
      <c r="AK2730" s="10"/>
      <c r="AL2730" s="10"/>
    </row>
    <row r="2731" spans="1:38">
      <c r="A2731" s="11"/>
      <c r="B2731" s="11"/>
      <c r="C2731" s="11"/>
      <c r="D2731" s="11"/>
      <c r="E2731" s="11"/>
      <c r="F2731" s="11"/>
      <c r="G2731" s="11"/>
      <c r="H2731" s="11"/>
      <c r="I2731" s="11"/>
      <c r="J2731" s="11"/>
      <c r="K2731" s="11"/>
      <c r="L2731" s="11"/>
      <c r="M2731" s="11"/>
      <c r="N2731" s="11"/>
      <c r="O2731" s="11"/>
      <c r="P2731" s="11"/>
      <c r="Q2731" s="11"/>
      <c r="R2731" s="11"/>
      <c r="S2731" s="11"/>
      <c r="T2731" s="11"/>
      <c r="U2731" s="11"/>
      <c r="V2731" s="11"/>
      <c r="W2731" s="11"/>
      <c r="X2731" s="11"/>
      <c r="Y2731" s="11"/>
      <c r="Z2731" s="11"/>
      <c r="AA2731" s="11"/>
      <c r="AB2731" s="11"/>
      <c r="AC2731" s="11"/>
      <c r="AD2731" s="11"/>
      <c r="AE2731" s="11"/>
      <c r="AF2731" s="11"/>
      <c r="AG2731" s="11"/>
      <c r="AH2731" s="11"/>
      <c r="AI2731" s="11"/>
      <c r="AJ2731" s="11"/>
      <c r="AK2731" s="11"/>
      <c r="AL2731" s="11"/>
    </row>
    <row r="2743" spans="1:38">
      <c r="A2743" s="14"/>
      <c r="B2743" s="14"/>
      <c r="C2743" s="14"/>
      <c r="D2743" s="14"/>
      <c r="E2743" s="14"/>
      <c r="F2743" s="14"/>
      <c r="G2743" s="14"/>
      <c r="H2743" s="14"/>
      <c r="I2743" s="14"/>
      <c r="J2743" s="14"/>
      <c r="K2743" s="14"/>
      <c r="L2743" s="14"/>
      <c r="M2743" s="14"/>
      <c r="N2743" s="14"/>
      <c r="O2743" s="14"/>
      <c r="P2743" s="14"/>
      <c r="Q2743" s="14"/>
      <c r="R2743" s="14"/>
      <c r="S2743" s="14"/>
      <c r="T2743" s="14"/>
      <c r="U2743" s="14"/>
      <c r="V2743" s="14"/>
      <c r="W2743" s="14"/>
      <c r="X2743" s="14"/>
      <c r="Y2743" s="14"/>
      <c r="Z2743" s="14"/>
      <c r="AA2743" s="14"/>
      <c r="AB2743" s="14"/>
      <c r="AC2743" s="14"/>
      <c r="AD2743" s="14"/>
      <c r="AE2743" s="14"/>
      <c r="AF2743" s="14"/>
      <c r="AG2743" s="14"/>
      <c r="AH2743" s="14"/>
      <c r="AI2743" s="14"/>
      <c r="AJ2743" s="14"/>
      <c r="AK2743" s="14"/>
      <c r="AL2743" s="14"/>
    </row>
    <row r="2744" spans="1:38">
      <c r="A2744" s="9"/>
      <c r="B2744" s="9"/>
      <c r="C2744" s="9"/>
      <c r="D2744" s="9"/>
      <c r="E2744" s="9"/>
      <c r="F2744" s="9"/>
      <c r="G2744" s="9"/>
      <c r="H2744" s="9"/>
      <c r="I2744" s="9"/>
      <c r="J2744" s="9"/>
      <c r="K2744" s="9"/>
      <c r="L2744" s="9"/>
      <c r="M2744" s="9"/>
      <c r="N2744" s="9"/>
      <c r="O2744" s="9"/>
      <c r="P2744" s="9"/>
      <c r="Q2744" s="9"/>
      <c r="R2744" s="9"/>
      <c r="S2744" s="9"/>
      <c r="T2744" s="9"/>
      <c r="U2744" s="9"/>
      <c r="V2744" s="9"/>
      <c r="W2744" s="9"/>
      <c r="X2744" s="9"/>
      <c r="Y2744" s="9"/>
      <c r="Z2744" s="9"/>
      <c r="AA2744" s="9"/>
      <c r="AB2744" s="9"/>
      <c r="AC2744" s="9"/>
      <c r="AD2744" s="9"/>
      <c r="AE2744" s="9"/>
      <c r="AF2744" s="9"/>
      <c r="AG2744" s="9"/>
      <c r="AH2744" s="9"/>
      <c r="AI2744" s="9"/>
      <c r="AJ2744" s="9"/>
      <c r="AK2744" s="9"/>
      <c r="AL2744" s="9"/>
    </row>
    <row r="2745" spans="1:38">
      <c r="A2745" s="10"/>
      <c r="B2745" s="10"/>
      <c r="C2745" s="10"/>
      <c r="D2745" s="10"/>
      <c r="E2745" s="10"/>
      <c r="F2745" s="10"/>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0"/>
      <c r="AH2745" s="10"/>
      <c r="AI2745" s="10"/>
      <c r="AJ2745" s="10"/>
      <c r="AK2745" s="10"/>
      <c r="AL2745" s="10"/>
    </row>
    <row r="2746" spans="1:38">
      <c r="A2746" s="10"/>
      <c r="B2746" s="10"/>
      <c r="C2746" s="10"/>
      <c r="D2746" s="10"/>
      <c r="E2746" s="10"/>
      <c r="F2746" s="10"/>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0"/>
      <c r="AH2746" s="10"/>
      <c r="AI2746" s="10"/>
      <c r="AJ2746" s="10"/>
      <c r="AK2746" s="10"/>
      <c r="AL2746" s="10"/>
    </row>
    <row r="2747" spans="1:38">
      <c r="A2747" s="10"/>
      <c r="B2747" s="10"/>
      <c r="C2747" s="10"/>
      <c r="D2747" s="10"/>
      <c r="E2747" s="10"/>
      <c r="F2747" s="10"/>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0"/>
      <c r="AH2747" s="10"/>
      <c r="AI2747" s="10"/>
      <c r="AJ2747" s="10"/>
      <c r="AK2747" s="10"/>
      <c r="AL2747" s="10"/>
    </row>
    <row r="2748" spans="1:38">
      <c r="A2748" s="10"/>
      <c r="B2748" s="10"/>
      <c r="C2748" s="10"/>
      <c r="D2748" s="10"/>
      <c r="E2748" s="10"/>
      <c r="F2748" s="10"/>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0"/>
      <c r="AH2748" s="10"/>
      <c r="AI2748" s="10"/>
      <c r="AJ2748" s="10"/>
      <c r="AK2748" s="10"/>
      <c r="AL2748" s="10"/>
    </row>
    <row r="2749" spans="1:38">
      <c r="A2749" s="10"/>
      <c r="B2749" s="10"/>
      <c r="C2749" s="10"/>
      <c r="D2749" s="10"/>
      <c r="E2749" s="10"/>
      <c r="F2749" s="10"/>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0"/>
      <c r="AH2749" s="10"/>
      <c r="AI2749" s="10"/>
      <c r="AJ2749" s="10"/>
      <c r="AK2749" s="10"/>
      <c r="AL2749" s="10"/>
    </row>
    <row r="2750" spans="1:38">
      <c r="A2750" s="10"/>
      <c r="B2750" s="10"/>
      <c r="C2750" s="10"/>
      <c r="D2750" s="10"/>
      <c r="E2750" s="10"/>
      <c r="F2750" s="10"/>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0"/>
      <c r="AH2750" s="10"/>
      <c r="AI2750" s="10"/>
      <c r="AJ2750" s="10"/>
      <c r="AK2750" s="10"/>
      <c r="AL2750" s="10"/>
    </row>
    <row r="2751" spans="1:38">
      <c r="A2751" s="10"/>
      <c r="B2751" s="10"/>
      <c r="C2751" s="10"/>
      <c r="D2751" s="10"/>
      <c r="E2751" s="10"/>
      <c r="F2751" s="10"/>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0"/>
      <c r="AH2751" s="10"/>
      <c r="AI2751" s="10"/>
      <c r="AJ2751" s="10"/>
      <c r="AK2751" s="10"/>
      <c r="AL2751" s="10"/>
    </row>
    <row r="2752" spans="1:38">
      <c r="A2752" s="10"/>
      <c r="B2752" s="10"/>
      <c r="C2752" s="10"/>
      <c r="D2752" s="10"/>
      <c r="E2752" s="10"/>
      <c r="F2752" s="10"/>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0"/>
      <c r="AH2752" s="10"/>
      <c r="AI2752" s="10"/>
      <c r="AJ2752" s="10"/>
      <c r="AK2752" s="10"/>
      <c r="AL2752" s="10"/>
    </row>
    <row r="2753" spans="1:38">
      <c r="A2753" s="10"/>
      <c r="B2753" s="10"/>
      <c r="C2753" s="10"/>
      <c r="D2753" s="10"/>
      <c r="E2753" s="10"/>
      <c r="F2753" s="10"/>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0"/>
      <c r="AH2753" s="10"/>
      <c r="AI2753" s="10"/>
      <c r="AJ2753" s="10"/>
      <c r="AK2753" s="10"/>
      <c r="AL2753" s="10"/>
    </row>
    <row r="2754" spans="1:38">
      <c r="A2754" s="10"/>
      <c r="B2754" s="10"/>
      <c r="C2754" s="10"/>
      <c r="D2754" s="10"/>
      <c r="E2754" s="10"/>
      <c r="F2754" s="10"/>
      <c r="G2754" s="10"/>
      <c r="H2754" s="10"/>
      <c r="I2754" s="10"/>
      <c r="J2754" s="10"/>
      <c r="K2754" s="10"/>
      <c r="L2754" s="10"/>
      <c r="M2754" s="10"/>
      <c r="N2754" s="10"/>
      <c r="O2754" s="10"/>
      <c r="P2754" s="10"/>
      <c r="Q2754" s="10"/>
      <c r="R2754" s="10"/>
      <c r="S2754" s="10"/>
      <c r="T2754" s="10"/>
      <c r="U2754" s="10"/>
      <c r="V2754" s="10"/>
      <c r="W2754" s="10"/>
      <c r="X2754" s="10"/>
      <c r="Y2754" s="10"/>
      <c r="Z2754" s="10"/>
      <c r="AA2754" s="10"/>
      <c r="AB2754" s="10"/>
      <c r="AC2754" s="10"/>
      <c r="AD2754" s="10"/>
      <c r="AE2754" s="10"/>
      <c r="AF2754" s="10"/>
      <c r="AG2754" s="10"/>
      <c r="AH2754" s="10"/>
      <c r="AI2754" s="10"/>
      <c r="AJ2754" s="10"/>
      <c r="AK2754" s="10"/>
      <c r="AL2754" s="10"/>
    </row>
    <row r="2755" spans="1:38">
      <c r="A2755" s="9"/>
      <c r="B2755" s="9"/>
      <c r="C2755" s="9"/>
      <c r="D2755" s="9"/>
      <c r="E2755" s="9"/>
      <c r="F2755" s="9"/>
      <c r="G2755" s="9"/>
      <c r="H2755" s="9"/>
      <c r="I2755" s="9"/>
      <c r="J2755" s="9"/>
      <c r="K2755" s="9"/>
      <c r="L2755" s="9"/>
      <c r="M2755" s="9"/>
      <c r="N2755" s="9"/>
      <c r="O2755" s="9"/>
      <c r="P2755" s="9"/>
      <c r="Q2755" s="9"/>
      <c r="R2755" s="9"/>
      <c r="S2755" s="9"/>
      <c r="T2755" s="9"/>
      <c r="U2755" s="9"/>
      <c r="V2755" s="9"/>
      <c r="W2755" s="9"/>
      <c r="X2755" s="9"/>
      <c r="Y2755" s="9"/>
      <c r="Z2755" s="9"/>
      <c r="AA2755" s="9"/>
      <c r="AB2755" s="9"/>
      <c r="AC2755" s="9"/>
      <c r="AD2755" s="9"/>
      <c r="AE2755" s="9"/>
      <c r="AF2755" s="9"/>
      <c r="AG2755" s="9"/>
      <c r="AH2755" s="9"/>
      <c r="AI2755" s="9"/>
      <c r="AJ2755" s="9"/>
      <c r="AK2755" s="9"/>
      <c r="AL2755" s="9"/>
    </row>
    <row r="2756" spans="1:38">
      <c r="A2756" s="11"/>
      <c r="B2756" s="11"/>
      <c r="C2756" s="11"/>
      <c r="D2756" s="11"/>
      <c r="E2756" s="11"/>
      <c r="F2756" s="11"/>
      <c r="G2756" s="11"/>
      <c r="H2756" s="11"/>
      <c r="I2756" s="11"/>
      <c r="J2756" s="11"/>
      <c r="K2756" s="11"/>
      <c r="L2756" s="11"/>
      <c r="M2756" s="11"/>
      <c r="N2756" s="11"/>
      <c r="O2756" s="11"/>
      <c r="P2756" s="11"/>
      <c r="Q2756" s="11"/>
      <c r="R2756" s="11"/>
      <c r="S2756" s="11"/>
      <c r="T2756" s="11"/>
      <c r="U2756" s="11"/>
      <c r="V2756" s="11"/>
      <c r="W2756" s="11"/>
      <c r="X2756" s="11"/>
      <c r="Y2756" s="11"/>
      <c r="Z2756" s="11"/>
      <c r="AA2756" s="11"/>
      <c r="AB2756" s="11"/>
      <c r="AC2756" s="11"/>
      <c r="AD2756" s="11"/>
      <c r="AE2756" s="11"/>
      <c r="AF2756" s="11"/>
      <c r="AG2756" s="11"/>
      <c r="AH2756" s="11"/>
      <c r="AI2756" s="11"/>
      <c r="AJ2756" s="11"/>
      <c r="AK2756" s="11"/>
      <c r="AL2756" s="11"/>
    </row>
    <row r="2770" spans="1:38">
      <c r="A2770" s="14"/>
      <c r="B2770" s="14"/>
      <c r="C2770" s="14"/>
      <c r="D2770" s="14"/>
      <c r="E2770" s="14"/>
      <c r="F2770" s="14"/>
      <c r="G2770" s="14"/>
      <c r="H2770" s="14"/>
      <c r="I2770" s="14"/>
      <c r="J2770" s="14"/>
      <c r="K2770" s="14"/>
      <c r="L2770" s="14"/>
      <c r="M2770" s="14"/>
      <c r="N2770" s="14"/>
      <c r="O2770" s="14"/>
      <c r="P2770" s="14"/>
      <c r="Q2770" s="14"/>
      <c r="R2770" s="14"/>
      <c r="S2770" s="14"/>
      <c r="T2770" s="14"/>
      <c r="U2770" s="14"/>
      <c r="V2770" s="14"/>
      <c r="W2770" s="14"/>
      <c r="X2770" s="14"/>
      <c r="Y2770" s="14"/>
      <c r="Z2770" s="14"/>
      <c r="AA2770" s="14"/>
      <c r="AB2770" s="14"/>
      <c r="AC2770" s="14"/>
      <c r="AD2770" s="14"/>
      <c r="AE2770" s="14"/>
      <c r="AF2770" s="14"/>
      <c r="AG2770" s="14"/>
      <c r="AH2770" s="14"/>
      <c r="AI2770" s="14"/>
      <c r="AJ2770" s="14"/>
      <c r="AK2770" s="14"/>
      <c r="AL2770" s="14"/>
    </row>
    <row r="2771" spans="1:38">
      <c r="A2771" s="9"/>
      <c r="B2771" s="9"/>
      <c r="C2771" s="9"/>
      <c r="D2771" s="9"/>
      <c r="E2771" s="9"/>
      <c r="F2771" s="9"/>
      <c r="G2771" s="9"/>
      <c r="H2771" s="9"/>
      <c r="I2771" s="9"/>
      <c r="J2771" s="9"/>
      <c r="K2771" s="9"/>
      <c r="L2771" s="9"/>
      <c r="M2771" s="9"/>
      <c r="N2771" s="9"/>
      <c r="O2771" s="9"/>
      <c r="P2771" s="9"/>
      <c r="Q2771" s="9"/>
      <c r="R2771" s="9"/>
      <c r="S2771" s="9"/>
      <c r="T2771" s="9"/>
      <c r="U2771" s="9"/>
      <c r="V2771" s="9"/>
      <c r="W2771" s="9"/>
      <c r="X2771" s="9"/>
      <c r="Y2771" s="9"/>
      <c r="Z2771" s="9"/>
      <c r="AA2771" s="9"/>
      <c r="AB2771" s="9"/>
      <c r="AC2771" s="9"/>
      <c r="AD2771" s="9"/>
      <c r="AE2771" s="9"/>
      <c r="AF2771" s="9"/>
      <c r="AG2771" s="9"/>
      <c r="AH2771" s="9"/>
      <c r="AI2771" s="9"/>
      <c r="AJ2771" s="9"/>
      <c r="AK2771" s="9"/>
      <c r="AL2771" s="9"/>
    </row>
    <row r="2772" spans="1:38">
      <c r="A2772" s="10"/>
      <c r="B2772" s="10"/>
      <c r="C2772" s="10"/>
      <c r="D2772" s="10"/>
      <c r="E2772" s="10"/>
      <c r="F2772" s="10"/>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0"/>
      <c r="AH2772" s="10"/>
      <c r="AI2772" s="10"/>
      <c r="AJ2772" s="10"/>
      <c r="AK2772" s="10"/>
      <c r="AL2772" s="10"/>
    </row>
    <row r="2773" spans="1:38">
      <c r="A2773" s="10"/>
      <c r="B2773" s="10"/>
      <c r="C2773" s="10"/>
      <c r="D2773" s="10"/>
      <c r="E2773" s="10"/>
      <c r="F2773" s="10"/>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0"/>
      <c r="AH2773" s="10"/>
      <c r="AI2773" s="10"/>
      <c r="AJ2773" s="10"/>
      <c r="AK2773" s="10"/>
      <c r="AL2773" s="10"/>
    </row>
    <row r="2774" spans="1:38">
      <c r="A2774" s="10"/>
      <c r="B2774" s="10"/>
      <c r="C2774" s="10"/>
      <c r="D2774" s="10"/>
      <c r="E2774" s="10"/>
      <c r="F2774" s="10"/>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0"/>
      <c r="AH2774" s="10"/>
      <c r="AI2774" s="10"/>
      <c r="AJ2774" s="10"/>
      <c r="AK2774" s="10"/>
      <c r="AL2774" s="10"/>
    </row>
    <row r="2775" spans="1:38">
      <c r="A2775" s="10"/>
      <c r="B2775" s="10"/>
      <c r="C2775" s="10"/>
      <c r="D2775" s="10"/>
      <c r="E2775" s="10"/>
      <c r="F2775" s="10"/>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0"/>
      <c r="AH2775" s="10"/>
      <c r="AI2775" s="10"/>
      <c r="AJ2775" s="10"/>
      <c r="AK2775" s="10"/>
      <c r="AL2775" s="10"/>
    </row>
    <row r="2776" spans="1:38">
      <c r="A2776" s="10"/>
      <c r="B2776" s="10"/>
      <c r="C2776" s="10"/>
      <c r="D2776" s="10"/>
      <c r="E2776" s="10"/>
      <c r="F2776" s="10"/>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0"/>
      <c r="AH2776" s="10"/>
      <c r="AI2776" s="10"/>
      <c r="AJ2776" s="10"/>
      <c r="AK2776" s="10"/>
      <c r="AL2776" s="10"/>
    </row>
    <row r="2777" spans="1:38">
      <c r="A2777" s="10"/>
      <c r="B2777" s="10"/>
      <c r="C2777" s="10"/>
      <c r="D2777" s="10"/>
      <c r="E2777" s="10"/>
      <c r="F2777" s="10"/>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0"/>
      <c r="AH2777" s="10"/>
      <c r="AI2777" s="10"/>
      <c r="AJ2777" s="10"/>
      <c r="AK2777" s="10"/>
      <c r="AL2777" s="10"/>
    </row>
    <row r="2778" spans="1:38">
      <c r="A2778" s="10"/>
      <c r="B2778" s="10"/>
      <c r="C2778" s="10"/>
      <c r="D2778" s="10"/>
      <c r="E2778" s="10"/>
      <c r="F2778" s="10"/>
      <c r="G2778" s="10"/>
      <c r="H2778" s="10"/>
      <c r="I2778" s="10"/>
      <c r="J2778" s="10"/>
      <c r="K2778" s="10"/>
      <c r="L2778" s="10"/>
      <c r="M2778" s="10"/>
      <c r="N2778" s="10"/>
      <c r="O2778" s="10"/>
      <c r="P2778" s="10"/>
      <c r="Q2778" s="10"/>
      <c r="R2778" s="10"/>
      <c r="S2778" s="10"/>
      <c r="T2778" s="10"/>
      <c r="U2778" s="10"/>
      <c r="V2778" s="10"/>
      <c r="W2778" s="10"/>
      <c r="X2778" s="10"/>
      <c r="Y2778" s="10"/>
      <c r="Z2778" s="10"/>
      <c r="AA2778" s="10"/>
      <c r="AB2778" s="10"/>
      <c r="AC2778" s="10"/>
      <c r="AD2778" s="10"/>
      <c r="AE2778" s="10"/>
      <c r="AF2778" s="10"/>
      <c r="AG2778" s="10"/>
      <c r="AH2778" s="10"/>
      <c r="AI2778" s="10"/>
      <c r="AJ2778" s="10"/>
      <c r="AK2778" s="10"/>
      <c r="AL2778" s="10"/>
    </row>
    <row r="2779" spans="1:38">
      <c r="A2779" s="10"/>
      <c r="B2779" s="10"/>
      <c r="C2779" s="10"/>
      <c r="D2779" s="10"/>
      <c r="E2779" s="10"/>
      <c r="F2779" s="10"/>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0"/>
      <c r="AH2779" s="10"/>
      <c r="AI2779" s="10"/>
      <c r="AJ2779" s="10"/>
      <c r="AK2779" s="10"/>
      <c r="AL2779" s="10"/>
    </row>
    <row r="2780" spans="1:38">
      <c r="A2780" s="10"/>
      <c r="B2780" s="10"/>
      <c r="C2780" s="10"/>
      <c r="D2780" s="10"/>
      <c r="E2780" s="10"/>
      <c r="F2780" s="10"/>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0"/>
      <c r="AH2780" s="10"/>
      <c r="AI2780" s="10"/>
      <c r="AJ2780" s="10"/>
      <c r="AK2780" s="10"/>
      <c r="AL2780" s="10"/>
    </row>
    <row r="2781" spans="1:38">
      <c r="A2781" s="10"/>
      <c r="B2781" s="10"/>
      <c r="C2781" s="10"/>
      <c r="D2781" s="10"/>
      <c r="E2781" s="10"/>
      <c r="F2781" s="10"/>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0"/>
      <c r="AH2781" s="10"/>
      <c r="AI2781" s="10"/>
      <c r="AJ2781" s="10"/>
      <c r="AK2781" s="10"/>
      <c r="AL2781" s="10"/>
    </row>
    <row r="2782" spans="1:38">
      <c r="A2782" s="10"/>
      <c r="B2782" s="10"/>
      <c r="C2782" s="10"/>
      <c r="D2782" s="10"/>
      <c r="E2782" s="10"/>
      <c r="F2782" s="10"/>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0"/>
      <c r="AH2782" s="10"/>
      <c r="AI2782" s="10"/>
      <c r="AJ2782" s="10"/>
      <c r="AK2782" s="10"/>
      <c r="AL2782" s="10"/>
    </row>
    <row r="2783" spans="1:38">
      <c r="A2783" s="11"/>
      <c r="B2783" s="11"/>
      <c r="C2783" s="11"/>
      <c r="D2783" s="11"/>
      <c r="E2783" s="11"/>
      <c r="F2783" s="11"/>
      <c r="G2783" s="11"/>
      <c r="H2783" s="11"/>
      <c r="I2783" s="11"/>
      <c r="J2783" s="11"/>
      <c r="K2783" s="11"/>
      <c r="L2783" s="11"/>
      <c r="M2783" s="11"/>
      <c r="N2783" s="11"/>
      <c r="O2783" s="11"/>
      <c r="P2783" s="11"/>
      <c r="Q2783" s="11"/>
      <c r="R2783" s="11"/>
      <c r="S2783" s="11"/>
      <c r="T2783" s="11"/>
      <c r="U2783" s="11"/>
      <c r="V2783" s="11"/>
      <c r="W2783" s="11"/>
      <c r="X2783" s="11"/>
      <c r="Y2783" s="11"/>
      <c r="Z2783" s="11"/>
      <c r="AA2783" s="11"/>
      <c r="AB2783" s="11"/>
      <c r="AC2783" s="11"/>
      <c r="AD2783" s="11"/>
      <c r="AE2783" s="11"/>
      <c r="AF2783" s="11"/>
      <c r="AG2783" s="11"/>
      <c r="AH2783" s="11"/>
      <c r="AI2783" s="11"/>
      <c r="AJ2783" s="11"/>
      <c r="AK2783" s="11"/>
      <c r="AL2783" s="11"/>
    </row>
    <row r="2795" spans="1:38">
      <c r="A2795" s="14"/>
      <c r="B2795" s="14"/>
      <c r="C2795" s="14"/>
      <c r="D2795" s="14"/>
      <c r="E2795" s="14"/>
      <c r="F2795" s="14"/>
      <c r="G2795" s="14"/>
      <c r="H2795" s="14"/>
      <c r="I2795" s="14"/>
      <c r="J2795" s="14"/>
      <c r="K2795" s="14"/>
      <c r="L2795" s="14"/>
      <c r="M2795" s="14"/>
      <c r="N2795" s="14"/>
      <c r="O2795" s="14"/>
      <c r="P2795" s="14"/>
      <c r="Q2795" s="14"/>
      <c r="R2795" s="14"/>
      <c r="S2795" s="14"/>
      <c r="T2795" s="14"/>
      <c r="U2795" s="14"/>
      <c r="V2795" s="14"/>
      <c r="W2795" s="14"/>
      <c r="X2795" s="14"/>
      <c r="Y2795" s="14"/>
      <c r="Z2795" s="14"/>
      <c r="AA2795" s="14"/>
      <c r="AB2795" s="14"/>
      <c r="AC2795" s="14"/>
      <c r="AD2795" s="14"/>
      <c r="AE2795" s="14"/>
      <c r="AF2795" s="14"/>
      <c r="AG2795" s="14"/>
      <c r="AH2795" s="14"/>
      <c r="AI2795" s="14"/>
      <c r="AJ2795" s="14"/>
      <c r="AK2795" s="14"/>
      <c r="AL2795" s="14"/>
    </row>
    <row r="2796" spans="1:38">
      <c r="A2796" s="9"/>
      <c r="B2796" s="9"/>
      <c r="C2796" s="9"/>
      <c r="D2796" s="9"/>
      <c r="E2796" s="9"/>
      <c r="F2796" s="9"/>
      <c r="G2796" s="9"/>
      <c r="H2796" s="9"/>
      <c r="I2796" s="9"/>
      <c r="J2796" s="9"/>
      <c r="K2796" s="9"/>
      <c r="L2796" s="9"/>
      <c r="M2796" s="9"/>
      <c r="N2796" s="9"/>
      <c r="O2796" s="9"/>
      <c r="P2796" s="9"/>
      <c r="Q2796" s="9"/>
      <c r="R2796" s="9"/>
      <c r="S2796" s="9"/>
      <c r="T2796" s="9"/>
      <c r="U2796" s="9"/>
      <c r="V2796" s="9"/>
      <c r="W2796" s="9"/>
      <c r="X2796" s="9"/>
      <c r="Y2796" s="9"/>
      <c r="Z2796" s="9"/>
      <c r="AA2796" s="9"/>
      <c r="AB2796" s="9"/>
      <c r="AC2796" s="9"/>
      <c r="AD2796" s="9"/>
      <c r="AE2796" s="9"/>
      <c r="AF2796" s="9"/>
      <c r="AG2796" s="9"/>
      <c r="AH2796" s="9"/>
      <c r="AI2796" s="9"/>
      <c r="AJ2796" s="9"/>
      <c r="AK2796" s="9"/>
      <c r="AL2796" s="9"/>
    </row>
    <row r="2797" spans="1:38">
      <c r="A2797" s="10"/>
      <c r="B2797" s="10"/>
      <c r="C2797" s="10"/>
      <c r="D2797" s="10"/>
      <c r="E2797" s="10"/>
      <c r="F2797" s="10"/>
      <c r="G2797" s="10"/>
      <c r="H2797" s="10"/>
      <c r="I2797" s="10"/>
      <c r="J2797" s="10"/>
      <c r="K2797" s="10"/>
      <c r="L2797" s="10"/>
      <c r="M2797" s="10"/>
      <c r="N2797" s="10"/>
      <c r="O2797" s="10"/>
      <c r="P2797" s="10"/>
      <c r="Q2797" s="10"/>
      <c r="R2797" s="10"/>
      <c r="S2797" s="10"/>
      <c r="T2797" s="10"/>
      <c r="U2797" s="10"/>
      <c r="V2797" s="10"/>
      <c r="W2797" s="10"/>
      <c r="X2797" s="10"/>
      <c r="Y2797" s="10"/>
      <c r="Z2797" s="10"/>
      <c r="AA2797" s="10"/>
      <c r="AB2797" s="10"/>
      <c r="AC2797" s="10"/>
      <c r="AD2797" s="10"/>
      <c r="AE2797" s="10"/>
      <c r="AF2797" s="10"/>
      <c r="AG2797" s="10"/>
      <c r="AH2797" s="10"/>
      <c r="AI2797" s="10"/>
      <c r="AJ2797" s="10"/>
      <c r="AK2797" s="10"/>
      <c r="AL2797" s="10"/>
    </row>
    <row r="2798" spans="1:38">
      <c r="A2798" s="10"/>
      <c r="B2798" s="10"/>
      <c r="C2798" s="10"/>
      <c r="D2798" s="10"/>
      <c r="E2798" s="10"/>
      <c r="F2798" s="10"/>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0"/>
      <c r="AH2798" s="10"/>
      <c r="AI2798" s="10"/>
      <c r="AJ2798" s="10"/>
      <c r="AK2798" s="10"/>
      <c r="AL2798" s="10"/>
    </row>
    <row r="2799" spans="1:38">
      <c r="A2799" s="10"/>
      <c r="B2799" s="10"/>
      <c r="C2799" s="10"/>
      <c r="D2799" s="10"/>
      <c r="E2799" s="10"/>
      <c r="F2799" s="10"/>
      <c r="G2799" s="10"/>
      <c r="H2799" s="10"/>
      <c r="I2799" s="10"/>
      <c r="J2799" s="10"/>
      <c r="K2799" s="10"/>
      <c r="L2799" s="10"/>
      <c r="M2799" s="10"/>
      <c r="N2799" s="10"/>
      <c r="O2799" s="10"/>
      <c r="P2799" s="10"/>
      <c r="Q2799" s="10"/>
      <c r="R2799" s="10"/>
      <c r="S2799" s="10"/>
      <c r="T2799" s="10"/>
      <c r="U2799" s="10"/>
      <c r="V2799" s="10"/>
      <c r="W2799" s="10"/>
      <c r="X2799" s="10"/>
      <c r="Y2799" s="10"/>
      <c r="Z2799" s="10"/>
      <c r="AA2799" s="10"/>
      <c r="AB2799" s="10"/>
      <c r="AC2799" s="10"/>
      <c r="AD2799" s="10"/>
      <c r="AE2799" s="10"/>
      <c r="AF2799" s="10"/>
      <c r="AG2799" s="10"/>
      <c r="AH2799" s="10"/>
      <c r="AI2799" s="10"/>
      <c r="AJ2799" s="10"/>
      <c r="AK2799" s="10"/>
      <c r="AL2799" s="10"/>
    </row>
    <row r="2800" spans="1:38">
      <c r="A2800" s="10"/>
      <c r="B2800" s="10"/>
      <c r="C2800" s="10"/>
      <c r="D2800" s="10"/>
      <c r="E2800" s="10"/>
      <c r="F2800" s="10"/>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0"/>
      <c r="AH2800" s="10"/>
      <c r="AI2800" s="10"/>
      <c r="AJ2800" s="10"/>
      <c r="AK2800" s="10"/>
      <c r="AL2800" s="10"/>
    </row>
    <row r="2801" spans="1:38">
      <c r="A2801" s="10"/>
      <c r="B2801" s="10"/>
      <c r="C2801" s="10"/>
      <c r="D2801" s="10"/>
      <c r="E2801" s="10"/>
      <c r="F2801" s="10"/>
      <c r="G2801" s="10"/>
      <c r="H2801" s="10"/>
      <c r="I2801" s="10"/>
      <c r="J2801" s="10"/>
      <c r="K2801" s="10"/>
      <c r="L2801" s="10"/>
      <c r="M2801" s="10"/>
      <c r="N2801" s="10"/>
      <c r="O2801" s="10"/>
      <c r="P2801" s="10"/>
      <c r="Q2801" s="10"/>
      <c r="R2801" s="10"/>
      <c r="S2801" s="10"/>
      <c r="T2801" s="10"/>
      <c r="U2801" s="10"/>
      <c r="V2801" s="10"/>
      <c r="W2801" s="10"/>
      <c r="X2801" s="10"/>
      <c r="Y2801" s="10"/>
      <c r="Z2801" s="10"/>
      <c r="AA2801" s="10"/>
      <c r="AB2801" s="10"/>
      <c r="AC2801" s="10"/>
      <c r="AD2801" s="10"/>
      <c r="AE2801" s="10"/>
      <c r="AF2801" s="10"/>
      <c r="AG2801" s="10"/>
      <c r="AH2801" s="10"/>
      <c r="AI2801" s="10"/>
      <c r="AJ2801" s="10"/>
      <c r="AK2801" s="10"/>
      <c r="AL2801" s="10"/>
    </row>
    <row r="2802" spans="1:38">
      <c r="A2802" s="10"/>
      <c r="B2802" s="10"/>
      <c r="C2802" s="10"/>
      <c r="D2802" s="10"/>
      <c r="E2802" s="10"/>
      <c r="F2802" s="10"/>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0"/>
      <c r="AH2802" s="10"/>
      <c r="AI2802" s="10"/>
      <c r="AJ2802" s="10"/>
      <c r="AK2802" s="10"/>
      <c r="AL2802" s="10"/>
    </row>
    <row r="2803" spans="1:38">
      <c r="A2803" s="10"/>
      <c r="B2803" s="10"/>
      <c r="C2803" s="10"/>
      <c r="D2803" s="10"/>
      <c r="E2803" s="10"/>
      <c r="F2803" s="10"/>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0"/>
      <c r="AH2803" s="10"/>
      <c r="AI2803" s="10"/>
      <c r="AJ2803" s="10"/>
      <c r="AK2803" s="10"/>
      <c r="AL2803" s="10"/>
    </row>
    <row r="2804" spans="1:38">
      <c r="A2804" s="10"/>
      <c r="B2804" s="10"/>
      <c r="C2804" s="10"/>
      <c r="D2804" s="10"/>
      <c r="E2804" s="10"/>
      <c r="F2804" s="10"/>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0"/>
      <c r="AH2804" s="10"/>
      <c r="AI2804" s="10"/>
      <c r="AJ2804" s="10"/>
      <c r="AK2804" s="10"/>
      <c r="AL2804" s="10"/>
    </row>
    <row r="2805" spans="1:38">
      <c r="A2805" s="10"/>
      <c r="B2805" s="10"/>
      <c r="C2805" s="10"/>
      <c r="D2805" s="10"/>
      <c r="E2805" s="10"/>
      <c r="F2805" s="10"/>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0"/>
      <c r="AH2805" s="10"/>
      <c r="AI2805" s="10"/>
      <c r="AJ2805" s="10"/>
      <c r="AK2805" s="10"/>
      <c r="AL2805" s="10"/>
    </row>
    <row r="2806" spans="1:38">
      <c r="A2806" s="10"/>
      <c r="B2806" s="10"/>
      <c r="C2806" s="10"/>
      <c r="D2806" s="10"/>
      <c r="E2806" s="10"/>
      <c r="F2806" s="10"/>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0"/>
      <c r="AH2806" s="10"/>
      <c r="AI2806" s="10"/>
      <c r="AJ2806" s="10"/>
      <c r="AK2806" s="10"/>
      <c r="AL2806" s="10"/>
    </row>
    <row r="2807" spans="1:38">
      <c r="A2807" s="10"/>
      <c r="B2807" s="10"/>
      <c r="C2807" s="10"/>
      <c r="D2807" s="10"/>
      <c r="E2807" s="10"/>
      <c r="F2807" s="10"/>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0"/>
      <c r="AH2807" s="10"/>
      <c r="AI2807" s="10"/>
      <c r="AJ2807" s="10"/>
      <c r="AK2807" s="10"/>
      <c r="AL2807" s="10"/>
    </row>
    <row r="2808" spans="1:38">
      <c r="A2808" s="10"/>
      <c r="B2808" s="10"/>
      <c r="C2808" s="10"/>
      <c r="D2808" s="10"/>
      <c r="E2808" s="10"/>
      <c r="F2808" s="10"/>
      <c r="G2808" s="10"/>
      <c r="H2808" s="10"/>
      <c r="I2808" s="10"/>
      <c r="J2808" s="10"/>
      <c r="K2808" s="10"/>
      <c r="L2808" s="10"/>
      <c r="M2808" s="10"/>
      <c r="N2808" s="10"/>
      <c r="O2808" s="10"/>
      <c r="P2808" s="10"/>
      <c r="Q2808" s="10"/>
      <c r="R2808" s="10"/>
      <c r="S2808" s="10"/>
      <c r="T2808" s="10"/>
      <c r="U2808" s="10"/>
      <c r="V2808" s="10"/>
      <c r="W2808" s="10"/>
      <c r="X2808" s="10"/>
      <c r="Y2808" s="10"/>
      <c r="Z2808" s="10"/>
      <c r="AA2808" s="10"/>
      <c r="AB2808" s="10"/>
      <c r="AC2808" s="10"/>
      <c r="AD2808" s="10"/>
      <c r="AE2808" s="10"/>
      <c r="AF2808" s="10"/>
      <c r="AG2808" s="10"/>
      <c r="AH2808" s="10"/>
      <c r="AI2808" s="10"/>
      <c r="AJ2808" s="10"/>
      <c r="AK2808" s="10"/>
      <c r="AL2808" s="10"/>
    </row>
    <row r="2809" spans="1:38">
      <c r="A2809" s="11"/>
      <c r="B2809" s="11"/>
      <c r="C2809" s="11"/>
      <c r="D2809" s="11"/>
      <c r="E2809" s="11"/>
      <c r="F2809" s="11"/>
      <c r="G2809" s="11"/>
      <c r="H2809" s="11"/>
      <c r="I2809" s="11"/>
      <c r="J2809" s="11"/>
      <c r="K2809" s="11"/>
      <c r="L2809" s="11"/>
      <c r="M2809" s="11"/>
      <c r="N2809" s="11"/>
      <c r="O2809" s="11"/>
      <c r="P2809" s="11"/>
      <c r="Q2809" s="11"/>
      <c r="R2809" s="11"/>
      <c r="S2809" s="11"/>
      <c r="T2809" s="11"/>
      <c r="U2809" s="11"/>
      <c r="V2809" s="11"/>
      <c r="W2809" s="11"/>
      <c r="X2809" s="11"/>
      <c r="Y2809" s="11"/>
      <c r="Z2809" s="11"/>
      <c r="AA2809" s="11"/>
      <c r="AB2809" s="11"/>
      <c r="AC2809" s="11"/>
      <c r="AD2809" s="11"/>
      <c r="AE2809" s="11"/>
      <c r="AF2809" s="11"/>
      <c r="AG2809" s="11"/>
      <c r="AH2809" s="11"/>
      <c r="AI2809" s="11"/>
      <c r="AJ2809" s="11"/>
      <c r="AK2809" s="11"/>
      <c r="AL2809" s="11"/>
    </row>
    <row r="2820" spans="1:38">
      <c r="A2820" s="14"/>
      <c r="B2820" s="14"/>
      <c r="C2820" s="14"/>
      <c r="D2820" s="14"/>
      <c r="E2820" s="14"/>
      <c r="F2820" s="14"/>
      <c r="G2820" s="14"/>
      <c r="H2820" s="14"/>
      <c r="I2820" s="14"/>
      <c r="J2820" s="14"/>
      <c r="K2820" s="14"/>
      <c r="L2820" s="14"/>
      <c r="M2820" s="14"/>
      <c r="N2820" s="14"/>
      <c r="O2820" s="14"/>
      <c r="P2820" s="14"/>
      <c r="Q2820" s="14"/>
      <c r="R2820" s="14"/>
      <c r="S2820" s="14"/>
      <c r="T2820" s="14"/>
      <c r="U2820" s="14"/>
      <c r="V2820" s="14"/>
      <c r="W2820" s="14"/>
      <c r="X2820" s="14"/>
      <c r="Y2820" s="14"/>
      <c r="Z2820" s="14"/>
      <c r="AA2820" s="14"/>
      <c r="AB2820" s="14"/>
      <c r="AC2820" s="14"/>
      <c r="AD2820" s="14"/>
      <c r="AE2820" s="14"/>
      <c r="AF2820" s="14"/>
      <c r="AG2820" s="14"/>
      <c r="AH2820" s="14"/>
      <c r="AI2820" s="14"/>
      <c r="AJ2820" s="14"/>
      <c r="AK2820" s="14"/>
      <c r="AL2820" s="14"/>
    </row>
    <row r="2821" spans="1:38">
      <c r="A2821" s="9"/>
      <c r="B2821" s="9"/>
      <c r="C2821" s="9"/>
      <c r="D2821" s="9"/>
      <c r="E2821" s="9"/>
      <c r="F2821" s="9"/>
      <c r="G2821" s="9"/>
      <c r="H2821" s="9"/>
      <c r="I2821" s="9"/>
      <c r="J2821" s="9"/>
      <c r="K2821" s="9"/>
      <c r="L2821" s="9"/>
      <c r="M2821" s="9"/>
      <c r="N2821" s="9"/>
      <c r="O2821" s="9"/>
      <c r="P2821" s="9"/>
      <c r="Q2821" s="9"/>
      <c r="R2821" s="9"/>
      <c r="S2821" s="9"/>
      <c r="T2821" s="9"/>
      <c r="U2821" s="9"/>
      <c r="V2821" s="9"/>
      <c r="W2821" s="9"/>
      <c r="X2821" s="9"/>
      <c r="Y2821" s="9"/>
      <c r="Z2821" s="9"/>
      <c r="AA2821" s="9"/>
      <c r="AB2821" s="9"/>
      <c r="AC2821" s="9"/>
      <c r="AD2821" s="9"/>
      <c r="AE2821" s="9"/>
      <c r="AF2821" s="9"/>
      <c r="AG2821" s="9"/>
      <c r="AH2821" s="9"/>
      <c r="AI2821" s="9"/>
      <c r="AJ2821" s="9"/>
      <c r="AK2821" s="9"/>
      <c r="AL2821" s="9"/>
    </row>
    <row r="2822" spans="1:38">
      <c r="A2822" s="10"/>
      <c r="B2822" s="10"/>
      <c r="C2822" s="10"/>
      <c r="D2822" s="10"/>
      <c r="E2822" s="10"/>
      <c r="F2822" s="10"/>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0"/>
      <c r="AH2822" s="10"/>
      <c r="AI2822" s="10"/>
      <c r="AJ2822" s="10"/>
      <c r="AK2822" s="10"/>
      <c r="AL2822" s="10"/>
    </row>
    <row r="2823" spans="1:38">
      <c r="A2823" s="10"/>
      <c r="B2823" s="10"/>
      <c r="C2823" s="10"/>
      <c r="D2823" s="10"/>
      <c r="E2823" s="10"/>
      <c r="F2823" s="10"/>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0"/>
      <c r="AH2823" s="10"/>
      <c r="AI2823" s="10"/>
      <c r="AJ2823" s="10"/>
      <c r="AK2823" s="10"/>
      <c r="AL2823" s="10"/>
    </row>
    <row r="2824" spans="1:38">
      <c r="A2824" s="10"/>
      <c r="B2824" s="10"/>
      <c r="C2824" s="10"/>
      <c r="D2824" s="10"/>
      <c r="E2824" s="10"/>
      <c r="F2824" s="10"/>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0"/>
      <c r="AH2824" s="10"/>
      <c r="AI2824" s="10"/>
      <c r="AJ2824" s="10"/>
      <c r="AK2824" s="10"/>
      <c r="AL2824" s="10"/>
    </row>
    <row r="2825" spans="1:38">
      <c r="A2825" s="10"/>
      <c r="B2825" s="10"/>
      <c r="C2825" s="10"/>
      <c r="D2825" s="10"/>
      <c r="E2825" s="10"/>
      <c r="F2825" s="10"/>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0"/>
      <c r="AH2825" s="10"/>
      <c r="AI2825" s="10"/>
      <c r="AJ2825" s="10"/>
      <c r="AK2825" s="10"/>
      <c r="AL2825" s="10"/>
    </row>
    <row r="2826" spans="1:38">
      <c r="A2826" s="10"/>
      <c r="B2826" s="10"/>
      <c r="C2826" s="10"/>
      <c r="D2826" s="10"/>
      <c r="E2826" s="10"/>
      <c r="F2826" s="10"/>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0"/>
      <c r="AH2826" s="10"/>
      <c r="AI2826" s="10"/>
      <c r="AJ2826" s="10"/>
      <c r="AK2826" s="10"/>
      <c r="AL2826" s="10"/>
    </row>
    <row r="2827" spans="1:38">
      <c r="A2827" s="10"/>
      <c r="B2827" s="10"/>
      <c r="C2827" s="10"/>
      <c r="D2827" s="10"/>
      <c r="E2827" s="10"/>
      <c r="F2827" s="10"/>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0"/>
      <c r="AH2827" s="10"/>
      <c r="AI2827" s="10"/>
      <c r="AJ2827" s="10"/>
      <c r="AK2827" s="10"/>
      <c r="AL2827" s="10"/>
    </row>
    <row r="2828" spans="1:38">
      <c r="A2828" s="10"/>
      <c r="B2828" s="10"/>
      <c r="C2828" s="10"/>
      <c r="D2828" s="10"/>
      <c r="E2828" s="10"/>
      <c r="F2828" s="10"/>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0"/>
      <c r="AH2828" s="10"/>
      <c r="AI2828" s="10"/>
      <c r="AJ2828" s="10"/>
      <c r="AK2828" s="10"/>
      <c r="AL2828" s="10"/>
    </row>
    <row r="2829" spans="1:38">
      <c r="A2829" s="10"/>
      <c r="B2829" s="10"/>
      <c r="C2829" s="10"/>
      <c r="D2829" s="10"/>
      <c r="E2829" s="10"/>
      <c r="F2829" s="10"/>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0"/>
      <c r="AH2829" s="10"/>
      <c r="AI2829" s="10"/>
      <c r="AJ2829" s="10"/>
      <c r="AK2829" s="10"/>
      <c r="AL2829" s="10"/>
    </row>
    <row r="2830" spans="1:38">
      <c r="A2830" s="10"/>
      <c r="B2830" s="10"/>
      <c r="C2830" s="10"/>
      <c r="D2830" s="10"/>
      <c r="E2830" s="10"/>
      <c r="F2830" s="10"/>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0"/>
      <c r="AH2830" s="10"/>
      <c r="AI2830" s="10"/>
      <c r="AJ2830" s="10"/>
      <c r="AK2830" s="10"/>
      <c r="AL2830" s="10"/>
    </row>
    <row r="2831" spans="1:38">
      <c r="A2831" s="10"/>
      <c r="B2831" s="10"/>
      <c r="C2831" s="10"/>
      <c r="D2831" s="10"/>
      <c r="E2831" s="10"/>
      <c r="F2831" s="10"/>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0"/>
      <c r="AH2831" s="10"/>
      <c r="AI2831" s="10"/>
      <c r="AJ2831" s="10"/>
      <c r="AK2831" s="10"/>
      <c r="AL2831" s="10"/>
    </row>
    <row r="2832" spans="1:38">
      <c r="A2832" s="10"/>
      <c r="B2832" s="10"/>
      <c r="C2832" s="10"/>
      <c r="D2832" s="10"/>
      <c r="E2832" s="10"/>
      <c r="F2832" s="10"/>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0"/>
      <c r="AH2832" s="10"/>
      <c r="AI2832" s="10"/>
      <c r="AJ2832" s="10"/>
      <c r="AK2832" s="10"/>
      <c r="AL2832" s="10"/>
    </row>
    <row r="2833" spans="1:38">
      <c r="A2833" s="11"/>
      <c r="B2833" s="11"/>
      <c r="C2833" s="11"/>
      <c r="D2833" s="11"/>
      <c r="E2833" s="11"/>
      <c r="F2833" s="11"/>
      <c r="G2833" s="11"/>
      <c r="H2833" s="11"/>
      <c r="I2833" s="11"/>
      <c r="J2833" s="11"/>
      <c r="K2833" s="11"/>
      <c r="L2833" s="11"/>
      <c r="M2833" s="11"/>
      <c r="N2833" s="11"/>
      <c r="O2833" s="11"/>
      <c r="P2833" s="11"/>
      <c r="Q2833" s="11"/>
      <c r="R2833" s="11"/>
      <c r="S2833" s="11"/>
      <c r="T2833" s="11"/>
      <c r="U2833" s="11"/>
      <c r="V2833" s="11"/>
      <c r="W2833" s="11"/>
      <c r="X2833" s="11"/>
      <c r="Y2833" s="11"/>
      <c r="Z2833" s="11"/>
      <c r="AA2833" s="11"/>
      <c r="AB2833" s="11"/>
      <c r="AC2833" s="11"/>
      <c r="AD2833" s="11"/>
      <c r="AE2833" s="11"/>
      <c r="AF2833" s="11"/>
      <c r="AG2833" s="11"/>
      <c r="AH2833" s="11"/>
      <c r="AI2833" s="11"/>
      <c r="AJ2833" s="11"/>
      <c r="AK2833" s="11"/>
      <c r="AL2833" s="11"/>
    </row>
    <row r="2843" spans="1:38">
      <c r="A2843" s="14"/>
      <c r="B2843" s="14"/>
      <c r="C2843" s="14"/>
      <c r="D2843" s="14"/>
      <c r="E2843" s="14"/>
      <c r="F2843" s="14"/>
      <c r="G2843" s="14"/>
      <c r="H2843" s="14"/>
      <c r="I2843" s="14"/>
      <c r="J2843" s="14"/>
      <c r="K2843" s="14"/>
      <c r="L2843" s="14"/>
      <c r="M2843" s="14"/>
      <c r="N2843" s="14"/>
      <c r="O2843" s="14"/>
      <c r="P2843" s="14"/>
      <c r="Q2843" s="14"/>
      <c r="R2843" s="14"/>
      <c r="S2843" s="14"/>
      <c r="T2843" s="14"/>
      <c r="U2843" s="14"/>
      <c r="V2843" s="14"/>
      <c r="W2843" s="14"/>
      <c r="X2843" s="14"/>
      <c r="Y2843" s="14"/>
      <c r="Z2843" s="14"/>
      <c r="AA2843" s="14"/>
      <c r="AB2843" s="14"/>
      <c r="AC2843" s="14"/>
      <c r="AD2843" s="14"/>
      <c r="AE2843" s="14"/>
      <c r="AF2843" s="14"/>
      <c r="AG2843" s="14"/>
      <c r="AH2843" s="14"/>
      <c r="AI2843" s="14"/>
      <c r="AJ2843" s="14"/>
      <c r="AK2843" s="14"/>
      <c r="AL2843" s="14"/>
    </row>
    <row r="2844" spans="1:38">
      <c r="A2844" s="9"/>
      <c r="B2844" s="9"/>
      <c r="C2844" s="9"/>
      <c r="D2844" s="9"/>
      <c r="E2844" s="9"/>
      <c r="F2844" s="9"/>
      <c r="G2844" s="9"/>
      <c r="H2844" s="9"/>
      <c r="I2844" s="9"/>
      <c r="J2844" s="9"/>
      <c r="K2844" s="9"/>
      <c r="L2844" s="9"/>
      <c r="M2844" s="9"/>
      <c r="N2844" s="9"/>
      <c r="O2844" s="9"/>
      <c r="P2844" s="9"/>
      <c r="Q2844" s="9"/>
      <c r="R2844" s="9"/>
      <c r="S2844" s="9"/>
      <c r="T2844" s="9"/>
      <c r="U2844" s="9"/>
      <c r="V2844" s="9"/>
      <c r="W2844" s="9"/>
      <c r="X2844" s="9"/>
      <c r="Y2844" s="9"/>
      <c r="Z2844" s="9"/>
      <c r="AA2844" s="9"/>
      <c r="AB2844" s="9"/>
      <c r="AC2844" s="9"/>
      <c r="AD2844" s="9"/>
      <c r="AE2844" s="9"/>
      <c r="AF2844" s="9"/>
      <c r="AG2844" s="9"/>
      <c r="AH2844" s="9"/>
      <c r="AI2844" s="9"/>
      <c r="AJ2844" s="9"/>
      <c r="AK2844" s="9"/>
      <c r="AL2844" s="9"/>
    </row>
    <row r="2845" spans="1:38">
      <c r="A2845" s="10"/>
      <c r="B2845" s="10"/>
      <c r="C2845" s="10"/>
      <c r="D2845" s="10"/>
      <c r="E2845" s="10"/>
      <c r="F2845" s="10"/>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0"/>
      <c r="AH2845" s="10"/>
      <c r="AI2845" s="10"/>
      <c r="AJ2845" s="10"/>
      <c r="AK2845" s="10"/>
      <c r="AL2845" s="10"/>
    </row>
    <row r="2846" spans="1:38">
      <c r="A2846" s="10"/>
      <c r="B2846" s="10"/>
      <c r="C2846" s="10"/>
      <c r="D2846" s="10"/>
      <c r="E2846" s="10"/>
      <c r="F2846" s="10"/>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0"/>
      <c r="AH2846" s="10"/>
      <c r="AI2846" s="10"/>
      <c r="AJ2846" s="10"/>
      <c r="AK2846" s="10"/>
      <c r="AL2846" s="10"/>
    </row>
    <row r="2847" spans="1:38">
      <c r="A2847" s="10"/>
      <c r="B2847" s="10"/>
      <c r="C2847" s="10"/>
      <c r="D2847" s="10"/>
      <c r="E2847" s="10"/>
      <c r="F2847" s="10"/>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0"/>
      <c r="AH2847" s="10"/>
      <c r="AI2847" s="10"/>
      <c r="AJ2847" s="10"/>
      <c r="AK2847" s="10"/>
      <c r="AL2847" s="10"/>
    </row>
    <row r="2848" spans="1:38">
      <c r="A2848" s="10"/>
      <c r="B2848" s="10"/>
      <c r="C2848" s="10"/>
      <c r="D2848" s="10"/>
      <c r="E2848" s="10"/>
      <c r="F2848" s="10"/>
      <c r="G2848" s="10"/>
      <c r="H2848" s="10"/>
      <c r="I2848" s="10"/>
      <c r="J2848" s="10"/>
      <c r="K2848" s="10"/>
      <c r="L2848" s="10"/>
      <c r="M2848" s="10"/>
      <c r="N2848" s="10"/>
      <c r="O2848" s="10"/>
      <c r="P2848" s="10"/>
      <c r="Q2848" s="10"/>
      <c r="R2848" s="10"/>
      <c r="S2848" s="10"/>
      <c r="T2848" s="10"/>
      <c r="U2848" s="10"/>
      <c r="V2848" s="10"/>
      <c r="W2848" s="10"/>
      <c r="X2848" s="10"/>
      <c r="Y2848" s="10"/>
      <c r="Z2848" s="10"/>
      <c r="AA2848" s="10"/>
      <c r="AB2848" s="10"/>
      <c r="AC2848" s="10"/>
      <c r="AD2848" s="10"/>
      <c r="AE2848" s="10"/>
      <c r="AF2848" s="10"/>
      <c r="AG2848" s="10"/>
      <c r="AH2848" s="10"/>
      <c r="AI2848" s="10"/>
      <c r="AJ2848" s="10"/>
      <c r="AK2848" s="10"/>
      <c r="AL2848" s="10"/>
    </row>
    <row r="2849" spans="1:38">
      <c r="A2849" s="10"/>
      <c r="B2849" s="10"/>
      <c r="C2849" s="10"/>
      <c r="D2849" s="10"/>
      <c r="E2849" s="10"/>
      <c r="F2849" s="10"/>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0"/>
      <c r="AH2849" s="10"/>
      <c r="AI2849" s="10"/>
      <c r="AJ2849" s="10"/>
      <c r="AK2849" s="10"/>
      <c r="AL2849" s="10"/>
    </row>
    <row r="2850" spans="1:38">
      <c r="A2850" s="10"/>
      <c r="B2850" s="10"/>
      <c r="C2850" s="10"/>
      <c r="D2850" s="10"/>
      <c r="E2850" s="10"/>
      <c r="F2850" s="10"/>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0"/>
      <c r="AH2850" s="10"/>
      <c r="AI2850" s="10"/>
      <c r="AJ2850" s="10"/>
      <c r="AK2850" s="10"/>
      <c r="AL2850" s="10"/>
    </row>
    <row r="2851" spans="1:38">
      <c r="A2851" s="10"/>
      <c r="B2851" s="10"/>
      <c r="C2851" s="10"/>
      <c r="D2851" s="10"/>
      <c r="E2851" s="10"/>
      <c r="F2851" s="10"/>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0"/>
      <c r="AH2851" s="10"/>
      <c r="AI2851" s="10"/>
      <c r="AJ2851" s="10"/>
      <c r="AK2851" s="10"/>
      <c r="AL2851" s="10"/>
    </row>
    <row r="2852" spans="1:38">
      <c r="A2852" s="10"/>
      <c r="B2852" s="10"/>
      <c r="C2852" s="10"/>
      <c r="D2852" s="10"/>
      <c r="E2852" s="10"/>
      <c r="F2852" s="10"/>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0"/>
      <c r="AH2852" s="10"/>
      <c r="AI2852" s="10"/>
      <c r="AJ2852" s="10"/>
      <c r="AK2852" s="10"/>
      <c r="AL2852" s="10"/>
    </row>
    <row r="2853" spans="1:38">
      <c r="A2853" s="10"/>
      <c r="B2853" s="10"/>
      <c r="C2853" s="10"/>
      <c r="D2853" s="10"/>
      <c r="E2853" s="10"/>
      <c r="F2853" s="10"/>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0"/>
      <c r="AH2853" s="10"/>
      <c r="AI2853" s="10"/>
      <c r="AJ2853" s="10"/>
      <c r="AK2853" s="10"/>
      <c r="AL2853" s="10"/>
    </row>
    <row r="2854" spans="1:38">
      <c r="A2854" s="10"/>
      <c r="B2854" s="10"/>
      <c r="C2854" s="10"/>
      <c r="D2854" s="10"/>
      <c r="E2854" s="10"/>
      <c r="F2854" s="10"/>
      <c r="G2854" s="10"/>
      <c r="H2854" s="10"/>
      <c r="I2854" s="10"/>
      <c r="J2854" s="10"/>
      <c r="K2854" s="10"/>
      <c r="L2854" s="10"/>
      <c r="M2854" s="10"/>
      <c r="N2854" s="10"/>
      <c r="O2854" s="10"/>
      <c r="P2854" s="10"/>
      <c r="Q2854" s="10"/>
      <c r="R2854" s="10"/>
      <c r="S2854" s="10"/>
      <c r="T2854" s="10"/>
      <c r="U2854" s="10"/>
      <c r="V2854" s="10"/>
      <c r="W2854" s="10"/>
      <c r="X2854" s="10"/>
      <c r="Y2854" s="10"/>
      <c r="Z2854" s="10"/>
      <c r="AA2854" s="10"/>
      <c r="AB2854" s="10"/>
      <c r="AC2854" s="10"/>
      <c r="AD2854" s="10"/>
      <c r="AE2854" s="10"/>
      <c r="AF2854" s="10"/>
      <c r="AG2854" s="10"/>
      <c r="AH2854" s="10"/>
      <c r="AI2854" s="10"/>
      <c r="AJ2854" s="10"/>
      <c r="AK2854" s="10"/>
      <c r="AL2854" s="10"/>
    </row>
    <row r="2855" spans="1:38">
      <c r="A2855" s="9"/>
      <c r="B2855" s="9"/>
      <c r="C2855" s="9"/>
      <c r="D2855" s="9"/>
      <c r="E2855" s="9"/>
      <c r="F2855" s="9"/>
      <c r="G2855" s="9"/>
      <c r="H2855" s="9"/>
      <c r="I2855" s="9"/>
      <c r="J2855" s="9"/>
      <c r="K2855" s="9"/>
      <c r="L2855" s="9"/>
      <c r="M2855" s="9"/>
      <c r="N2855" s="9"/>
      <c r="O2855" s="9"/>
      <c r="P2855" s="9"/>
      <c r="Q2855" s="9"/>
      <c r="R2855" s="9"/>
      <c r="S2855" s="9"/>
      <c r="T2855" s="9"/>
      <c r="U2855" s="9"/>
      <c r="V2855" s="9"/>
      <c r="W2855" s="9"/>
      <c r="X2855" s="9"/>
      <c r="Y2855" s="9"/>
      <c r="Z2855" s="9"/>
      <c r="AA2855" s="9"/>
      <c r="AB2855" s="9"/>
      <c r="AC2855" s="9"/>
      <c r="AD2855" s="9"/>
      <c r="AE2855" s="9"/>
      <c r="AF2855" s="9"/>
      <c r="AG2855" s="9"/>
      <c r="AH2855" s="9"/>
      <c r="AI2855" s="9"/>
      <c r="AJ2855" s="9"/>
      <c r="AK2855" s="9"/>
      <c r="AL2855" s="9"/>
    </row>
    <row r="2856" spans="1:38">
      <c r="A2856" s="11"/>
      <c r="B2856" s="11"/>
      <c r="C2856" s="11"/>
      <c r="D2856" s="11"/>
      <c r="E2856" s="11"/>
      <c r="F2856" s="11"/>
      <c r="G2856" s="11"/>
      <c r="H2856" s="11"/>
      <c r="I2856" s="11"/>
      <c r="J2856" s="11"/>
      <c r="K2856" s="11"/>
      <c r="L2856" s="11"/>
      <c r="M2856" s="11"/>
      <c r="N2856" s="11"/>
      <c r="O2856" s="11"/>
      <c r="P2856" s="11"/>
      <c r="Q2856" s="11"/>
      <c r="R2856" s="11"/>
      <c r="S2856" s="11"/>
      <c r="T2856" s="11"/>
      <c r="U2856" s="11"/>
      <c r="V2856" s="11"/>
      <c r="W2856" s="11"/>
      <c r="X2856" s="11"/>
      <c r="Y2856" s="11"/>
      <c r="Z2856" s="11"/>
      <c r="AA2856" s="11"/>
      <c r="AB2856" s="11"/>
      <c r="AC2856" s="11"/>
      <c r="AD2856" s="11"/>
      <c r="AE2856" s="11"/>
      <c r="AF2856" s="11"/>
      <c r="AG2856" s="11"/>
      <c r="AH2856" s="11"/>
      <c r="AI2856" s="11"/>
      <c r="AJ2856" s="11"/>
      <c r="AK2856" s="11"/>
      <c r="AL2856" s="11"/>
    </row>
    <row r="2871" spans="1:38">
      <c r="A2871" s="14"/>
      <c r="B2871" s="14"/>
      <c r="C2871" s="14"/>
      <c r="D2871" s="14"/>
      <c r="E2871" s="14"/>
      <c r="F2871" s="14"/>
      <c r="G2871" s="14"/>
      <c r="H2871" s="14"/>
      <c r="I2871" s="14"/>
      <c r="J2871" s="14"/>
      <c r="K2871" s="14"/>
      <c r="L2871" s="14"/>
      <c r="M2871" s="14"/>
      <c r="N2871" s="14"/>
      <c r="O2871" s="14"/>
      <c r="P2871" s="14"/>
      <c r="Q2871" s="14"/>
      <c r="R2871" s="14"/>
      <c r="S2871" s="14"/>
      <c r="T2871" s="14"/>
      <c r="U2871" s="14"/>
      <c r="V2871" s="14"/>
      <c r="W2871" s="14"/>
      <c r="X2871" s="14"/>
      <c r="Y2871" s="14"/>
      <c r="Z2871" s="14"/>
      <c r="AA2871" s="14"/>
      <c r="AB2871" s="14"/>
      <c r="AC2871" s="14"/>
      <c r="AD2871" s="14"/>
      <c r="AE2871" s="14"/>
      <c r="AF2871" s="14"/>
      <c r="AG2871" s="14"/>
      <c r="AH2871" s="14"/>
      <c r="AI2871" s="14"/>
      <c r="AJ2871" s="14"/>
      <c r="AK2871" s="14"/>
      <c r="AL2871" s="14"/>
    </row>
    <row r="2872" spans="1:38">
      <c r="A2872" s="9"/>
      <c r="B2872" s="9"/>
      <c r="C2872" s="9"/>
      <c r="D2872" s="9"/>
      <c r="E2872" s="9"/>
      <c r="F2872" s="9"/>
      <c r="G2872" s="9"/>
      <c r="H2872" s="9"/>
      <c r="I2872" s="9"/>
      <c r="J2872" s="9"/>
      <c r="K2872" s="9"/>
      <c r="L2872" s="9"/>
      <c r="M2872" s="9"/>
      <c r="N2872" s="9"/>
      <c r="O2872" s="9"/>
      <c r="P2872" s="9"/>
      <c r="Q2872" s="9"/>
      <c r="R2872" s="9"/>
      <c r="S2872" s="9"/>
      <c r="T2872" s="9"/>
      <c r="U2872" s="9"/>
      <c r="V2872" s="9"/>
      <c r="W2872" s="9"/>
      <c r="X2872" s="9"/>
      <c r="Y2872" s="9"/>
      <c r="Z2872" s="9"/>
      <c r="AA2872" s="9"/>
      <c r="AB2872" s="9"/>
      <c r="AC2872" s="9"/>
      <c r="AD2872" s="9"/>
      <c r="AE2872" s="9"/>
      <c r="AF2872" s="9"/>
      <c r="AG2872" s="9"/>
      <c r="AH2872" s="9"/>
      <c r="AI2872" s="9"/>
      <c r="AJ2872" s="9"/>
      <c r="AK2872" s="9"/>
      <c r="AL2872" s="9"/>
    </row>
    <row r="2873" spans="1:38">
      <c r="A2873" s="10"/>
      <c r="B2873" s="10"/>
      <c r="C2873" s="10"/>
      <c r="D2873" s="10"/>
      <c r="E2873" s="10"/>
      <c r="F2873" s="10"/>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0"/>
      <c r="AH2873" s="10"/>
      <c r="AI2873" s="10"/>
      <c r="AJ2873" s="10"/>
      <c r="AK2873" s="10"/>
      <c r="AL2873" s="10"/>
    </row>
    <row r="2874" spans="1:38">
      <c r="A2874" s="10"/>
      <c r="B2874" s="10"/>
      <c r="C2874" s="10"/>
      <c r="D2874" s="10"/>
      <c r="E2874" s="10"/>
      <c r="F2874" s="10"/>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0"/>
      <c r="AH2874" s="10"/>
      <c r="AI2874" s="10"/>
      <c r="AJ2874" s="10"/>
      <c r="AK2874" s="10"/>
      <c r="AL2874" s="10"/>
    </row>
    <row r="2875" spans="1:38">
      <c r="A2875" s="10"/>
      <c r="B2875" s="10"/>
      <c r="C2875" s="10"/>
      <c r="D2875" s="10"/>
      <c r="E2875" s="10"/>
      <c r="F2875" s="10"/>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0"/>
      <c r="AH2875" s="10"/>
      <c r="AI2875" s="10"/>
      <c r="AJ2875" s="10"/>
      <c r="AK2875" s="10"/>
      <c r="AL2875" s="10"/>
    </row>
    <row r="2876" spans="1:38">
      <c r="A2876" s="10"/>
      <c r="B2876" s="10"/>
      <c r="C2876" s="10"/>
      <c r="D2876" s="10"/>
      <c r="E2876" s="10"/>
      <c r="F2876" s="10"/>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0"/>
      <c r="AH2876" s="10"/>
      <c r="AI2876" s="10"/>
      <c r="AJ2876" s="10"/>
      <c r="AK2876" s="10"/>
      <c r="AL2876" s="10"/>
    </row>
    <row r="2877" spans="1:38">
      <c r="A2877" s="10"/>
      <c r="B2877" s="10"/>
      <c r="C2877" s="10"/>
      <c r="D2877" s="10"/>
      <c r="E2877" s="10"/>
      <c r="F2877" s="10"/>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0"/>
      <c r="AH2877" s="10"/>
      <c r="AI2877" s="10"/>
      <c r="AJ2877" s="10"/>
      <c r="AK2877" s="10"/>
      <c r="AL2877" s="10"/>
    </row>
    <row r="2878" spans="1:38">
      <c r="A2878" s="10"/>
      <c r="B2878" s="10"/>
      <c r="C2878" s="10"/>
      <c r="D2878" s="10"/>
      <c r="E2878" s="10"/>
      <c r="F2878" s="10"/>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0"/>
      <c r="AH2878" s="10"/>
      <c r="AI2878" s="10"/>
      <c r="AJ2878" s="10"/>
      <c r="AK2878" s="10"/>
      <c r="AL2878" s="10"/>
    </row>
    <row r="2879" spans="1:38">
      <c r="A2879" s="10"/>
      <c r="B2879" s="10"/>
      <c r="C2879" s="10"/>
      <c r="D2879" s="10"/>
      <c r="E2879" s="10"/>
      <c r="F2879" s="10"/>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0"/>
      <c r="AH2879" s="10"/>
      <c r="AI2879" s="10"/>
      <c r="AJ2879" s="10"/>
      <c r="AK2879" s="10"/>
      <c r="AL2879" s="10"/>
    </row>
    <row r="2880" spans="1:38">
      <c r="A2880" s="10"/>
      <c r="B2880" s="10"/>
      <c r="C2880" s="10"/>
      <c r="D2880" s="10"/>
      <c r="E2880" s="10"/>
      <c r="F2880" s="10"/>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0"/>
      <c r="AH2880" s="10"/>
      <c r="AI2880" s="10"/>
      <c r="AJ2880" s="10"/>
      <c r="AK2880" s="10"/>
      <c r="AL2880" s="10"/>
    </row>
    <row r="2881" spans="1:38">
      <c r="A2881" s="10"/>
      <c r="B2881" s="10"/>
      <c r="C2881" s="10"/>
      <c r="D2881" s="10"/>
      <c r="E2881" s="10"/>
      <c r="F2881" s="10"/>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0"/>
      <c r="AH2881" s="10"/>
      <c r="AI2881" s="10"/>
      <c r="AJ2881" s="10"/>
      <c r="AK2881" s="10"/>
      <c r="AL2881" s="10"/>
    </row>
    <row r="2882" spans="1:38">
      <c r="A2882" s="10"/>
      <c r="B2882" s="10"/>
      <c r="C2882" s="10"/>
      <c r="D2882" s="10"/>
      <c r="E2882" s="10"/>
      <c r="F2882" s="10"/>
      <c r="G2882" s="10"/>
      <c r="H2882" s="10"/>
      <c r="I2882" s="10"/>
      <c r="J2882" s="10"/>
      <c r="K2882" s="10"/>
      <c r="L2882" s="10"/>
      <c r="M2882" s="10"/>
      <c r="N2882" s="10"/>
      <c r="O2882" s="10"/>
      <c r="P2882" s="10"/>
      <c r="Q2882" s="10"/>
      <c r="R2882" s="10"/>
      <c r="S2882" s="10"/>
      <c r="T2882" s="10"/>
      <c r="U2882" s="10"/>
      <c r="V2882" s="10"/>
      <c r="W2882" s="10"/>
      <c r="X2882" s="10"/>
      <c r="Y2882" s="10"/>
      <c r="Z2882" s="10"/>
      <c r="AA2882" s="10"/>
      <c r="AB2882" s="10"/>
      <c r="AC2882" s="10"/>
      <c r="AD2882" s="10"/>
      <c r="AE2882" s="10"/>
      <c r="AF2882" s="10"/>
      <c r="AG2882" s="10"/>
      <c r="AH2882" s="10"/>
      <c r="AI2882" s="10"/>
      <c r="AJ2882" s="10"/>
      <c r="AK2882" s="10"/>
      <c r="AL2882" s="10"/>
    </row>
    <row r="2884" spans="1:38">
      <c r="A2884" s="11"/>
      <c r="B2884" s="11"/>
      <c r="C2884" s="11"/>
      <c r="D2884" s="11"/>
      <c r="E2884" s="11"/>
      <c r="F2884" s="11"/>
      <c r="G2884" s="11"/>
      <c r="H2884" s="11"/>
      <c r="I2884" s="11"/>
      <c r="J2884" s="11"/>
      <c r="K2884" s="11"/>
      <c r="L2884" s="11"/>
      <c r="M2884" s="11"/>
      <c r="N2884" s="11"/>
      <c r="O2884" s="11"/>
      <c r="P2884" s="11"/>
      <c r="Q2884" s="11"/>
      <c r="R2884" s="11"/>
      <c r="S2884" s="11"/>
      <c r="T2884" s="11"/>
      <c r="U2884" s="11"/>
      <c r="V2884" s="11"/>
      <c r="W2884" s="11"/>
      <c r="X2884" s="11"/>
      <c r="Y2884" s="11"/>
      <c r="Z2884" s="11"/>
      <c r="AA2884" s="11"/>
      <c r="AB2884" s="11"/>
      <c r="AC2884" s="11"/>
      <c r="AD2884" s="11"/>
      <c r="AE2884" s="11"/>
      <c r="AF2884" s="11"/>
      <c r="AG2884" s="11"/>
      <c r="AH2884" s="11"/>
      <c r="AI2884" s="11"/>
      <c r="AJ2884" s="11"/>
      <c r="AK2884" s="11"/>
      <c r="AL2884" s="11"/>
    </row>
    <row r="2897" spans="1:38">
      <c r="A2897" s="14"/>
      <c r="B2897" s="14"/>
      <c r="C2897" s="14"/>
      <c r="D2897" s="14"/>
      <c r="E2897" s="14"/>
      <c r="F2897" s="14"/>
      <c r="G2897" s="14"/>
      <c r="H2897" s="14"/>
      <c r="I2897" s="14"/>
      <c r="J2897" s="14"/>
      <c r="K2897" s="14"/>
      <c r="L2897" s="14"/>
      <c r="M2897" s="14"/>
      <c r="N2897" s="14"/>
      <c r="O2897" s="14"/>
      <c r="P2897" s="14"/>
      <c r="Q2897" s="14"/>
      <c r="R2897" s="14"/>
      <c r="S2897" s="14"/>
      <c r="T2897" s="14"/>
      <c r="U2897" s="14"/>
      <c r="V2897" s="14"/>
      <c r="W2897" s="14"/>
      <c r="X2897" s="14"/>
      <c r="Y2897" s="14"/>
      <c r="Z2897" s="14"/>
      <c r="AA2897" s="14"/>
      <c r="AB2897" s="14"/>
      <c r="AC2897" s="14"/>
      <c r="AD2897" s="14"/>
      <c r="AE2897" s="14"/>
      <c r="AF2897" s="14"/>
      <c r="AG2897" s="14"/>
      <c r="AH2897" s="14"/>
      <c r="AI2897" s="14"/>
      <c r="AJ2897" s="14"/>
      <c r="AK2897" s="14"/>
      <c r="AL2897" s="14"/>
    </row>
    <row r="2898" spans="1:38">
      <c r="A2898" s="9"/>
      <c r="B2898" s="9"/>
      <c r="C2898" s="9"/>
      <c r="D2898" s="9"/>
      <c r="E2898" s="9"/>
      <c r="F2898" s="9"/>
      <c r="G2898" s="9"/>
      <c r="H2898" s="9"/>
      <c r="I2898" s="9"/>
      <c r="J2898" s="9"/>
      <c r="K2898" s="9"/>
      <c r="L2898" s="9"/>
      <c r="M2898" s="9"/>
      <c r="N2898" s="9"/>
      <c r="O2898" s="9"/>
      <c r="P2898" s="9"/>
      <c r="Q2898" s="9"/>
      <c r="R2898" s="9"/>
      <c r="S2898" s="9"/>
      <c r="T2898" s="9"/>
      <c r="U2898" s="9"/>
      <c r="V2898" s="9"/>
      <c r="W2898" s="9"/>
      <c r="X2898" s="9"/>
      <c r="Y2898" s="9"/>
      <c r="Z2898" s="9"/>
      <c r="AA2898" s="9"/>
      <c r="AB2898" s="9"/>
      <c r="AC2898" s="9"/>
      <c r="AD2898" s="9"/>
      <c r="AE2898" s="9"/>
      <c r="AF2898" s="9"/>
      <c r="AG2898" s="9"/>
      <c r="AH2898" s="9"/>
      <c r="AI2898" s="9"/>
      <c r="AJ2898" s="9"/>
      <c r="AK2898" s="9"/>
      <c r="AL2898" s="9"/>
    </row>
    <row r="2899" spans="1:38">
      <c r="A2899" s="10"/>
      <c r="B2899" s="10"/>
      <c r="C2899" s="10"/>
      <c r="D2899" s="10"/>
      <c r="E2899" s="10"/>
      <c r="F2899" s="10"/>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0"/>
      <c r="AH2899" s="10"/>
      <c r="AI2899" s="10"/>
      <c r="AJ2899" s="10"/>
      <c r="AK2899" s="10"/>
      <c r="AL2899" s="10"/>
    </row>
    <row r="2900" spans="1:38">
      <c r="A2900" s="10"/>
      <c r="B2900" s="10"/>
      <c r="C2900" s="10"/>
      <c r="D2900" s="10"/>
      <c r="E2900" s="10"/>
      <c r="F2900" s="10"/>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0"/>
      <c r="AH2900" s="10"/>
      <c r="AI2900" s="10"/>
      <c r="AJ2900" s="10"/>
      <c r="AK2900" s="10"/>
      <c r="AL2900" s="10"/>
    </row>
    <row r="2901" spans="1:38">
      <c r="A2901" s="10"/>
      <c r="B2901" s="10"/>
      <c r="C2901" s="10"/>
      <c r="D2901" s="10"/>
      <c r="E2901" s="10"/>
      <c r="F2901" s="10"/>
      <c r="G2901" s="10"/>
      <c r="H2901" s="10"/>
      <c r="I2901" s="10"/>
      <c r="J2901" s="10"/>
      <c r="K2901" s="10"/>
      <c r="L2901" s="10"/>
      <c r="M2901" s="10"/>
      <c r="N2901" s="10"/>
      <c r="O2901" s="10"/>
      <c r="P2901" s="10"/>
      <c r="Q2901" s="10"/>
      <c r="R2901" s="10"/>
      <c r="S2901" s="10"/>
      <c r="T2901" s="10"/>
      <c r="U2901" s="10"/>
      <c r="V2901" s="10"/>
      <c r="W2901" s="10"/>
      <c r="X2901" s="10"/>
      <c r="Y2901" s="10"/>
      <c r="Z2901" s="10"/>
      <c r="AA2901" s="10"/>
      <c r="AB2901" s="10"/>
      <c r="AC2901" s="10"/>
      <c r="AD2901" s="10"/>
      <c r="AE2901" s="10"/>
      <c r="AF2901" s="10"/>
      <c r="AG2901" s="10"/>
      <c r="AH2901" s="10"/>
      <c r="AI2901" s="10"/>
      <c r="AJ2901" s="10"/>
      <c r="AK2901" s="10"/>
      <c r="AL2901" s="10"/>
    </row>
    <row r="2902" spans="1:38">
      <c r="A2902" s="10"/>
      <c r="B2902" s="10"/>
      <c r="C2902" s="10"/>
      <c r="D2902" s="10"/>
      <c r="E2902" s="10"/>
      <c r="F2902" s="10"/>
      <c r="G2902" s="10"/>
      <c r="H2902" s="10"/>
      <c r="I2902" s="10"/>
      <c r="J2902" s="10"/>
      <c r="K2902" s="10"/>
      <c r="L2902" s="10"/>
      <c r="M2902" s="10"/>
      <c r="N2902" s="10"/>
      <c r="O2902" s="10"/>
      <c r="P2902" s="10"/>
      <c r="Q2902" s="10"/>
      <c r="R2902" s="10"/>
      <c r="S2902" s="10"/>
      <c r="T2902" s="10"/>
      <c r="U2902" s="10"/>
      <c r="V2902" s="10"/>
      <c r="W2902" s="10"/>
      <c r="X2902" s="10"/>
      <c r="Y2902" s="10"/>
      <c r="Z2902" s="10"/>
      <c r="AA2902" s="10"/>
      <c r="AB2902" s="10"/>
      <c r="AC2902" s="10"/>
      <c r="AD2902" s="10"/>
      <c r="AE2902" s="10"/>
      <c r="AF2902" s="10"/>
      <c r="AG2902" s="10"/>
      <c r="AH2902" s="10"/>
      <c r="AI2902" s="10"/>
      <c r="AJ2902" s="10"/>
      <c r="AK2902" s="10"/>
      <c r="AL2902" s="10"/>
    </row>
    <row r="2903" spans="1:38">
      <c r="A2903" s="10"/>
      <c r="B2903" s="10"/>
      <c r="C2903" s="10"/>
      <c r="D2903" s="10"/>
      <c r="E2903" s="10"/>
      <c r="F2903" s="10"/>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0"/>
      <c r="AH2903" s="10"/>
      <c r="AI2903" s="10"/>
      <c r="AJ2903" s="10"/>
      <c r="AK2903" s="10"/>
      <c r="AL2903" s="10"/>
    </row>
    <row r="2904" spans="1:38">
      <c r="A2904" s="10"/>
      <c r="B2904" s="10"/>
      <c r="C2904" s="10"/>
      <c r="D2904" s="10"/>
      <c r="E2904" s="10"/>
      <c r="F2904" s="10"/>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0"/>
      <c r="AH2904" s="10"/>
      <c r="AI2904" s="10"/>
      <c r="AJ2904" s="10"/>
      <c r="AK2904" s="10"/>
      <c r="AL2904" s="10"/>
    </row>
    <row r="2905" spans="1:38">
      <c r="A2905" s="10"/>
      <c r="B2905" s="10"/>
      <c r="C2905" s="10"/>
      <c r="D2905" s="10"/>
      <c r="E2905" s="10"/>
      <c r="F2905" s="10"/>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0"/>
      <c r="AH2905" s="10"/>
      <c r="AI2905" s="10"/>
      <c r="AJ2905" s="10"/>
      <c r="AK2905" s="10"/>
      <c r="AL2905" s="10"/>
    </row>
    <row r="2906" spans="1:38">
      <c r="A2906" s="10"/>
      <c r="B2906" s="10"/>
      <c r="C2906" s="10"/>
      <c r="D2906" s="10"/>
      <c r="E2906" s="10"/>
      <c r="F2906" s="10"/>
      <c r="G2906" s="10"/>
      <c r="H2906" s="10"/>
      <c r="I2906" s="10"/>
      <c r="J2906" s="10"/>
      <c r="K2906" s="10"/>
      <c r="L2906" s="10"/>
      <c r="M2906" s="10"/>
      <c r="N2906" s="10"/>
      <c r="O2906" s="10"/>
      <c r="P2906" s="10"/>
      <c r="Q2906" s="10"/>
      <c r="R2906" s="10"/>
      <c r="S2906" s="10"/>
      <c r="T2906" s="10"/>
      <c r="U2906" s="10"/>
      <c r="V2906" s="10"/>
      <c r="W2906" s="10"/>
      <c r="X2906" s="10"/>
      <c r="Y2906" s="10"/>
      <c r="Z2906" s="10"/>
      <c r="AA2906" s="10"/>
      <c r="AB2906" s="10"/>
      <c r="AC2906" s="10"/>
      <c r="AD2906" s="10"/>
      <c r="AE2906" s="10"/>
      <c r="AF2906" s="10"/>
      <c r="AG2906" s="10"/>
      <c r="AH2906" s="10"/>
      <c r="AI2906" s="10"/>
      <c r="AJ2906" s="10"/>
      <c r="AK2906" s="10"/>
      <c r="AL2906" s="10"/>
    </row>
    <row r="2907" spans="1:38">
      <c r="A2907" s="10"/>
      <c r="B2907" s="10"/>
      <c r="C2907" s="10"/>
      <c r="D2907" s="10"/>
      <c r="E2907" s="10"/>
      <c r="F2907" s="10"/>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0"/>
      <c r="AH2907" s="10"/>
      <c r="AI2907" s="10"/>
      <c r="AJ2907" s="10"/>
      <c r="AK2907" s="10"/>
      <c r="AL2907" s="10"/>
    </row>
    <row r="2908" spans="1:38">
      <c r="A2908" s="10"/>
      <c r="B2908" s="10"/>
      <c r="C2908" s="10"/>
      <c r="D2908" s="10"/>
      <c r="E2908" s="10"/>
      <c r="F2908" s="10"/>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0"/>
      <c r="AH2908" s="10"/>
      <c r="AI2908" s="10"/>
      <c r="AJ2908" s="10"/>
      <c r="AK2908" s="10"/>
      <c r="AL2908" s="10"/>
    </row>
    <row r="2909" spans="1:38">
      <c r="A2909" s="10"/>
      <c r="B2909" s="10"/>
      <c r="C2909" s="10"/>
      <c r="D2909" s="10"/>
      <c r="E2909" s="10"/>
      <c r="F2909" s="10"/>
      <c r="G2909" s="10"/>
      <c r="H2909" s="10"/>
      <c r="I2909" s="10"/>
      <c r="J2909" s="10"/>
      <c r="K2909" s="10"/>
      <c r="L2909" s="10"/>
      <c r="M2909" s="10"/>
      <c r="N2909" s="10"/>
      <c r="O2909" s="10"/>
      <c r="P2909" s="10"/>
      <c r="Q2909" s="10"/>
      <c r="R2909" s="10"/>
      <c r="S2909" s="10"/>
      <c r="T2909" s="10"/>
      <c r="U2909" s="10"/>
      <c r="V2909" s="10"/>
      <c r="W2909" s="10"/>
      <c r="X2909" s="10"/>
      <c r="Y2909" s="10"/>
      <c r="Z2909" s="10"/>
      <c r="AA2909" s="10"/>
      <c r="AB2909" s="10"/>
      <c r="AC2909" s="10"/>
      <c r="AD2909" s="10"/>
      <c r="AE2909" s="10"/>
      <c r="AF2909" s="10"/>
      <c r="AG2909" s="10"/>
      <c r="AH2909" s="10"/>
      <c r="AI2909" s="10"/>
      <c r="AJ2909" s="10"/>
      <c r="AK2909" s="10"/>
      <c r="AL2909" s="10"/>
    </row>
    <row r="2910" spans="1:38">
      <c r="A2910" s="11"/>
      <c r="B2910" s="11"/>
      <c r="C2910" s="11"/>
      <c r="D2910" s="11"/>
      <c r="E2910" s="11"/>
      <c r="F2910" s="11"/>
      <c r="G2910" s="11"/>
      <c r="H2910" s="11"/>
      <c r="I2910" s="11"/>
      <c r="J2910" s="11"/>
      <c r="K2910" s="11"/>
      <c r="L2910" s="11"/>
      <c r="M2910" s="11"/>
      <c r="N2910" s="11"/>
      <c r="O2910" s="11"/>
      <c r="P2910" s="11"/>
      <c r="Q2910" s="11"/>
      <c r="R2910" s="11"/>
      <c r="S2910" s="11"/>
      <c r="T2910" s="11"/>
      <c r="U2910" s="11"/>
      <c r="V2910" s="11"/>
      <c r="W2910" s="11"/>
      <c r="X2910" s="11"/>
      <c r="Y2910" s="11"/>
      <c r="Z2910" s="11"/>
      <c r="AA2910" s="11"/>
      <c r="AB2910" s="11"/>
      <c r="AC2910" s="11"/>
      <c r="AD2910" s="11"/>
      <c r="AE2910" s="11"/>
      <c r="AF2910" s="11"/>
      <c r="AG2910" s="11"/>
      <c r="AH2910" s="11"/>
      <c r="AI2910" s="11"/>
      <c r="AJ2910" s="11"/>
      <c r="AK2910" s="11"/>
      <c r="AL2910" s="11"/>
    </row>
    <row r="2918" spans="1:38">
      <c r="A2918" s="14"/>
      <c r="B2918" s="14"/>
      <c r="C2918" s="14"/>
      <c r="D2918" s="14"/>
      <c r="E2918" s="14"/>
      <c r="F2918" s="14"/>
      <c r="G2918" s="14"/>
      <c r="H2918" s="14"/>
      <c r="I2918" s="14"/>
      <c r="J2918" s="14"/>
      <c r="K2918" s="14"/>
      <c r="L2918" s="14"/>
      <c r="M2918" s="14"/>
      <c r="N2918" s="14"/>
      <c r="O2918" s="14"/>
      <c r="P2918" s="14"/>
      <c r="Q2918" s="14"/>
      <c r="R2918" s="14"/>
      <c r="S2918" s="14"/>
      <c r="T2918" s="14"/>
      <c r="U2918" s="14"/>
      <c r="V2918" s="14"/>
      <c r="W2918" s="14"/>
      <c r="X2918" s="14"/>
      <c r="Y2918" s="14"/>
      <c r="Z2918" s="14"/>
      <c r="AA2918" s="14"/>
      <c r="AB2918" s="14"/>
      <c r="AC2918" s="14"/>
      <c r="AD2918" s="14"/>
      <c r="AE2918" s="14"/>
      <c r="AF2918" s="14"/>
      <c r="AG2918" s="14"/>
      <c r="AH2918" s="14"/>
      <c r="AI2918" s="14"/>
      <c r="AJ2918" s="14"/>
      <c r="AK2918" s="14"/>
      <c r="AL2918" s="14"/>
    </row>
    <row r="2919" spans="1:38">
      <c r="A2919" s="9"/>
      <c r="B2919" s="9"/>
      <c r="C2919" s="9"/>
      <c r="D2919" s="9"/>
      <c r="E2919" s="9"/>
      <c r="F2919" s="9"/>
      <c r="G2919" s="9"/>
      <c r="H2919" s="9"/>
      <c r="I2919" s="9"/>
      <c r="J2919" s="9"/>
      <c r="K2919" s="9"/>
      <c r="L2919" s="9"/>
      <c r="M2919" s="9"/>
      <c r="N2919" s="9"/>
      <c r="O2919" s="9"/>
      <c r="P2919" s="9"/>
      <c r="Q2919" s="9"/>
      <c r="R2919" s="9"/>
      <c r="S2919" s="9"/>
      <c r="T2919" s="9"/>
      <c r="U2919" s="9"/>
      <c r="V2919" s="9"/>
      <c r="W2919" s="9"/>
      <c r="X2919" s="9"/>
      <c r="Y2919" s="9"/>
      <c r="Z2919" s="9"/>
      <c r="AA2919" s="9"/>
      <c r="AB2919" s="9"/>
      <c r="AC2919" s="9"/>
      <c r="AD2919" s="9"/>
      <c r="AE2919" s="9"/>
      <c r="AF2919" s="9"/>
      <c r="AG2919" s="9"/>
      <c r="AH2919" s="9"/>
      <c r="AI2919" s="9"/>
      <c r="AJ2919" s="9"/>
      <c r="AK2919" s="9"/>
      <c r="AL2919" s="9"/>
    </row>
    <row r="2920" spans="1:38">
      <c r="A2920" s="10"/>
      <c r="B2920" s="10"/>
      <c r="C2920" s="10"/>
      <c r="D2920" s="10"/>
      <c r="E2920" s="10"/>
      <c r="F2920" s="10"/>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0"/>
      <c r="AH2920" s="10"/>
      <c r="AI2920" s="10"/>
      <c r="AJ2920" s="10"/>
      <c r="AK2920" s="10"/>
      <c r="AL2920" s="10"/>
    </row>
    <row r="2921" spans="1:38">
      <c r="A2921" s="10"/>
      <c r="B2921" s="10"/>
      <c r="C2921" s="10"/>
      <c r="D2921" s="10"/>
      <c r="E2921" s="10"/>
      <c r="F2921" s="10"/>
      <c r="G2921" s="10"/>
      <c r="H2921" s="10"/>
      <c r="I2921" s="10"/>
      <c r="J2921" s="10"/>
      <c r="K2921" s="10"/>
      <c r="L2921" s="10"/>
      <c r="M2921" s="10"/>
      <c r="N2921" s="10"/>
      <c r="O2921" s="10"/>
      <c r="P2921" s="10"/>
      <c r="Q2921" s="10"/>
      <c r="R2921" s="10"/>
      <c r="S2921" s="10"/>
      <c r="T2921" s="10"/>
      <c r="U2921" s="10"/>
      <c r="V2921" s="10"/>
      <c r="W2921" s="10"/>
      <c r="X2921" s="10"/>
      <c r="Y2921" s="10"/>
      <c r="Z2921" s="10"/>
      <c r="AA2921" s="10"/>
      <c r="AB2921" s="10"/>
      <c r="AC2921" s="10"/>
      <c r="AD2921" s="10"/>
      <c r="AE2921" s="10"/>
      <c r="AF2921" s="10"/>
      <c r="AG2921" s="10"/>
      <c r="AH2921" s="10"/>
      <c r="AI2921" s="10"/>
      <c r="AJ2921" s="10"/>
      <c r="AK2921" s="10"/>
      <c r="AL2921" s="10"/>
    </row>
    <row r="2922" spans="1:38">
      <c r="A2922" s="10"/>
      <c r="B2922" s="10"/>
      <c r="C2922" s="10"/>
      <c r="D2922" s="10"/>
      <c r="E2922" s="10"/>
      <c r="F2922" s="10"/>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0"/>
      <c r="AH2922" s="10"/>
      <c r="AI2922" s="10"/>
      <c r="AJ2922" s="10"/>
      <c r="AK2922" s="10"/>
      <c r="AL2922" s="10"/>
    </row>
    <row r="2923" spans="1:38">
      <c r="A2923" s="10"/>
      <c r="B2923" s="10"/>
      <c r="C2923" s="10"/>
      <c r="D2923" s="10"/>
      <c r="E2923" s="10"/>
      <c r="F2923" s="10"/>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0"/>
      <c r="AH2923" s="10"/>
      <c r="AI2923" s="10"/>
      <c r="AJ2923" s="10"/>
      <c r="AK2923" s="10"/>
      <c r="AL2923" s="10"/>
    </row>
    <row r="2924" spans="1:38">
      <c r="A2924" s="10"/>
      <c r="B2924" s="10"/>
      <c r="C2924" s="10"/>
      <c r="D2924" s="10"/>
      <c r="E2924" s="10"/>
      <c r="F2924" s="10"/>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0"/>
      <c r="AH2924" s="10"/>
      <c r="AI2924" s="10"/>
      <c r="AJ2924" s="10"/>
      <c r="AK2924" s="10"/>
      <c r="AL2924" s="10"/>
    </row>
    <row r="2925" spans="1:38">
      <c r="A2925" s="10"/>
      <c r="B2925" s="10"/>
      <c r="C2925" s="10"/>
      <c r="D2925" s="10"/>
      <c r="E2925" s="10"/>
      <c r="F2925" s="10"/>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0"/>
      <c r="AH2925" s="10"/>
      <c r="AI2925" s="10"/>
      <c r="AJ2925" s="10"/>
      <c r="AK2925" s="10"/>
      <c r="AL2925" s="10"/>
    </row>
    <row r="2926" spans="1:38">
      <c r="A2926" s="10"/>
      <c r="B2926" s="10"/>
      <c r="C2926" s="10"/>
      <c r="D2926" s="10"/>
      <c r="E2926" s="10"/>
      <c r="F2926" s="10"/>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0"/>
      <c r="AH2926" s="10"/>
      <c r="AI2926" s="10"/>
      <c r="AJ2926" s="10"/>
      <c r="AK2926" s="10"/>
      <c r="AL2926" s="10"/>
    </row>
    <row r="2927" spans="1:38">
      <c r="A2927" s="10"/>
      <c r="B2927" s="10"/>
      <c r="C2927" s="10"/>
      <c r="D2927" s="10"/>
      <c r="E2927" s="10"/>
      <c r="F2927" s="10"/>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0"/>
      <c r="AH2927" s="10"/>
      <c r="AI2927" s="10"/>
      <c r="AJ2927" s="10"/>
      <c r="AK2927" s="10"/>
      <c r="AL2927" s="10"/>
    </row>
    <row r="2928" spans="1:38">
      <c r="A2928" s="10"/>
      <c r="B2928" s="10"/>
      <c r="C2928" s="10"/>
      <c r="D2928" s="10"/>
      <c r="E2928" s="10"/>
      <c r="F2928" s="10"/>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0"/>
      <c r="AH2928" s="10"/>
      <c r="AI2928" s="10"/>
      <c r="AJ2928" s="10"/>
      <c r="AK2928" s="10"/>
      <c r="AL2928" s="10"/>
    </row>
    <row r="2929" spans="1:38">
      <c r="A2929" s="10"/>
      <c r="B2929" s="10"/>
      <c r="C2929" s="10"/>
      <c r="D2929" s="10"/>
      <c r="E2929" s="10"/>
      <c r="F2929" s="10"/>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0"/>
      <c r="AH2929" s="10"/>
      <c r="AI2929" s="10"/>
      <c r="AJ2929" s="10"/>
      <c r="AK2929" s="10"/>
      <c r="AL2929" s="10"/>
    </row>
    <row r="2930" spans="1:38">
      <c r="A2930" s="10"/>
      <c r="B2930" s="10"/>
      <c r="C2930" s="10"/>
      <c r="D2930" s="10"/>
      <c r="E2930" s="10"/>
      <c r="F2930" s="10"/>
      <c r="G2930" s="10"/>
      <c r="H2930" s="10"/>
      <c r="I2930" s="10"/>
      <c r="J2930" s="10"/>
      <c r="K2930" s="10"/>
      <c r="L2930" s="10"/>
      <c r="M2930" s="10"/>
      <c r="N2930" s="10"/>
      <c r="O2930" s="10"/>
      <c r="P2930" s="10"/>
      <c r="Q2930" s="10"/>
      <c r="R2930" s="10"/>
      <c r="S2930" s="10"/>
      <c r="T2930" s="10"/>
      <c r="U2930" s="10"/>
      <c r="V2930" s="10"/>
      <c r="W2930" s="10"/>
      <c r="X2930" s="10"/>
      <c r="Y2930" s="10"/>
      <c r="Z2930" s="10"/>
      <c r="AA2930" s="10"/>
      <c r="AB2930" s="10"/>
      <c r="AC2930" s="10"/>
      <c r="AD2930" s="10"/>
      <c r="AE2930" s="10"/>
      <c r="AF2930" s="10"/>
      <c r="AG2930" s="10"/>
      <c r="AH2930" s="10"/>
      <c r="AI2930" s="10"/>
      <c r="AJ2930" s="10"/>
      <c r="AK2930" s="10"/>
      <c r="AL2930" s="10"/>
    </row>
    <row r="2931" spans="1:38">
      <c r="A2931" s="11"/>
      <c r="B2931" s="11"/>
      <c r="C2931" s="11"/>
      <c r="D2931" s="11"/>
      <c r="E2931" s="11"/>
      <c r="F2931" s="11"/>
      <c r="G2931" s="11"/>
      <c r="H2931" s="11"/>
      <c r="I2931" s="11"/>
      <c r="J2931" s="11"/>
      <c r="K2931" s="11"/>
      <c r="L2931" s="11"/>
      <c r="M2931" s="11"/>
      <c r="N2931" s="11"/>
      <c r="O2931" s="11"/>
      <c r="P2931" s="11"/>
      <c r="Q2931" s="11"/>
      <c r="R2931" s="11"/>
      <c r="S2931" s="11"/>
      <c r="T2931" s="11"/>
      <c r="U2931" s="11"/>
      <c r="V2931" s="11"/>
      <c r="W2931" s="11"/>
      <c r="X2931" s="11"/>
      <c r="Y2931" s="11"/>
      <c r="Z2931" s="11"/>
      <c r="AA2931" s="11"/>
      <c r="AB2931" s="11"/>
      <c r="AC2931" s="11"/>
      <c r="AD2931" s="11"/>
      <c r="AE2931" s="11"/>
      <c r="AF2931" s="11"/>
      <c r="AG2931" s="11"/>
      <c r="AH2931" s="11"/>
      <c r="AI2931" s="11"/>
      <c r="AJ2931" s="11"/>
      <c r="AK2931" s="11"/>
      <c r="AL2931" s="11"/>
    </row>
    <row r="2945" spans="1:38">
      <c r="A2945" s="14"/>
      <c r="B2945" s="14"/>
      <c r="C2945" s="14"/>
      <c r="D2945" s="14"/>
      <c r="E2945" s="14"/>
      <c r="F2945" s="14"/>
      <c r="G2945" s="14"/>
      <c r="H2945" s="14"/>
      <c r="I2945" s="14"/>
      <c r="J2945" s="14"/>
      <c r="K2945" s="14"/>
      <c r="L2945" s="14"/>
      <c r="M2945" s="14"/>
      <c r="N2945" s="14"/>
      <c r="O2945" s="14"/>
      <c r="P2945" s="14"/>
      <c r="Q2945" s="14"/>
      <c r="R2945" s="14"/>
      <c r="S2945" s="14"/>
      <c r="T2945" s="14"/>
      <c r="U2945" s="14"/>
      <c r="V2945" s="14"/>
      <c r="W2945" s="14"/>
      <c r="X2945" s="14"/>
      <c r="Y2945" s="14"/>
      <c r="Z2945" s="14"/>
      <c r="AA2945" s="14"/>
      <c r="AB2945" s="14"/>
      <c r="AC2945" s="14"/>
      <c r="AD2945" s="14"/>
      <c r="AE2945" s="14"/>
      <c r="AF2945" s="14"/>
      <c r="AG2945" s="14"/>
      <c r="AH2945" s="14"/>
      <c r="AI2945" s="14"/>
      <c r="AJ2945" s="14"/>
      <c r="AK2945" s="14"/>
      <c r="AL2945" s="14"/>
    </row>
    <row r="2946" spans="1:38">
      <c r="A2946" s="9"/>
      <c r="B2946" s="9"/>
      <c r="C2946" s="9"/>
      <c r="D2946" s="9"/>
      <c r="E2946" s="9"/>
      <c r="F2946" s="9"/>
      <c r="G2946" s="9"/>
      <c r="H2946" s="9"/>
      <c r="I2946" s="9"/>
      <c r="J2946" s="9"/>
      <c r="K2946" s="9"/>
      <c r="L2946" s="9"/>
      <c r="M2946" s="9"/>
      <c r="N2946" s="9"/>
      <c r="O2946" s="9"/>
      <c r="P2946" s="9"/>
      <c r="Q2946" s="9"/>
      <c r="R2946" s="9"/>
      <c r="S2946" s="9"/>
      <c r="T2946" s="9"/>
      <c r="U2946" s="9"/>
      <c r="V2946" s="9"/>
      <c r="W2946" s="9"/>
      <c r="X2946" s="9"/>
      <c r="Y2946" s="9"/>
      <c r="Z2946" s="9"/>
      <c r="AA2946" s="9"/>
      <c r="AB2946" s="9"/>
      <c r="AC2946" s="9"/>
      <c r="AD2946" s="9"/>
      <c r="AE2946" s="9"/>
      <c r="AF2946" s="9"/>
      <c r="AG2946" s="9"/>
      <c r="AH2946" s="9"/>
      <c r="AI2946" s="9"/>
      <c r="AJ2946" s="9"/>
      <c r="AK2946" s="9"/>
      <c r="AL2946" s="9"/>
    </row>
    <row r="2947" spans="1:38">
      <c r="A2947" s="10"/>
      <c r="B2947" s="10"/>
      <c r="C2947" s="10"/>
      <c r="D2947" s="10"/>
      <c r="E2947" s="10"/>
      <c r="F2947" s="10"/>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0"/>
      <c r="AH2947" s="10"/>
      <c r="AI2947" s="10"/>
      <c r="AJ2947" s="10"/>
      <c r="AK2947" s="10"/>
      <c r="AL2947" s="10"/>
    </row>
    <row r="2948" spans="1:38">
      <c r="A2948" s="10"/>
      <c r="B2948" s="10"/>
      <c r="C2948" s="10"/>
      <c r="D2948" s="10"/>
      <c r="E2948" s="10"/>
      <c r="F2948" s="10"/>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0"/>
      <c r="AH2948" s="10"/>
      <c r="AI2948" s="10"/>
      <c r="AJ2948" s="10"/>
      <c r="AK2948" s="10"/>
      <c r="AL2948" s="10"/>
    </row>
    <row r="2949" spans="1:38">
      <c r="A2949" s="10"/>
      <c r="B2949" s="10"/>
      <c r="C2949" s="10"/>
      <c r="D2949" s="10"/>
      <c r="E2949" s="10"/>
      <c r="F2949" s="10"/>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0"/>
      <c r="AH2949" s="10"/>
      <c r="AI2949" s="10"/>
      <c r="AJ2949" s="10"/>
      <c r="AK2949" s="10"/>
      <c r="AL2949" s="10"/>
    </row>
    <row r="2950" spans="1:38">
      <c r="A2950" s="10"/>
      <c r="B2950" s="10"/>
      <c r="C2950" s="10"/>
      <c r="D2950" s="10"/>
      <c r="E2950" s="10"/>
      <c r="F2950" s="10"/>
      <c r="G2950" s="10"/>
      <c r="H2950" s="10"/>
      <c r="I2950" s="10"/>
      <c r="J2950" s="10"/>
      <c r="K2950" s="10"/>
      <c r="L2950" s="10"/>
      <c r="M2950" s="10"/>
      <c r="N2950" s="10"/>
      <c r="O2950" s="10"/>
      <c r="P2950" s="10"/>
      <c r="Q2950" s="10"/>
      <c r="R2950" s="10"/>
      <c r="S2950" s="10"/>
      <c r="T2950" s="10"/>
      <c r="U2950" s="10"/>
      <c r="V2950" s="10"/>
      <c r="W2950" s="10"/>
      <c r="X2950" s="10"/>
      <c r="Y2950" s="10"/>
      <c r="Z2950" s="10"/>
      <c r="AA2950" s="10"/>
      <c r="AB2950" s="10"/>
      <c r="AC2950" s="10"/>
      <c r="AD2950" s="10"/>
      <c r="AE2950" s="10"/>
      <c r="AF2950" s="10"/>
      <c r="AG2950" s="10"/>
      <c r="AH2950" s="10"/>
      <c r="AI2950" s="10"/>
      <c r="AJ2950" s="10"/>
      <c r="AK2950" s="10"/>
      <c r="AL2950" s="10"/>
    </row>
    <row r="2951" spans="1:38">
      <c r="A2951" s="10"/>
      <c r="B2951" s="10"/>
      <c r="C2951" s="10"/>
      <c r="D2951" s="10"/>
      <c r="E2951" s="10"/>
      <c r="F2951" s="10"/>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0"/>
      <c r="AH2951" s="10"/>
      <c r="AI2951" s="10"/>
      <c r="AJ2951" s="10"/>
      <c r="AK2951" s="10"/>
      <c r="AL2951" s="10"/>
    </row>
    <row r="2952" spans="1:38">
      <c r="A2952" s="10"/>
      <c r="B2952" s="10"/>
      <c r="C2952" s="10"/>
      <c r="D2952" s="10"/>
      <c r="E2952" s="10"/>
      <c r="F2952" s="10"/>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0"/>
      <c r="AH2952" s="10"/>
      <c r="AI2952" s="10"/>
      <c r="AJ2952" s="10"/>
      <c r="AK2952" s="10"/>
      <c r="AL2952" s="10"/>
    </row>
    <row r="2953" spans="1:38">
      <c r="A2953" s="10"/>
      <c r="B2953" s="10"/>
      <c r="C2953" s="10"/>
      <c r="D2953" s="10"/>
      <c r="E2953" s="10"/>
      <c r="F2953" s="10"/>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0"/>
      <c r="AH2953" s="10"/>
      <c r="AI2953" s="10"/>
      <c r="AJ2953" s="10"/>
      <c r="AK2953" s="10"/>
      <c r="AL2953" s="10"/>
    </row>
    <row r="2954" spans="1:38">
      <c r="A2954" s="10"/>
      <c r="B2954" s="10"/>
      <c r="C2954" s="10"/>
      <c r="D2954" s="10"/>
      <c r="E2954" s="10"/>
      <c r="F2954" s="10"/>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0"/>
      <c r="AH2954" s="10"/>
      <c r="AI2954" s="10"/>
      <c r="AJ2954" s="10"/>
      <c r="AK2954" s="10"/>
      <c r="AL2954" s="10"/>
    </row>
    <row r="2955" spans="1:38">
      <c r="A2955" s="10"/>
      <c r="B2955" s="10"/>
      <c r="C2955" s="10"/>
      <c r="D2955" s="10"/>
      <c r="E2955" s="10"/>
      <c r="F2955" s="10"/>
      <c r="G2955" s="10"/>
      <c r="H2955" s="10"/>
      <c r="I2955" s="10"/>
      <c r="J2955" s="10"/>
      <c r="K2955" s="10"/>
      <c r="L2955" s="10"/>
      <c r="M2955" s="10"/>
      <c r="N2955" s="10"/>
      <c r="O2955" s="10"/>
      <c r="P2955" s="10"/>
      <c r="Q2955" s="10"/>
      <c r="R2955" s="10"/>
      <c r="S2955" s="10"/>
      <c r="T2955" s="10"/>
      <c r="U2955" s="10"/>
      <c r="V2955" s="10"/>
      <c r="W2955" s="10"/>
      <c r="X2955" s="10"/>
      <c r="Y2955" s="10"/>
      <c r="Z2955" s="10"/>
      <c r="AA2955" s="10"/>
      <c r="AB2955" s="10"/>
      <c r="AC2955" s="10"/>
      <c r="AD2955" s="10"/>
      <c r="AE2955" s="10"/>
      <c r="AF2955" s="10"/>
      <c r="AG2955" s="10"/>
      <c r="AH2955" s="10"/>
      <c r="AI2955" s="10"/>
      <c r="AJ2955" s="10"/>
      <c r="AK2955" s="10"/>
      <c r="AL2955" s="10"/>
    </row>
    <row r="2956" spans="1:38">
      <c r="A2956" s="10"/>
      <c r="B2956" s="10"/>
      <c r="C2956" s="10"/>
      <c r="D2956" s="10"/>
      <c r="E2956" s="10"/>
      <c r="F2956" s="10"/>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0"/>
      <c r="AH2956" s="10"/>
      <c r="AI2956" s="10"/>
      <c r="AJ2956" s="10"/>
      <c r="AK2956" s="10"/>
      <c r="AL2956" s="10"/>
    </row>
    <row r="2957" spans="1:38">
      <c r="A2957" s="10"/>
      <c r="B2957" s="10"/>
      <c r="C2957" s="10"/>
      <c r="D2957" s="10"/>
      <c r="E2957" s="10"/>
      <c r="F2957" s="10"/>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0"/>
      <c r="AH2957" s="10"/>
      <c r="AI2957" s="10"/>
      <c r="AJ2957" s="10"/>
      <c r="AK2957" s="10"/>
      <c r="AL2957" s="10"/>
    </row>
    <row r="2958" spans="1:38">
      <c r="A2958" s="11"/>
      <c r="B2958" s="11"/>
      <c r="C2958" s="11"/>
      <c r="D2958" s="11"/>
      <c r="E2958" s="11"/>
      <c r="F2958" s="11"/>
      <c r="G2958" s="11"/>
      <c r="H2958" s="11"/>
      <c r="I2958" s="11"/>
      <c r="J2958" s="11"/>
      <c r="K2958" s="11"/>
      <c r="L2958" s="11"/>
      <c r="M2958" s="11"/>
      <c r="N2958" s="11"/>
      <c r="O2958" s="11"/>
      <c r="P2958" s="11"/>
      <c r="Q2958" s="11"/>
      <c r="R2958" s="11"/>
      <c r="S2958" s="11"/>
      <c r="T2958" s="11"/>
      <c r="U2958" s="11"/>
      <c r="V2958" s="11"/>
      <c r="W2958" s="11"/>
      <c r="X2958" s="11"/>
      <c r="Y2958" s="11"/>
      <c r="Z2958" s="11"/>
      <c r="AA2958" s="11"/>
      <c r="AB2958" s="11"/>
      <c r="AC2958" s="11"/>
      <c r="AD2958" s="11"/>
      <c r="AE2958" s="11"/>
      <c r="AF2958" s="11"/>
      <c r="AG2958" s="11"/>
      <c r="AH2958" s="11"/>
      <c r="AI2958" s="11"/>
      <c r="AJ2958" s="11"/>
      <c r="AK2958" s="11"/>
      <c r="AL2958" s="11"/>
    </row>
    <row r="2971" spans="1:38">
      <c r="A2971" s="14"/>
      <c r="B2971" s="14"/>
      <c r="C2971" s="14"/>
      <c r="D2971" s="14"/>
      <c r="E2971" s="14"/>
      <c r="F2971" s="14"/>
      <c r="G2971" s="14"/>
      <c r="H2971" s="14"/>
      <c r="I2971" s="14"/>
      <c r="J2971" s="14"/>
      <c r="K2971" s="14"/>
      <c r="L2971" s="14"/>
      <c r="M2971" s="14"/>
      <c r="N2971" s="14"/>
      <c r="O2971" s="14"/>
      <c r="P2971" s="14"/>
      <c r="Q2971" s="14"/>
      <c r="R2971" s="14"/>
      <c r="S2971" s="14"/>
      <c r="T2971" s="14"/>
      <c r="U2971" s="14"/>
      <c r="V2971" s="14"/>
      <c r="W2971" s="14"/>
      <c r="X2971" s="14"/>
      <c r="Y2971" s="14"/>
      <c r="Z2971" s="14"/>
      <c r="AA2971" s="14"/>
      <c r="AB2971" s="14"/>
      <c r="AC2971" s="14"/>
      <c r="AD2971" s="14"/>
      <c r="AE2971" s="14"/>
      <c r="AF2971" s="14"/>
      <c r="AG2971" s="14"/>
      <c r="AH2971" s="14"/>
      <c r="AI2971" s="14"/>
      <c r="AJ2971" s="14"/>
      <c r="AK2971" s="14"/>
      <c r="AL2971" s="14"/>
    </row>
    <row r="2972" spans="1:38">
      <c r="A2972" s="9"/>
      <c r="B2972" s="9"/>
      <c r="C2972" s="9"/>
      <c r="D2972" s="9"/>
      <c r="E2972" s="9"/>
      <c r="F2972" s="9"/>
      <c r="G2972" s="9"/>
      <c r="H2972" s="9"/>
      <c r="I2972" s="9"/>
      <c r="J2972" s="9"/>
      <c r="K2972" s="9"/>
      <c r="L2972" s="9"/>
      <c r="M2972" s="9"/>
      <c r="N2972" s="9"/>
      <c r="O2972" s="9"/>
      <c r="P2972" s="9"/>
      <c r="Q2972" s="9"/>
      <c r="R2972" s="9"/>
      <c r="S2972" s="9"/>
      <c r="T2972" s="9"/>
      <c r="U2972" s="9"/>
      <c r="V2972" s="9"/>
      <c r="W2972" s="9"/>
      <c r="X2972" s="9"/>
      <c r="Y2972" s="9"/>
      <c r="Z2972" s="9"/>
      <c r="AA2972" s="9"/>
      <c r="AB2972" s="9"/>
      <c r="AC2972" s="9"/>
      <c r="AD2972" s="9"/>
      <c r="AE2972" s="9"/>
      <c r="AF2972" s="9"/>
      <c r="AG2972" s="9"/>
      <c r="AH2972" s="9"/>
      <c r="AI2972" s="9"/>
      <c r="AJ2972" s="9"/>
      <c r="AK2972" s="9"/>
      <c r="AL2972" s="9"/>
    </row>
    <row r="2973" spans="1:38">
      <c r="A2973" s="10"/>
      <c r="B2973" s="10"/>
      <c r="C2973" s="10"/>
      <c r="D2973" s="10"/>
      <c r="E2973" s="10"/>
      <c r="F2973" s="10"/>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0"/>
      <c r="AH2973" s="10"/>
      <c r="AI2973" s="10"/>
      <c r="AJ2973" s="10"/>
      <c r="AK2973" s="10"/>
      <c r="AL2973" s="10"/>
    </row>
    <row r="2974" spans="1:38">
      <c r="A2974" s="10"/>
      <c r="B2974" s="10"/>
      <c r="C2974" s="10"/>
      <c r="D2974" s="10"/>
      <c r="E2974" s="10"/>
      <c r="F2974" s="10"/>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0"/>
      <c r="AH2974" s="10"/>
      <c r="AI2974" s="10"/>
      <c r="AJ2974" s="10"/>
      <c r="AK2974" s="10"/>
      <c r="AL2974" s="10"/>
    </row>
    <row r="2975" spans="1:38">
      <c r="A2975" s="10"/>
      <c r="B2975" s="10"/>
      <c r="C2975" s="10"/>
      <c r="D2975" s="10"/>
      <c r="E2975" s="10"/>
      <c r="F2975" s="10"/>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0"/>
      <c r="AH2975" s="10"/>
      <c r="AI2975" s="10"/>
      <c r="AJ2975" s="10"/>
      <c r="AK2975" s="10"/>
      <c r="AL2975" s="10"/>
    </row>
    <row r="2976" spans="1:38">
      <c r="A2976" s="10"/>
      <c r="B2976" s="10"/>
      <c r="C2976" s="10"/>
      <c r="D2976" s="10"/>
      <c r="E2976" s="10"/>
      <c r="F2976" s="10"/>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0"/>
      <c r="AH2976" s="10"/>
      <c r="AI2976" s="10"/>
      <c r="AJ2976" s="10"/>
      <c r="AK2976" s="10"/>
      <c r="AL2976" s="10"/>
    </row>
    <row r="2977" spans="1:38">
      <c r="A2977" s="10"/>
      <c r="B2977" s="10"/>
      <c r="C2977" s="10"/>
      <c r="D2977" s="10"/>
      <c r="E2977" s="10"/>
      <c r="F2977" s="10"/>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0"/>
      <c r="AH2977" s="10"/>
      <c r="AI2977" s="10"/>
      <c r="AJ2977" s="10"/>
      <c r="AK2977" s="10"/>
      <c r="AL2977" s="10"/>
    </row>
    <row r="2978" spans="1:38">
      <c r="A2978" s="10"/>
      <c r="B2978" s="10"/>
      <c r="C2978" s="10"/>
      <c r="D2978" s="10"/>
      <c r="E2978" s="10"/>
      <c r="F2978" s="10"/>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0"/>
      <c r="AH2978" s="10"/>
      <c r="AI2978" s="10"/>
      <c r="AJ2978" s="10"/>
      <c r="AK2978" s="10"/>
      <c r="AL2978" s="10"/>
    </row>
    <row r="2979" spans="1:38">
      <c r="A2979" s="10"/>
      <c r="B2979" s="10"/>
      <c r="C2979" s="10"/>
      <c r="D2979" s="10"/>
      <c r="E2979" s="10"/>
      <c r="F2979" s="10"/>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0"/>
      <c r="AH2979" s="10"/>
      <c r="AI2979" s="10"/>
      <c r="AJ2979" s="10"/>
      <c r="AK2979" s="10"/>
      <c r="AL2979" s="10"/>
    </row>
    <row r="2980" spans="1:38">
      <c r="A2980" s="10"/>
      <c r="B2980" s="10"/>
      <c r="C2980" s="10"/>
      <c r="D2980" s="10"/>
      <c r="E2980" s="10"/>
      <c r="F2980" s="10"/>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0"/>
      <c r="AH2980" s="10"/>
      <c r="AI2980" s="10"/>
      <c r="AJ2980" s="10"/>
      <c r="AK2980" s="10"/>
      <c r="AL2980" s="10"/>
    </row>
    <row r="2981" spans="1:38">
      <c r="A2981" s="10"/>
      <c r="B2981" s="10"/>
      <c r="C2981" s="10"/>
      <c r="D2981" s="10"/>
      <c r="E2981" s="10"/>
      <c r="F2981" s="10"/>
      <c r="G2981" s="10"/>
      <c r="H2981" s="10"/>
      <c r="I2981" s="10"/>
      <c r="J2981" s="10"/>
      <c r="K2981" s="10"/>
      <c r="L2981" s="10"/>
      <c r="M2981" s="10"/>
      <c r="N2981" s="10"/>
      <c r="O2981" s="10"/>
      <c r="P2981" s="10"/>
      <c r="Q2981" s="10"/>
      <c r="R2981" s="10"/>
      <c r="S2981" s="10"/>
      <c r="T2981" s="10"/>
      <c r="U2981" s="10"/>
      <c r="V2981" s="10"/>
      <c r="W2981" s="10"/>
      <c r="X2981" s="10"/>
      <c r="Y2981" s="10"/>
      <c r="Z2981" s="10"/>
      <c r="AA2981" s="10"/>
      <c r="AB2981" s="10"/>
      <c r="AC2981" s="10"/>
      <c r="AD2981" s="10"/>
      <c r="AE2981" s="10"/>
      <c r="AF2981" s="10"/>
      <c r="AG2981" s="10"/>
      <c r="AH2981" s="10"/>
      <c r="AI2981" s="10"/>
      <c r="AJ2981" s="10"/>
      <c r="AK2981" s="10"/>
      <c r="AL2981" s="10"/>
    </row>
    <row r="2982" spans="1:38">
      <c r="A2982" s="10"/>
      <c r="B2982" s="10"/>
      <c r="C2982" s="10"/>
      <c r="D2982" s="10"/>
      <c r="E2982" s="10"/>
      <c r="F2982" s="10"/>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0"/>
      <c r="AH2982" s="10"/>
      <c r="AI2982" s="10"/>
      <c r="AJ2982" s="10"/>
      <c r="AK2982" s="10"/>
      <c r="AL2982" s="10"/>
    </row>
    <row r="2984" spans="1:38">
      <c r="A2984" s="11"/>
      <c r="B2984" s="11"/>
      <c r="C2984" s="11"/>
      <c r="D2984" s="11"/>
      <c r="E2984" s="11"/>
      <c r="F2984" s="11"/>
      <c r="G2984" s="11"/>
      <c r="H2984" s="11"/>
      <c r="I2984" s="11"/>
      <c r="J2984" s="11"/>
      <c r="K2984" s="11"/>
      <c r="L2984" s="11"/>
      <c r="M2984" s="11"/>
      <c r="N2984" s="11"/>
      <c r="O2984" s="11"/>
      <c r="P2984" s="11"/>
      <c r="Q2984" s="11"/>
      <c r="R2984" s="11"/>
      <c r="S2984" s="11"/>
      <c r="T2984" s="11"/>
      <c r="U2984" s="11"/>
      <c r="V2984" s="11"/>
      <c r="W2984" s="11"/>
      <c r="X2984" s="11"/>
      <c r="Y2984" s="11"/>
      <c r="Z2984" s="11"/>
      <c r="AA2984" s="11"/>
      <c r="AB2984" s="11"/>
      <c r="AC2984" s="11"/>
      <c r="AD2984" s="11"/>
      <c r="AE2984" s="11"/>
      <c r="AF2984" s="11"/>
      <c r="AG2984" s="11"/>
      <c r="AH2984" s="11"/>
      <c r="AI2984" s="11"/>
      <c r="AJ2984" s="11"/>
      <c r="AK2984" s="11"/>
      <c r="AL2984" s="11"/>
    </row>
    <row r="2995" spans="1:38">
      <c r="A2995" s="14"/>
      <c r="B2995" s="14"/>
      <c r="C2995" s="14"/>
      <c r="D2995" s="14"/>
      <c r="E2995" s="14"/>
      <c r="F2995" s="14"/>
      <c r="G2995" s="14"/>
      <c r="H2995" s="14"/>
      <c r="I2995" s="14"/>
      <c r="J2995" s="14"/>
      <c r="K2995" s="14"/>
      <c r="L2995" s="14"/>
      <c r="M2995" s="14"/>
      <c r="N2995" s="14"/>
      <c r="O2995" s="14"/>
      <c r="P2995" s="14"/>
      <c r="Q2995" s="14"/>
      <c r="R2995" s="14"/>
      <c r="S2995" s="14"/>
      <c r="T2995" s="14"/>
      <c r="U2995" s="14"/>
      <c r="V2995" s="14"/>
      <c r="W2995" s="14"/>
      <c r="X2995" s="14"/>
      <c r="Y2995" s="14"/>
      <c r="Z2995" s="14"/>
      <c r="AA2995" s="14"/>
      <c r="AB2995" s="14"/>
      <c r="AC2995" s="14"/>
      <c r="AD2995" s="14"/>
      <c r="AE2995" s="14"/>
      <c r="AF2995" s="14"/>
      <c r="AG2995" s="14"/>
      <c r="AH2995" s="14"/>
      <c r="AI2995" s="14"/>
      <c r="AJ2995" s="14"/>
      <c r="AK2995" s="14"/>
      <c r="AL2995" s="14"/>
    </row>
    <row r="2996" spans="1:38">
      <c r="A2996" s="9"/>
      <c r="B2996" s="9"/>
      <c r="C2996" s="9"/>
      <c r="D2996" s="9"/>
      <c r="E2996" s="9"/>
      <c r="F2996" s="9"/>
      <c r="G2996" s="9"/>
      <c r="H2996" s="9"/>
      <c r="I2996" s="9"/>
      <c r="J2996" s="9"/>
      <c r="K2996" s="9"/>
      <c r="L2996" s="9"/>
      <c r="M2996" s="9"/>
      <c r="N2996" s="9"/>
      <c r="O2996" s="9"/>
      <c r="P2996" s="9"/>
      <c r="Q2996" s="9"/>
      <c r="R2996" s="9"/>
      <c r="S2996" s="9"/>
      <c r="T2996" s="9"/>
      <c r="U2996" s="9"/>
      <c r="V2996" s="9"/>
      <c r="W2996" s="9"/>
      <c r="X2996" s="9"/>
      <c r="Y2996" s="9"/>
      <c r="Z2996" s="9"/>
      <c r="AA2996" s="9"/>
      <c r="AB2996" s="9"/>
      <c r="AC2996" s="9"/>
      <c r="AD2996" s="9"/>
      <c r="AE2996" s="9"/>
      <c r="AF2996" s="9"/>
      <c r="AG2996" s="9"/>
      <c r="AH2996" s="9"/>
      <c r="AI2996" s="9"/>
      <c r="AJ2996" s="9"/>
      <c r="AK2996" s="9"/>
      <c r="AL2996" s="9"/>
    </row>
    <row r="2997" spans="1:38">
      <c r="A2997" s="10"/>
      <c r="B2997" s="10"/>
      <c r="C2997" s="10"/>
      <c r="D2997" s="10"/>
      <c r="E2997" s="10"/>
      <c r="F2997" s="10"/>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0"/>
      <c r="AH2997" s="10"/>
      <c r="AI2997" s="10"/>
      <c r="AJ2997" s="10"/>
      <c r="AK2997" s="10"/>
      <c r="AL2997" s="10"/>
    </row>
    <row r="2998" spans="1:38">
      <c r="A2998" s="10"/>
      <c r="B2998" s="10"/>
      <c r="C2998" s="10"/>
      <c r="D2998" s="10"/>
      <c r="E2998" s="10"/>
      <c r="F2998" s="10"/>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0"/>
      <c r="AH2998" s="10"/>
      <c r="AI2998" s="10"/>
      <c r="AJ2998" s="10"/>
      <c r="AK2998" s="10"/>
      <c r="AL2998" s="10"/>
    </row>
    <row r="2999" spans="1:38">
      <c r="A2999" s="10"/>
      <c r="B2999" s="10"/>
      <c r="C2999" s="10"/>
      <c r="D2999" s="10"/>
      <c r="E2999" s="10"/>
      <c r="F2999" s="10"/>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0"/>
      <c r="AH2999" s="10"/>
      <c r="AI2999" s="10"/>
      <c r="AJ2999" s="10"/>
      <c r="AK2999" s="10"/>
      <c r="AL2999" s="10"/>
    </row>
    <row r="3000" spans="1:38">
      <c r="A3000" s="10"/>
      <c r="B3000" s="10"/>
      <c r="C3000" s="10"/>
      <c r="D3000" s="10"/>
      <c r="E3000" s="10"/>
      <c r="F3000" s="10"/>
      <c r="G3000" s="10"/>
      <c r="H3000" s="10"/>
      <c r="I3000" s="10"/>
      <c r="J3000" s="10"/>
      <c r="K3000" s="10"/>
      <c r="L3000" s="10"/>
      <c r="M3000" s="10"/>
      <c r="N3000" s="10"/>
      <c r="O3000" s="10"/>
      <c r="P3000" s="10"/>
      <c r="Q3000" s="10"/>
      <c r="R3000" s="10"/>
      <c r="S3000" s="10"/>
      <c r="T3000" s="10"/>
      <c r="U3000" s="10"/>
      <c r="V3000" s="10"/>
      <c r="W3000" s="10"/>
      <c r="X3000" s="10"/>
      <c r="Y3000" s="10"/>
      <c r="Z3000" s="10"/>
      <c r="AA3000" s="10"/>
      <c r="AB3000" s="10"/>
      <c r="AC3000" s="10"/>
      <c r="AD3000" s="10"/>
      <c r="AE3000" s="10"/>
      <c r="AF3000" s="10"/>
      <c r="AG3000" s="10"/>
      <c r="AH3000" s="10"/>
      <c r="AI3000" s="10"/>
      <c r="AJ3000" s="10"/>
      <c r="AK3000" s="10"/>
      <c r="AL3000" s="10"/>
    </row>
    <row r="3001" spans="1:38">
      <c r="A3001" s="10"/>
      <c r="B3001" s="10"/>
      <c r="C3001" s="10"/>
      <c r="D3001" s="10"/>
      <c r="E3001" s="10"/>
      <c r="F3001" s="10"/>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0"/>
      <c r="AH3001" s="10"/>
      <c r="AI3001" s="10"/>
      <c r="AJ3001" s="10"/>
      <c r="AK3001" s="10"/>
      <c r="AL3001" s="10"/>
    </row>
    <row r="3002" spans="1:38">
      <c r="A3002" s="10"/>
      <c r="B3002" s="10"/>
      <c r="C3002" s="10"/>
      <c r="D3002" s="10"/>
      <c r="E3002" s="10"/>
      <c r="F3002" s="10"/>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0"/>
      <c r="AH3002" s="10"/>
      <c r="AI3002" s="10"/>
      <c r="AJ3002" s="10"/>
      <c r="AK3002" s="10"/>
      <c r="AL3002" s="10"/>
    </row>
    <row r="3003" spans="1:38">
      <c r="A3003" s="10"/>
      <c r="B3003" s="10"/>
      <c r="C3003" s="10"/>
      <c r="D3003" s="10"/>
      <c r="E3003" s="10"/>
      <c r="F3003" s="10"/>
      <c r="G3003" s="10"/>
      <c r="H3003" s="10"/>
      <c r="I3003" s="10"/>
      <c r="J3003" s="10"/>
      <c r="K3003" s="10"/>
      <c r="L3003" s="10"/>
      <c r="M3003" s="10"/>
      <c r="N3003" s="10"/>
      <c r="O3003" s="10"/>
      <c r="P3003" s="10"/>
      <c r="Q3003" s="10"/>
      <c r="R3003" s="10"/>
      <c r="S3003" s="10"/>
      <c r="T3003" s="10"/>
      <c r="U3003" s="10"/>
      <c r="V3003" s="10"/>
      <c r="W3003" s="10"/>
      <c r="X3003" s="10"/>
      <c r="Y3003" s="10"/>
      <c r="Z3003" s="10"/>
      <c r="AA3003" s="10"/>
      <c r="AB3003" s="10"/>
      <c r="AC3003" s="10"/>
      <c r="AD3003" s="10"/>
      <c r="AE3003" s="10"/>
      <c r="AF3003" s="10"/>
      <c r="AG3003" s="10"/>
      <c r="AH3003" s="10"/>
      <c r="AI3003" s="10"/>
      <c r="AJ3003" s="10"/>
      <c r="AK3003" s="10"/>
      <c r="AL3003" s="10"/>
    </row>
    <row r="3004" spans="1:38">
      <c r="A3004" s="10"/>
      <c r="B3004" s="10"/>
      <c r="C3004" s="10"/>
      <c r="D3004" s="10"/>
      <c r="E3004" s="10"/>
      <c r="F3004" s="10"/>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0"/>
      <c r="AH3004" s="10"/>
      <c r="AI3004" s="10"/>
      <c r="AJ3004" s="10"/>
      <c r="AK3004" s="10"/>
      <c r="AL3004" s="10"/>
    </row>
    <row r="3005" spans="1:38">
      <c r="A3005" s="10"/>
      <c r="B3005" s="10"/>
      <c r="C3005" s="10"/>
      <c r="D3005" s="10"/>
      <c r="E3005" s="10"/>
      <c r="F3005" s="10"/>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0"/>
      <c r="AH3005" s="10"/>
      <c r="AI3005" s="10"/>
      <c r="AJ3005" s="10"/>
      <c r="AK3005" s="10"/>
      <c r="AL3005" s="10"/>
    </row>
    <row r="3006" spans="1:38">
      <c r="A3006" s="10"/>
      <c r="B3006" s="10"/>
      <c r="C3006" s="10"/>
      <c r="D3006" s="10"/>
      <c r="E3006" s="10"/>
      <c r="F3006" s="10"/>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0"/>
      <c r="AH3006" s="10"/>
      <c r="AI3006" s="10"/>
      <c r="AJ3006" s="10"/>
      <c r="AK3006" s="10"/>
      <c r="AL3006" s="10"/>
    </row>
    <row r="3007" spans="1:38">
      <c r="A3007" s="10"/>
      <c r="B3007" s="10"/>
      <c r="C3007" s="10"/>
      <c r="D3007" s="10"/>
      <c r="E3007" s="10"/>
      <c r="F3007" s="10"/>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0"/>
      <c r="AH3007" s="10"/>
      <c r="AI3007" s="10"/>
      <c r="AJ3007" s="10"/>
      <c r="AK3007" s="10"/>
      <c r="AL3007" s="10"/>
    </row>
    <row r="3008" spans="1:38">
      <c r="A3008" s="11"/>
      <c r="B3008" s="11"/>
      <c r="C3008" s="11"/>
      <c r="D3008" s="11"/>
      <c r="E3008" s="11"/>
      <c r="F3008" s="11"/>
      <c r="G3008" s="11"/>
      <c r="H3008" s="11"/>
      <c r="I3008" s="11"/>
      <c r="J3008" s="11"/>
      <c r="K3008" s="11"/>
      <c r="L3008" s="11"/>
      <c r="M3008" s="11"/>
      <c r="N3008" s="11"/>
      <c r="O3008" s="11"/>
      <c r="P3008" s="11"/>
      <c r="Q3008" s="11"/>
      <c r="R3008" s="11"/>
      <c r="S3008" s="11"/>
      <c r="T3008" s="11"/>
      <c r="U3008" s="11"/>
      <c r="V3008" s="11"/>
      <c r="W3008" s="11"/>
      <c r="X3008" s="11"/>
      <c r="Y3008" s="11"/>
      <c r="Z3008" s="11"/>
      <c r="AA3008" s="11"/>
      <c r="AB3008" s="11"/>
      <c r="AC3008" s="11"/>
      <c r="AD3008" s="11"/>
      <c r="AE3008" s="11"/>
      <c r="AF3008" s="11"/>
      <c r="AG3008" s="11"/>
      <c r="AH3008" s="11"/>
      <c r="AI3008" s="11"/>
      <c r="AJ3008" s="11"/>
      <c r="AK3008" s="11"/>
      <c r="AL3008" s="11"/>
    </row>
    <row r="3018" spans="1:38">
      <c r="A3018" s="14"/>
      <c r="B3018" s="14"/>
      <c r="C3018" s="14"/>
      <c r="D3018" s="14"/>
      <c r="E3018" s="14"/>
      <c r="F3018" s="14"/>
      <c r="G3018" s="14"/>
      <c r="H3018" s="14"/>
      <c r="I3018" s="14"/>
      <c r="J3018" s="14"/>
      <c r="K3018" s="14"/>
      <c r="L3018" s="14"/>
      <c r="M3018" s="14"/>
      <c r="N3018" s="14"/>
      <c r="O3018" s="14"/>
      <c r="P3018" s="14"/>
      <c r="Q3018" s="14"/>
      <c r="R3018" s="14"/>
      <c r="S3018" s="14"/>
      <c r="T3018" s="14"/>
      <c r="U3018" s="14"/>
      <c r="V3018" s="14"/>
      <c r="W3018" s="14"/>
      <c r="X3018" s="14"/>
      <c r="Y3018" s="14"/>
      <c r="Z3018" s="14"/>
      <c r="AA3018" s="14"/>
      <c r="AB3018" s="14"/>
      <c r="AC3018" s="14"/>
      <c r="AD3018" s="14"/>
      <c r="AE3018" s="14"/>
      <c r="AF3018" s="14"/>
      <c r="AG3018" s="14"/>
      <c r="AH3018" s="14"/>
      <c r="AI3018" s="14"/>
      <c r="AJ3018" s="14"/>
      <c r="AK3018" s="14"/>
      <c r="AL3018" s="14"/>
    </row>
    <row r="3019" spans="1:38">
      <c r="A3019" s="9"/>
      <c r="B3019" s="9"/>
      <c r="C3019" s="9"/>
      <c r="D3019" s="9"/>
      <c r="E3019" s="9"/>
      <c r="F3019" s="9"/>
      <c r="G3019" s="9"/>
      <c r="H3019" s="9"/>
      <c r="I3019" s="9"/>
      <c r="J3019" s="9"/>
      <c r="K3019" s="9"/>
      <c r="L3019" s="9"/>
      <c r="M3019" s="9"/>
      <c r="N3019" s="9"/>
      <c r="O3019" s="9"/>
      <c r="P3019" s="9"/>
      <c r="Q3019" s="9"/>
      <c r="R3019" s="9"/>
      <c r="S3019" s="9"/>
      <c r="T3019" s="9"/>
      <c r="U3019" s="9"/>
      <c r="V3019" s="9"/>
      <c r="W3019" s="9"/>
      <c r="X3019" s="9"/>
      <c r="Y3019" s="9"/>
      <c r="Z3019" s="9"/>
      <c r="AA3019" s="9"/>
      <c r="AB3019" s="9"/>
      <c r="AC3019" s="9"/>
      <c r="AD3019" s="9"/>
      <c r="AE3019" s="9"/>
      <c r="AF3019" s="9"/>
      <c r="AG3019" s="9"/>
      <c r="AH3019" s="9"/>
      <c r="AI3019" s="9"/>
      <c r="AJ3019" s="9"/>
      <c r="AK3019" s="9"/>
      <c r="AL3019" s="9"/>
    </row>
    <row r="3020" spans="1:38">
      <c r="A3020" s="10"/>
      <c r="B3020" s="10"/>
      <c r="C3020" s="10"/>
      <c r="D3020" s="10"/>
      <c r="E3020" s="10"/>
      <c r="F3020" s="10"/>
      <c r="G3020" s="10"/>
      <c r="H3020" s="10"/>
      <c r="I3020" s="10"/>
      <c r="J3020" s="10"/>
      <c r="K3020" s="10"/>
      <c r="L3020" s="10"/>
      <c r="M3020" s="10"/>
      <c r="N3020" s="10"/>
      <c r="O3020" s="10"/>
      <c r="P3020" s="10"/>
      <c r="Q3020" s="10"/>
      <c r="R3020" s="10"/>
      <c r="S3020" s="10"/>
      <c r="T3020" s="10"/>
      <c r="U3020" s="10"/>
      <c r="V3020" s="10"/>
      <c r="W3020" s="10"/>
      <c r="X3020" s="10"/>
      <c r="Y3020" s="10"/>
      <c r="Z3020" s="10"/>
      <c r="AA3020" s="10"/>
      <c r="AB3020" s="10"/>
      <c r="AC3020" s="10"/>
      <c r="AD3020" s="10"/>
      <c r="AE3020" s="10"/>
      <c r="AF3020" s="10"/>
      <c r="AG3020" s="10"/>
      <c r="AH3020" s="10"/>
      <c r="AI3020" s="10"/>
      <c r="AJ3020" s="10"/>
      <c r="AK3020" s="10"/>
      <c r="AL3020" s="10"/>
    </row>
    <row r="3021" spans="1:38">
      <c r="A3021" s="10"/>
      <c r="B3021" s="10"/>
      <c r="C3021" s="10"/>
      <c r="D3021" s="10"/>
      <c r="E3021" s="10"/>
      <c r="F3021" s="10"/>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0"/>
      <c r="AH3021" s="10"/>
      <c r="AI3021" s="10"/>
      <c r="AJ3021" s="10"/>
      <c r="AK3021" s="10"/>
      <c r="AL3021" s="10"/>
    </row>
    <row r="3022" spans="1:38">
      <c r="A3022" s="10"/>
      <c r="B3022" s="10"/>
      <c r="C3022" s="10"/>
      <c r="D3022" s="10"/>
      <c r="E3022" s="10"/>
      <c r="F3022" s="10"/>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0"/>
      <c r="AH3022" s="10"/>
      <c r="AI3022" s="10"/>
      <c r="AJ3022" s="10"/>
      <c r="AK3022" s="10"/>
      <c r="AL3022" s="10"/>
    </row>
    <row r="3023" spans="1:38">
      <c r="A3023" s="10"/>
      <c r="B3023" s="10"/>
      <c r="C3023" s="10"/>
      <c r="D3023" s="10"/>
      <c r="E3023" s="10"/>
      <c r="F3023" s="10"/>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0"/>
      <c r="AH3023" s="10"/>
      <c r="AI3023" s="10"/>
      <c r="AJ3023" s="10"/>
      <c r="AK3023" s="10"/>
      <c r="AL3023" s="10"/>
    </row>
    <row r="3024" spans="1:38">
      <c r="A3024" s="10"/>
      <c r="B3024" s="10"/>
      <c r="C3024" s="10"/>
      <c r="D3024" s="10"/>
      <c r="E3024" s="10"/>
      <c r="F3024" s="10"/>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0"/>
      <c r="AH3024" s="10"/>
      <c r="AI3024" s="10"/>
      <c r="AJ3024" s="10"/>
      <c r="AK3024" s="10"/>
      <c r="AL3024" s="10"/>
    </row>
    <row r="3025" spans="1:38">
      <c r="A3025" s="10"/>
      <c r="B3025" s="10"/>
      <c r="C3025" s="10"/>
      <c r="D3025" s="10"/>
      <c r="E3025" s="10"/>
      <c r="F3025" s="10"/>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0"/>
      <c r="AH3025" s="10"/>
      <c r="AI3025" s="10"/>
      <c r="AJ3025" s="10"/>
      <c r="AK3025" s="10"/>
      <c r="AL3025" s="10"/>
    </row>
    <row r="3026" spans="1:38">
      <c r="A3026" s="10"/>
      <c r="B3026" s="10"/>
      <c r="C3026" s="10"/>
      <c r="D3026" s="10"/>
      <c r="E3026" s="10"/>
      <c r="F3026" s="10"/>
      <c r="G3026" s="10"/>
      <c r="H3026" s="10"/>
      <c r="I3026" s="10"/>
      <c r="J3026" s="10"/>
      <c r="K3026" s="10"/>
      <c r="L3026" s="10"/>
      <c r="M3026" s="10"/>
      <c r="N3026" s="10"/>
      <c r="O3026" s="10"/>
      <c r="P3026" s="10"/>
      <c r="Q3026" s="10"/>
      <c r="R3026" s="10"/>
      <c r="S3026" s="10"/>
      <c r="T3026" s="10"/>
      <c r="U3026" s="10"/>
      <c r="V3026" s="10"/>
      <c r="W3026" s="10"/>
      <c r="X3026" s="10"/>
      <c r="Y3026" s="10"/>
      <c r="Z3026" s="10"/>
      <c r="AA3026" s="10"/>
      <c r="AB3026" s="10"/>
      <c r="AC3026" s="10"/>
      <c r="AD3026" s="10"/>
      <c r="AE3026" s="10"/>
      <c r="AF3026" s="10"/>
      <c r="AG3026" s="10"/>
      <c r="AH3026" s="10"/>
      <c r="AI3026" s="10"/>
      <c r="AJ3026" s="10"/>
      <c r="AK3026" s="10"/>
      <c r="AL3026" s="10"/>
    </row>
    <row r="3027" spans="1:38">
      <c r="A3027" s="10"/>
      <c r="B3027" s="10"/>
      <c r="C3027" s="10"/>
      <c r="D3027" s="10"/>
      <c r="E3027" s="10"/>
      <c r="F3027" s="10"/>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0"/>
      <c r="AH3027" s="10"/>
      <c r="AI3027" s="10"/>
      <c r="AJ3027" s="10"/>
      <c r="AK3027" s="10"/>
      <c r="AL3027" s="10"/>
    </row>
    <row r="3028" spans="1:38">
      <c r="A3028" s="10"/>
      <c r="B3028" s="10"/>
      <c r="C3028" s="10"/>
      <c r="D3028" s="10"/>
      <c r="E3028" s="10"/>
      <c r="F3028" s="10"/>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0"/>
      <c r="AH3028" s="10"/>
      <c r="AI3028" s="10"/>
      <c r="AJ3028" s="10"/>
      <c r="AK3028" s="10"/>
      <c r="AL3028" s="10"/>
    </row>
    <row r="3029" spans="1:38">
      <c r="A3029" s="10"/>
      <c r="B3029" s="10"/>
      <c r="C3029" s="10"/>
      <c r="D3029" s="10"/>
      <c r="E3029" s="10"/>
      <c r="F3029" s="10"/>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0"/>
      <c r="AH3029" s="10"/>
      <c r="AI3029" s="10"/>
      <c r="AJ3029" s="10"/>
      <c r="AK3029" s="10"/>
      <c r="AL3029" s="10"/>
    </row>
    <row r="3030" spans="1:38">
      <c r="A3030" s="10"/>
      <c r="B3030" s="10"/>
      <c r="C3030" s="10"/>
      <c r="D3030" s="10"/>
      <c r="E3030" s="10"/>
      <c r="F3030" s="10"/>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0"/>
      <c r="AH3030" s="10"/>
      <c r="AI3030" s="10"/>
      <c r="AJ3030" s="10"/>
      <c r="AK3030" s="10"/>
      <c r="AL3030" s="10"/>
    </row>
    <row r="3031" spans="1:38">
      <c r="A3031" s="11"/>
      <c r="B3031" s="11"/>
      <c r="C3031" s="11"/>
      <c r="D3031" s="11"/>
      <c r="E3031" s="11"/>
      <c r="F3031" s="11"/>
      <c r="G3031" s="11"/>
      <c r="H3031" s="11"/>
      <c r="I3031" s="11"/>
      <c r="J3031" s="11"/>
      <c r="K3031" s="11"/>
      <c r="L3031" s="11"/>
      <c r="M3031" s="11"/>
      <c r="N3031" s="11"/>
      <c r="O3031" s="11"/>
      <c r="P3031" s="11"/>
      <c r="Q3031" s="11"/>
      <c r="R3031" s="11"/>
      <c r="S3031" s="11"/>
      <c r="T3031" s="11"/>
      <c r="U3031" s="11"/>
      <c r="V3031" s="11"/>
      <c r="W3031" s="11"/>
      <c r="X3031" s="11"/>
      <c r="Y3031" s="11"/>
      <c r="Z3031" s="11"/>
      <c r="AA3031" s="11"/>
      <c r="AB3031" s="11"/>
      <c r="AC3031" s="11"/>
      <c r="AD3031" s="11"/>
      <c r="AE3031" s="11"/>
      <c r="AF3031" s="11"/>
      <c r="AG3031" s="11"/>
      <c r="AH3031" s="11"/>
      <c r="AI3031" s="11"/>
      <c r="AJ3031" s="11"/>
      <c r="AK3031" s="11"/>
      <c r="AL3031" s="11"/>
    </row>
    <row r="3043" spans="1:38">
      <c r="A3043" s="14"/>
      <c r="B3043" s="14"/>
      <c r="C3043" s="14"/>
      <c r="D3043" s="14"/>
      <c r="E3043" s="14"/>
      <c r="F3043" s="14"/>
      <c r="G3043" s="14"/>
      <c r="H3043" s="14"/>
      <c r="I3043" s="14"/>
      <c r="J3043" s="14"/>
      <c r="K3043" s="14"/>
      <c r="L3043" s="14"/>
      <c r="M3043" s="14"/>
      <c r="N3043" s="14"/>
      <c r="O3043" s="14"/>
      <c r="P3043" s="14"/>
      <c r="Q3043" s="14"/>
      <c r="R3043" s="14"/>
      <c r="S3043" s="14"/>
      <c r="T3043" s="14"/>
      <c r="U3043" s="14"/>
      <c r="V3043" s="14"/>
      <c r="W3043" s="14"/>
      <c r="X3043" s="14"/>
      <c r="Y3043" s="14"/>
      <c r="Z3043" s="14"/>
      <c r="AA3043" s="14"/>
      <c r="AB3043" s="14"/>
      <c r="AC3043" s="14"/>
      <c r="AD3043" s="14"/>
      <c r="AE3043" s="14"/>
      <c r="AF3043" s="14"/>
      <c r="AG3043" s="14"/>
      <c r="AH3043" s="14"/>
      <c r="AI3043" s="14"/>
      <c r="AJ3043" s="14"/>
      <c r="AK3043" s="14"/>
      <c r="AL3043" s="14"/>
    </row>
    <row r="3044" spans="1:38">
      <c r="A3044" s="9"/>
      <c r="B3044" s="9"/>
      <c r="C3044" s="9"/>
      <c r="D3044" s="9"/>
      <c r="E3044" s="9"/>
      <c r="F3044" s="9"/>
      <c r="G3044" s="9"/>
      <c r="H3044" s="9"/>
      <c r="I3044" s="9"/>
      <c r="J3044" s="9"/>
      <c r="K3044" s="9"/>
      <c r="L3044" s="9"/>
      <c r="M3044" s="9"/>
      <c r="N3044" s="9"/>
      <c r="O3044" s="9"/>
      <c r="P3044" s="9"/>
      <c r="Q3044" s="9"/>
      <c r="R3044" s="9"/>
      <c r="S3044" s="9"/>
      <c r="T3044" s="9"/>
      <c r="U3044" s="9"/>
      <c r="V3044" s="9"/>
      <c r="W3044" s="9"/>
      <c r="X3044" s="9"/>
      <c r="Y3044" s="9"/>
      <c r="Z3044" s="9"/>
      <c r="AA3044" s="9"/>
      <c r="AB3044" s="9"/>
      <c r="AC3044" s="9"/>
      <c r="AD3044" s="9"/>
      <c r="AE3044" s="9"/>
      <c r="AF3044" s="9"/>
      <c r="AG3044" s="9"/>
      <c r="AH3044" s="9"/>
      <c r="AI3044" s="9"/>
      <c r="AJ3044" s="9"/>
      <c r="AK3044" s="9"/>
      <c r="AL3044" s="9"/>
    </row>
    <row r="3045" spans="1:38">
      <c r="A3045" s="10"/>
      <c r="B3045" s="10"/>
      <c r="C3045" s="10"/>
      <c r="D3045" s="10"/>
      <c r="E3045" s="10"/>
      <c r="F3045" s="10"/>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0"/>
      <c r="AH3045" s="10"/>
      <c r="AI3045" s="10"/>
      <c r="AJ3045" s="10"/>
      <c r="AK3045" s="10"/>
      <c r="AL3045" s="10"/>
    </row>
    <row r="3046" spans="1:38">
      <c r="A3046" s="10"/>
      <c r="B3046" s="10"/>
      <c r="C3046" s="10"/>
      <c r="D3046" s="10"/>
      <c r="E3046" s="10"/>
      <c r="F3046" s="10"/>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0"/>
      <c r="AH3046" s="10"/>
      <c r="AI3046" s="10"/>
      <c r="AJ3046" s="10"/>
      <c r="AK3046" s="10"/>
      <c r="AL3046" s="10"/>
    </row>
    <row r="3047" spans="1:38">
      <c r="A3047" s="10"/>
      <c r="B3047" s="10"/>
      <c r="C3047" s="10"/>
      <c r="D3047" s="10"/>
      <c r="E3047" s="10"/>
      <c r="F3047" s="10"/>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0"/>
      <c r="AH3047" s="10"/>
      <c r="AI3047" s="10"/>
      <c r="AJ3047" s="10"/>
      <c r="AK3047" s="10"/>
      <c r="AL3047" s="10"/>
    </row>
    <row r="3048" spans="1:38">
      <c r="A3048" s="10"/>
      <c r="B3048" s="10"/>
      <c r="C3048" s="10"/>
      <c r="D3048" s="10"/>
      <c r="E3048" s="10"/>
      <c r="F3048" s="10"/>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0"/>
      <c r="AH3048" s="10"/>
      <c r="AI3048" s="10"/>
      <c r="AJ3048" s="10"/>
      <c r="AK3048" s="10"/>
      <c r="AL3048" s="10"/>
    </row>
    <row r="3049" spans="1:38">
      <c r="A3049" s="10"/>
      <c r="B3049" s="10"/>
      <c r="C3049" s="10"/>
      <c r="D3049" s="10"/>
      <c r="E3049" s="10"/>
      <c r="F3049" s="10"/>
      <c r="G3049" s="10"/>
      <c r="H3049" s="10"/>
      <c r="I3049" s="10"/>
      <c r="J3049" s="10"/>
      <c r="K3049" s="10"/>
      <c r="L3049" s="10"/>
      <c r="M3049" s="10"/>
      <c r="N3049" s="10"/>
      <c r="O3049" s="10"/>
      <c r="P3049" s="10"/>
      <c r="Q3049" s="10"/>
      <c r="R3049" s="10"/>
      <c r="S3049" s="10"/>
      <c r="T3049" s="10"/>
      <c r="U3049" s="10"/>
      <c r="V3049" s="10"/>
      <c r="W3049" s="10"/>
      <c r="X3049" s="10"/>
      <c r="Y3049" s="10"/>
      <c r="Z3049" s="10"/>
      <c r="AA3049" s="10"/>
      <c r="AB3049" s="10"/>
      <c r="AC3049" s="10"/>
      <c r="AD3049" s="10"/>
      <c r="AE3049" s="10"/>
      <c r="AF3049" s="10"/>
      <c r="AG3049" s="10"/>
      <c r="AH3049" s="10"/>
      <c r="AI3049" s="10"/>
      <c r="AJ3049" s="10"/>
      <c r="AK3049" s="10"/>
      <c r="AL3049" s="10"/>
    </row>
    <row r="3050" spans="1:38">
      <c r="A3050" s="10"/>
      <c r="B3050" s="10"/>
      <c r="C3050" s="10"/>
      <c r="D3050" s="10"/>
      <c r="E3050" s="10"/>
      <c r="F3050" s="10"/>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0"/>
      <c r="AH3050" s="10"/>
      <c r="AI3050" s="10"/>
      <c r="AJ3050" s="10"/>
      <c r="AK3050" s="10"/>
      <c r="AL3050" s="10"/>
    </row>
    <row r="3051" spans="1:38">
      <c r="A3051" s="10"/>
      <c r="B3051" s="10"/>
      <c r="C3051" s="10"/>
      <c r="D3051" s="10"/>
      <c r="E3051" s="10"/>
      <c r="F3051" s="10"/>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0"/>
      <c r="AH3051" s="10"/>
      <c r="AI3051" s="10"/>
      <c r="AJ3051" s="10"/>
      <c r="AK3051" s="10"/>
      <c r="AL3051" s="10"/>
    </row>
    <row r="3052" spans="1:38">
      <c r="A3052" s="10"/>
      <c r="B3052" s="10"/>
      <c r="C3052" s="10"/>
      <c r="D3052" s="10"/>
      <c r="E3052" s="10"/>
      <c r="F3052" s="10"/>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0"/>
      <c r="AH3052" s="10"/>
      <c r="AI3052" s="10"/>
      <c r="AJ3052" s="10"/>
      <c r="AK3052" s="10"/>
      <c r="AL3052" s="10"/>
    </row>
    <row r="3053" spans="1:38">
      <c r="A3053" s="10"/>
      <c r="B3053" s="10"/>
      <c r="C3053" s="10"/>
      <c r="D3053" s="10"/>
      <c r="E3053" s="10"/>
      <c r="F3053" s="10"/>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0"/>
      <c r="AH3053" s="10"/>
      <c r="AI3053" s="10"/>
      <c r="AJ3053" s="10"/>
      <c r="AK3053" s="10"/>
      <c r="AL3053" s="10"/>
    </row>
    <row r="3054" spans="1:38">
      <c r="A3054" s="10"/>
      <c r="B3054" s="10"/>
      <c r="C3054" s="10"/>
      <c r="D3054" s="10"/>
      <c r="E3054" s="10"/>
      <c r="F3054" s="10"/>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0"/>
      <c r="AH3054" s="10"/>
      <c r="AI3054" s="10"/>
      <c r="AJ3054" s="10"/>
      <c r="AK3054" s="10"/>
      <c r="AL3054" s="10"/>
    </row>
    <row r="3055" spans="1:38">
      <c r="A3055" s="10"/>
      <c r="B3055" s="10"/>
      <c r="C3055" s="10"/>
      <c r="D3055" s="10"/>
      <c r="E3055" s="10"/>
      <c r="F3055" s="10"/>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0"/>
      <c r="AH3055" s="10"/>
      <c r="AI3055" s="10"/>
      <c r="AJ3055" s="10"/>
      <c r="AK3055" s="10"/>
      <c r="AL3055" s="10"/>
    </row>
    <row r="3056" spans="1:38">
      <c r="A3056" s="11"/>
      <c r="B3056" s="11"/>
      <c r="C3056" s="11"/>
      <c r="D3056" s="11"/>
      <c r="E3056" s="11"/>
      <c r="F3056" s="11"/>
      <c r="G3056" s="11"/>
      <c r="H3056" s="11"/>
      <c r="I3056" s="11"/>
      <c r="J3056" s="11"/>
      <c r="K3056" s="11"/>
      <c r="L3056" s="11"/>
      <c r="M3056" s="11"/>
      <c r="N3056" s="11"/>
      <c r="O3056" s="11"/>
      <c r="P3056" s="11"/>
      <c r="Q3056" s="11"/>
      <c r="R3056" s="11"/>
      <c r="S3056" s="11"/>
      <c r="T3056" s="11"/>
      <c r="U3056" s="11"/>
      <c r="V3056" s="11"/>
      <c r="W3056" s="11"/>
      <c r="X3056" s="11"/>
      <c r="Y3056" s="11"/>
      <c r="Z3056" s="11"/>
      <c r="AA3056" s="11"/>
      <c r="AB3056" s="11"/>
      <c r="AC3056" s="11"/>
      <c r="AD3056" s="11"/>
      <c r="AE3056" s="11"/>
      <c r="AF3056" s="11"/>
      <c r="AG3056" s="11"/>
      <c r="AH3056" s="11"/>
      <c r="AI3056" s="11"/>
      <c r="AJ3056" s="11"/>
      <c r="AK3056" s="11"/>
      <c r="AL3056" s="11"/>
    </row>
    <row r="3066" spans="1:38">
      <c r="A3066" s="14"/>
      <c r="B3066" s="14"/>
      <c r="C3066" s="14"/>
      <c r="D3066" s="14"/>
      <c r="E3066" s="14"/>
      <c r="F3066" s="14"/>
      <c r="G3066" s="14"/>
      <c r="H3066" s="14"/>
      <c r="I3066" s="14"/>
      <c r="J3066" s="14"/>
      <c r="K3066" s="14"/>
      <c r="L3066" s="14"/>
      <c r="M3066" s="14"/>
      <c r="N3066" s="14"/>
      <c r="O3066" s="14"/>
      <c r="P3066" s="14"/>
      <c r="Q3066" s="14"/>
      <c r="R3066" s="14"/>
      <c r="S3066" s="14"/>
      <c r="T3066" s="14"/>
      <c r="U3066" s="14"/>
      <c r="V3066" s="14"/>
      <c r="W3066" s="14"/>
      <c r="X3066" s="14"/>
      <c r="Y3066" s="14"/>
      <c r="Z3066" s="14"/>
      <c r="AA3066" s="14"/>
      <c r="AB3066" s="14"/>
      <c r="AC3066" s="14"/>
      <c r="AD3066" s="14"/>
      <c r="AE3066" s="14"/>
      <c r="AF3066" s="14"/>
      <c r="AG3066" s="14"/>
      <c r="AH3066" s="14"/>
      <c r="AI3066" s="14"/>
      <c r="AJ3066" s="14"/>
      <c r="AK3066" s="14"/>
      <c r="AL3066" s="14"/>
    </row>
    <row r="3067" spans="1:38">
      <c r="A3067" s="9"/>
      <c r="B3067" s="9"/>
      <c r="C3067" s="9"/>
      <c r="D3067" s="9"/>
      <c r="E3067" s="9"/>
      <c r="F3067" s="9"/>
      <c r="G3067" s="9"/>
      <c r="H3067" s="9"/>
      <c r="I3067" s="9"/>
      <c r="J3067" s="9"/>
      <c r="K3067" s="9"/>
      <c r="L3067" s="9"/>
      <c r="M3067" s="9"/>
      <c r="N3067" s="9"/>
      <c r="O3067" s="9"/>
      <c r="P3067" s="9"/>
      <c r="Q3067" s="9"/>
      <c r="R3067" s="9"/>
      <c r="S3067" s="9"/>
      <c r="T3067" s="9"/>
      <c r="U3067" s="9"/>
      <c r="V3067" s="9"/>
      <c r="W3067" s="9"/>
      <c r="X3067" s="9"/>
      <c r="Y3067" s="9"/>
      <c r="Z3067" s="9"/>
      <c r="AA3067" s="9"/>
      <c r="AB3067" s="9"/>
      <c r="AC3067" s="9"/>
      <c r="AD3067" s="9"/>
      <c r="AE3067" s="9"/>
      <c r="AF3067" s="9"/>
      <c r="AG3067" s="9"/>
      <c r="AH3067" s="9"/>
      <c r="AI3067" s="9"/>
      <c r="AJ3067" s="9"/>
      <c r="AK3067" s="9"/>
      <c r="AL3067" s="9"/>
    </row>
    <row r="3068" spans="1:38">
      <c r="A3068" s="10"/>
      <c r="B3068" s="10"/>
      <c r="C3068" s="10"/>
      <c r="D3068" s="10"/>
      <c r="E3068" s="10"/>
      <c r="F3068" s="10"/>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0"/>
      <c r="AH3068" s="10"/>
      <c r="AI3068" s="10"/>
      <c r="AJ3068" s="10"/>
      <c r="AK3068" s="10"/>
      <c r="AL3068" s="10"/>
    </row>
    <row r="3069" spans="1:38">
      <c r="A3069" s="10"/>
      <c r="B3069" s="10"/>
      <c r="C3069" s="10"/>
      <c r="D3069" s="10"/>
      <c r="E3069" s="10"/>
      <c r="F3069" s="10"/>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0"/>
      <c r="AH3069" s="10"/>
      <c r="AI3069" s="10"/>
      <c r="AJ3069" s="10"/>
      <c r="AK3069" s="10"/>
      <c r="AL3069" s="10"/>
    </row>
    <row r="3070" spans="1:38">
      <c r="A3070" s="10"/>
      <c r="B3070" s="10"/>
      <c r="C3070" s="10"/>
      <c r="D3070" s="10"/>
      <c r="E3070" s="10"/>
      <c r="F3070" s="10"/>
      <c r="G3070" s="10"/>
      <c r="H3070" s="10"/>
      <c r="I3070" s="10"/>
      <c r="J3070" s="10"/>
      <c r="K3070" s="10"/>
      <c r="L3070" s="10"/>
      <c r="M3070" s="10"/>
      <c r="N3070" s="10"/>
      <c r="O3070" s="10"/>
      <c r="P3070" s="10"/>
      <c r="Q3070" s="10"/>
      <c r="R3070" s="10"/>
      <c r="S3070" s="10"/>
      <c r="T3070" s="10"/>
      <c r="U3070" s="10"/>
      <c r="V3070" s="10"/>
      <c r="W3070" s="10"/>
      <c r="X3070" s="10"/>
      <c r="Y3070" s="10"/>
      <c r="Z3070" s="10"/>
      <c r="AA3070" s="10"/>
      <c r="AB3070" s="10"/>
      <c r="AC3070" s="10"/>
      <c r="AD3070" s="10"/>
      <c r="AE3070" s="10"/>
      <c r="AF3070" s="10"/>
      <c r="AG3070" s="10"/>
      <c r="AH3070" s="10"/>
      <c r="AI3070" s="10"/>
      <c r="AJ3070" s="10"/>
      <c r="AK3070" s="10"/>
      <c r="AL3070" s="10"/>
    </row>
    <row r="3071" spans="1:38">
      <c r="A3071" s="10"/>
      <c r="B3071" s="10"/>
      <c r="C3071" s="10"/>
      <c r="D3071" s="10"/>
      <c r="E3071" s="10"/>
      <c r="F3071" s="10"/>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0"/>
      <c r="AH3071" s="10"/>
      <c r="AI3071" s="10"/>
      <c r="AJ3071" s="10"/>
      <c r="AK3071" s="10"/>
      <c r="AL3071" s="10"/>
    </row>
    <row r="3072" spans="1:38">
      <c r="A3072" s="10"/>
      <c r="B3072" s="10"/>
      <c r="C3072" s="10"/>
      <c r="D3072" s="10"/>
      <c r="E3072" s="10"/>
      <c r="F3072" s="10"/>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0"/>
      <c r="AH3072" s="10"/>
      <c r="AI3072" s="10"/>
      <c r="AJ3072" s="10"/>
      <c r="AK3072" s="10"/>
      <c r="AL3072" s="10"/>
    </row>
    <row r="3073" spans="1:38">
      <c r="A3073" s="10"/>
      <c r="B3073" s="10"/>
      <c r="C3073" s="10"/>
      <c r="D3073" s="10"/>
      <c r="E3073" s="10"/>
      <c r="F3073" s="10"/>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0"/>
      <c r="AH3073" s="10"/>
      <c r="AI3073" s="10"/>
      <c r="AJ3073" s="10"/>
      <c r="AK3073" s="10"/>
      <c r="AL3073" s="10"/>
    </row>
    <row r="3074" spans="1:38">
      <c r="A3074" s="10"/>
      <c r="B3074" s="10"/>
      <c r="C3074" s="10"/>
      <c r="D3074" s="10"/>
      <c r="E3074" s="10"/>
      <c r="F3074" s="10"/>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0"/>
      <c r="AH3074" s="10"/>
      <c r="AI3074" s="10"/>
      <c r="AJ3074" s="10"/>
      <c r="AK3074" s="10"/>
      <c r="AL3074" s="10"/>
    </row>
    <row r="3075" spans="1:38">
      <c r="A3075" s="10"/>
      <c r="B3075" s="10"/>
      <c r="C3075" s="10"/>
      <c r="D3075" s="10"/>
      <c r="E3075" s="10"/>
      <c r="F3075" s="10"/>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0"/>
      <c r="AH3075" s="10"/>
      <c r="AI3075" s="10"/>
      <c r="AJ3075" s="10"/>
      <c r="AK3075" s="10"/>
      <c r="AL3075" s="10"/>
    </row>
    <row r="3076" spans="1:38">
      <c r="A3076" s="10"/>
      <c r="B3076" s="10"/>
      <c r="C3076" s="10"/>
      <c r="D3076" s="10"/>
      <c r="E3076" s="10"/>
      <c r="F3076" s="10"/>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0"/>
      <c r="AH3076" s="10"/>
      <c r="AI3076" s="10"/>
      <c r="AJ3076" s="10"/>
      <c r="AK3076" s="10"/>
      <c r="AL3076" s="10"/>
    </row>
    <row r="3077" spans="1:38">
      <c r="A3077" s="10"/>
      <c r="B3077" s="10"/>
      <c r="C3077" s="10"/>
      <c r="D3077" s="10"/>
      <c r="E3077" s="10"/>
      <c r="F3077" s="10"/>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0"/>
      <c r="AH3077" s="10"/>
      <c r="AI3077" s="10"/>
      <c r="AJ3077" s="10"/>
      <c r="AK3077" s="10"/>
      <c r="AL3077" s="10"/>
    </row>
    <row r="3078" spans="1:38">
      <c r="A3078" s="9"/>
      <c r="B3078" s="9"/>
      <c r="C3078" s="9"/>
      <c r="D3078" s="9"/>
      <c r="E3078" s="9"/>
      <c r="F3078" s="9"/>
      <c r="G3078" s="9"/>
      <c r="H3078" s="9"/>
      <c r="I3078" s="9"/>
      <c r="J3078" s="9"/>
      <c r="K3078" s="9"/>
      <c r="L3078" s="9"/>
      <c r="M3078" s="9"/>
      <c r="N3078" s="9"/>
      <c r="O3078" s="9"/>
      <c r="P3078" s="9"/>
      <c r="Q3078" s="9"/>
      <c r="R3078" s="9"/>
      <c r="S3078" s="9"/>
      <c r="T3078" s="9"/>
      <c r="U3078" s="9"/>
      <c r="V3078" s="9"/>
      <c r="W3078" s="9"/>
      <c r="X3078" s="9"/>
      <c r="Y3078" s="9"/>
      <c r="Z3078" s="9"/>
      <c r="AA3078" s="9"/>
      <c r="AB3078" s="9"/>
      <c r="AC3078" s="9"/>
      <c r="AD3078" s="9"/>
      <c r="AE3078" s="9"/>
      <c r="AF3078" s="9"/>
      <c r="AG3078" s="9"/>
      <c r="AH3078" s="9"/>
      <c r="AI3078" s="9"/>
      <c r="AJ3078" s="9"/>
      <c r="AK3078" s="9"/>
      <c r="AL3078" s="9"/>
    </row>
    <row r="3079" spans="1:38">
      <c r="A3079" s="11"/>
      <c r="B3079" s="11"/>
      <c r="C3079" s="11"/>
      <c r="D3079" s="11"/>
      <c r="E3079" s="11"/>
      <c r="F3079" s="11"/>
      <c r="G3079" s="11"/>
      <c r="H3079" s="11"/>
      <c r="I3079" s="11"/>
      <c r="J3079" s="11"/>
      <c r="K3079" s="11"/>
      <c r="L3079" s="11"/>
      <c r="M3079" s="11"/>
      <c r="N3079" s="11"/>
      <c r="O3079" s="11"/>
      <c r="P3079" s="11"/>
      <c r="Q3079" s="11"/>
      <c r="R3079" s="11"/>
      <c r="S3079" s="11"/>
      <c r="T3079" s="11"/>
      <c r="U3079" s="11"/>
      <c r="V3079" s="11"/>
      <c r="W3079" s="11"/>
      <c r="X3079" s="11"/>
      <c r="Y3079" s="11"/>
      <c r="Z3079" s="11"/>
      <c r="AA3079" s="11"/>
      <c r="AB3079" s="11"/>
      <c r="AC3079" s="11"/>
      <c r="AD3079" s="11"/>
      <c r="AE3079" s="11"/>
      <c r="AF3079" s="11"/>
      <c r="AG3079" s="11"/>
      <c r="AH3079" s="11"/>
      <c r="AI3079" s="11"/>
      <c r="AJ3079" s="11"/>
      <c r="AK3079" s="11"/>
      <c r="AL3079" s="11"/>
    </row>
    <row r="3087" spans="1:38">
      <c r="A3087" s="14"/>
      <c r="B3087" s="14"/>
      <c r="C3087" s="14"/>
      <c r="D3087" s="14"/>
      <c r="E3087" s="14"/>
      <c r="F3087" s="14"/>
      <c r="G3087" s="14"/>
      <c r="H3087" s="14"/>
      <c r="I3087" s="14"/>
      <c r="J3087" s="14"/>
      <c r="K3087" s="14"/>
      <c r="L3087" s="14"/>
      <c r="M3087" s="14"/>
      <c r="N3087" s="14"/>
      <c r="O3087" s="14"/>
      <c r="P3087" s="14"/>
      <c r="Q3087" s="14"/>
      <c r="R3087" s="14"/>
      <c r="S3087" s="14"/>
      <c r="T3087" s="14"/>
      <c r="U3087" s="14"/>
      <c r="V3087" s="14"/>
      <c r="W3087" s="14"/>
      <c r="X3087" s="14"/>
      <c r="Y3087" s="14"/>
      <c r="Z3087" s="14"/>
      <c r="AA3087" s="14"/>
      <c r="AB3087" s="14"/>
      <c r="AC3087" s="14"/>
      <c r="AD3087" s="14"/>
      <c r="AE3087" s="14"/>
      <c r="AF3087" s="14"/>
      <c r="AG3087" s="14"/>
      <c r="AH3087" s="14"/>
      <c r="AI3087" s="14"/>
      <c r="AJ3087" s="14"/>
      <c r="AK3087" s="14"/>
      <c r="AL3087" s="14"/>
    </row>
    <row r="3088" spans="1:38">
      <c r="A3088" s="9"/>
      <c r="B3088" s="9"/>
      <c r="C3088" s="9"/>
      <c r="D3088" s="9"/>
      <c r="E3088" s="9"/>
      <c r="F3088" s="9"/>
      <c r="G3088" s="9"/>
      <c r="H3088" s="9"/>
      <c r="I3088" s="9"/>
      <c r="J3088" s="9"/>
      <c r="K3088" s="9"/>
      <c r="L3088" s="9"/>
      <c r="M3088" s="9"/>
      <c r="N3088" s="9"/>
      <c r="O3088" s="9"/>
      <c r="P3088" s="9"/>
      <c r="Q3088" s="9"/>
      <c r="R3088" s="9"/>
      <c r="S3088" s="9"/>
      <c r="T3088" s="9"/>
      <c r="U3088" s="9"/>
      <c r="V3088" s="9"/>
      <c r="W3088" s="9"/>
      <c r="X3088" s="9"/>
      <c r="Y3088" s="9"/>
      <c r="Z3088" s="9"/>
      <c r="AA3088" s="9"/>
      <c r="AB3088" s="9"/>
      <c r="AC3088" s="9"/>
      <c r="AD3088" s="9"/>
      <c r="AE3088" s="9"/>
      <c r="AF3088" s="9"/>
      <c r="AG3088" s="9"/>
      <c r="AH3088" s="9"/>
      <c r="AI3088" s="9"/>
      <c r="AJ3088" s="9"/>
      <c r="AK3088" s="9"/>
      <c r="AL3088" s="9"/>
    </row>
    <row r="3089" spans="1:38">
      <c r="A3089" s="10"/>
      <c r="B3089" s="10"/>
      <c r="C3089" s="10"/>
      <c r="D3089" s="10"/>
      <c r="E3089" s="10"/>
      <c r="F3089" s="10"/>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0"/>
      <c r="AH3089" s="10"/>
      <c r="AI3089" s="10"/>
      <c r="AJ3089" s="10"/>
      <c r="AK3089" s="10"/>
      <c r="AL3089" s="10"/>
    </row>
    <row r="3090" spans="1:38">
      <c r="A3090" s="10"/>
      <c r="B3090" s="10"/>
      <c r="C3090" s="10"/>
      <c r="D3090" s="10"/>
      <c r="E3090" s="10"/>
      <c r="F3090" s="10"/>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0"/>
      <c r="AH3090" s="10"/>
      <c r="AI3090" s="10"/>
      <c r="AJ3090" s="10"/>
      <c r="AK3090" s="10"/>
      <c r="AL3090" s="10"/>
    </row>
    <row r="3091" spans="1:38">
      <c r="A3091" s="10"/>
      <c r="B3091" s="10"/>
      <c r="C3091" s="10"/>
      <c r="D3091" s="10"/>
      <c r="E3091" s="10"/>
      <c r="F3091" s="10"/>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0"/>
      <c r="AH3091" s="10"/>
      <c r="AI3091" s="10"/>
      <c r="AJ3091" s="10"/>
      <c r="AK3091" s="10"/>
      <c r="AL3091" s="10"/>
    </row>
    <row r="3092" spans="1:38">
      <c r="A3092" s="10"/>
      <c r="B3092" s="10"/>
      <c r="C3092" s="10"/>
      <c r="D3092" s="10"/>
      <c r="E3092" s="10"/>
      <c r="F3092" s="10"/>
      <c r="G3092" s="10"/>
      <c r="H3092" s="10"/>
      <c r="I3092" s="10"/>
      <c r="J3092" s="10"/>
      <c r="K3092" s="10"/>
      <c r="L3092" s="10"/>
      <c r="M3092" s="10"/>
      <c r="N3092" s="10"/>
      <c r="O3092" s="10"/>
      <c r="P3092" s="10"/>
      <c r="Q3092" s="10"/>
      <c r="R3092" s="10"/>
      <c r="S3092" s="10"/>
      <c r="T3092" s="10"/>
      <c r="U3092" s="10"/>
      <c r="V3092" s="10"/>
      <c r="W3092" s="10"/>
      <c r="X3092" s="10"/>
      <c r="Y3092" s="10"/>
      <c r="Z3092" s="10"/>
      <c r="AA3092" s="10"/>
      <c r="AB3092" s="10"/>
      <c r="AC3092" s="10"/>
      <c r="AD3092" s="10"/>
      <c r="AE3092" s="10"/>
      <c r="AF3092" s="10"/>
      <c r="AG3092" s="10"/>
      <c r="AH3092" s="10"/>
      <c r="AI3092" s="10"/>
      <c r="AJ3092" s="10"/>
      <c r="AK3092" s="10"/>
      <c r="AL3092" s="10"/>
    </row>
    <row r="3093" spans="1:38">
      <c r="A3093" s="10"/>
      <c r="B3093" s="10"/>
      <c r="C3093" s="10"/>
      <c r="D3093" s="10"/>
      <c r="E3093" s="10"/>
      <c r="F3093" s="10"/>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0"/>
      <c r="AH3093" s="10"/>
      <c r="AI3093" s="10"/>
      <c r="AJ3093" s="10"/>
      <c r="AK3093" s="10"/>
      <c r="AL3093" s="10"/>
    </row>
    <row r="3094" spans="1:38">
      <c r="A3094" s="10"/>
      <c r="B3094" s="10"/>
      <c r="C3094" s="10"/>
      <c r="D3094" s="10"/>
      <c r="E3094" s="10"/>
      <c r="F3094" s="10"/>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0"/>
      <c r="AH3094" s="10"/>
      <c r="AI3094" s="10"/>
      <c r="AJ3094" s="10"/>
      <c r="AK3094" s="10"/>
      <c r="AL3094" s="10"/>
    </row>
    <row r="3095" spans="1:38">
      <c r="A3095" s="10"/>
      <c r="B3095" s="10"/>
      <c r="C3095" s="10"/>
      <c r="D3095" s="10"/>
      <c r="E3095" s="10"/>
      <c r="F3095" s="10"/>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0"/>
      <c r="AH3095" s="10"/>
      <c r="AI3095" s="10"/>
      <c r="AJ3095" s="10"/>
      <c r="AK3095" s="10"/>
      <c r="AL3095" s="10"/>
    </row>
    <row r="3096" spans="1:38">
      <c r="A3096" s="10"/>
      <c r="B3096" s="10"/>
      <c r="C3096" s="10"/>
      <c r="D3096" s="10"/>
      <c r="E3096" s="10"/>
      <c r="F3096" s="10"/>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0"/>
      <c r="AH3096" s="10"/>
      <c r="AI3096" s="10"/>
      <c r="AJ3096" s="10"/>
      <c r="AK3096" s="10"/>
      <c r="AL3096" s="10"/>
    </row>
    <row r="3097" spans="1:38">
      <c r="A3097" s="10"/>
      <c r="B3097" s="10"/>
      <c r="C3097" s="10"/>
      <c r="D3097" s="10"/>
      <c r="E3097" s="10"/>
      <c r="F3097" s="10"/>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0"/>
      <c r="AH3097" s="10"/>
      <c r="AI3097" s="10"/>
      <c r="AJ3097" s="10"/>
      <c r="AK3097" s="10"/>
      <c r="AL3097" s="10"/>
    </row>
    <row r="3098" spans="1:38">
      <c r="A3098" s="10"/>
      <c r="B3098" s="10"/>
      <c r="C3098" s="10"/>
      <c r="D3098" s="10"/>
      <c r="E3098" s="10"/>
      <c r="F3098" s="10"/>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0"/>
      <c r="AH3098" s="10"/>
      <c r="AI3098" s="10"/>
      <c r="AJ3098" s="10"/>
      <c r="AK3098" s="10"/>
      <c r="AL3098" s="10"/>
    </row>
    <row r="3099" spans="1:38">
      <c r="A3099" s="10"/>
      <c r="B3099" s="10"/>
      <c r="C3099" s="10"/>
      <c r="D3099" s="10"/>
      <c r="E3099" s="10"/>
      <c r="F3099" s="10"/>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0"/>
      <c r="AH3099" s="10"/>
      <c r="AI3099" s="10"/>
      <c r="AJ3099" s="10"/>
      <c r="AK3099" s="10"/>
      <c r="AL3099" s="10"/>
    </row>
    <row r="3100" spans="1:38">
      <c r="A3100" s="11"/>
      <c r="B3100" s="11"/>
      <c r="C3100" s="11"/>
      <c r="D3100" s="11"/>
      <c r="E3100" s="11"/>
      <c r="F3100" s="11"/>
      <c r="G3100" s="11"/>
      <c r="H3100" s="11"/>
      <c r="I3100" s="11"/>
      <c r="J3100" s="11"/>
      <c r="K3100" s="11"/>
      <c r="L3100" s="11"/>
      <c r="M3100" s="11"/>
      <c r="N3100" s="11"/>
      <c r="O3100" s="11"/>
      <c r="P3100" s="11"/>
      <c r="Q3100" s="11"/>
      <c r="R3100" s="11"/>
      <c r="S3100" s="11"/>
      <c r="T3100" s="11"/>
      <c r="U3100" s="11"/>
      <c r="V3100" s="11"/>
      <c r="W3100" s="11"/>
      <c r="X3100" s="11"/>
      <c r="Y3100" s="11"/>
      <c r="Z3100" s="11"/>
      <c r="AA3100" s="11"/>
      <c r="AB3100" s="11"/>
      <c r="AC3100" s="11"/>
      <c r="AD3100" s="11"/>
      <c r="AE3100" s="11"/>
      <c r="AF3100" s="11"/>
      <c r="AG3100" s="11"/>
      <c r="AH3100" s="11"/>
      <c r="AI3100" s="11"/>
      <c r="AJ3100" s="11"/>
      <c r="AK3100" s="11"/>
      <c r="AL3100" s="11"/>
    </row>
    <row r="3106" spans="1:38">
      <c r="A3106" s="14"/>
      <c r="B3106" s="14"/>
      <c r="C3106" s="14"/>
      <c r="D3106" s="14"/>
      <c r="E3106" s="14"/>
      <c r="F3106" s="14"/>
      <c r="G3106" s="14"/>
      <c r="H3106" s="14"/>
      <c r="I3106" s="14"/>
      <c r="J3106" s="14"/>
      <c r="K3106" s="14"/>
      <c r="L3106" s="14"/>
      <c r="M3106" s="14"/>
      <c r="N3106" s="14"/>
      <c r="O3106" s="14"/>
      <c r="P3106" s="14"/>
      <c r="Q3106" s="14"/>
      <c r="R3106" s="14"/>
      <c r="S3106" s="14"/>
      <c r="T3106" s="14"/>
      <c r="U3106" s="14"/>
      <c r="V3106" s="14"/>
      <c r="W3106" s="14"/>
      <c r="X3106" s="14"/>
      <c r="Y3106" s="14"/>
      <c r="Z3106" s="14"/>
      <c r="AA3106" s="14"/>
      <c r="AB3106" s="14"/>
      <c r="AC3106" s="14"/>
      <c r="AD3106" s="14"/>
      <c r="AE3106" s="14"/>
      <c r="AF3106" s="14"/>
      <c r="AG3106" s="14"/>
      <c r="AH3106" s="14"/>
      <c r="AI3106" s="14"/>
      <c r="AJ3106" s="14"/>
      <c r="AK3106" s="14"/>
      <c r="AL3106" s="14"/>
    </row>
    <row r="3107" spans="1:38">
      <c r="A3107" s="9"/>
      <c r="B3107" s="9"/>
      <c r="C3107" s="9"/>
      <c r="D3107" s="9"/>
      <c r="E3107" s="9"/>
      <c r="F3107" s="9"/>
      <c r="G3107" s="9"/>
      <c r="H3107" s="9"/>
      <c r="I3107" s="9"/>
      <c r="J3107" s="9"/>
      <c r="K3107" s="9"/>
      <c r="L3107" s="9"/>
      <c r="M3107" s="9"/>
      <c r="N3107" s="9"/>
      <c r="O3107" s="9"/>
      <c r="P3107" s="9"/>
      <c r="Q3107" s="9"/>
      <c r="R3107" s="9"/>
      <c r="S3107" s="9"/>
      <c r="T3107" s="9"/>
      <c r="U3107" s="9"/>
      <c r="V3107" s="9"/>
      <c r="W3107" s="9"/>
      <c r="X3107" s="9"/>
      <c r="Y3107" s="9"/>
      <c r="Z3107" s="9"/>
      <c r="AA3107" s="9"/>
      <c r="AB3107" s="9"/>
      <c r="AC3107" s="9"/>
      <c r="AD3107" s="9"/>
      <c r="AE3107" s="9"/>
      <c r="AF3107" s="9"/>
      <c r="AG3107" s="9"/>
      <c r="AH3107" s="9"/>
      <c r="AI3107" s="9"/>
      <c r="AJ3107" s="9"/>
      <c r="AK3107" s="9"/>
      <c r="AL3107" s="9"/>
    </row>
    <row r="3108" spans="1:38">
      <c r="A3108" s="10"/>
      <c r="B3108" s="10"/>
      <c r="C3108" s="10"/>
      <c r="D3108" s="10"/>
      <c r="E3108" s="10"/>
      <c r="F3108" s="10"/>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0"/>
      <c r="AH3108" s="10"/>
      <c r="AI3108" s="10"/>
      <c r="AJ3108" s="10"/>
      <c r="AK3108" s="10"/>
      <c r="AL3108" s="10"/>
    </row>
    <row r="3109" spans="1:38">
      <c r="A3109" s="10"/>
      <c r="B3109" s="10"/>
      <c r="C3109" s="10"/>
      <c r="D3109" s="10"/>
      <c r="E3109" s="10"/>
      <c r="F3109" s="10"/>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0"/>
      <c r="AH3109" s="10"/>
      <c r="AI3109" s="10"/>
      <c r="AJ3109" s="10"/>
      <c r="AK3109" s="10"/>
      <c r="AL3109" s="10"/>
    </row>
    <row r="3110" spans="1:38">
      <c r="A3110" s="10"/>
      <c r="B3110" s="10"/>
      <c r="C3110" s="10"/>
      <c r="D3110" s="10"/>
      <c r="E3110" s="10"/>
      <c r="F3110" s="10"/>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0"/>
      <c r="AH3110" s="10"/>
      <c r="AI3110" s="10"/>
      <c r="AJ3110" s="10"/>
      <c r="AK3110" s="10"/>
      <c r="AL3110" s="10"/>
    </row>
    <row r="3111" spans="1:38">
      <c r="A3111" s="10"/>
      <c r="B3111" s="10"/>
      <c r="C3111" s="10"/>
      <c r="D3111" s="10"/>
      <c r="E3111" s="10"/>
      <c r="F3111" s="10"/>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0"/>
      <c r="AH3111" s="10"/>
      <c r="AI3111" s="10"/>
      <c r="AJ3111" s="10"/>
      <c r="AK3111" s="10"/>
      <c r="AL3111" s="10"/>
    </row>
    <row r="3112" spans="1:38">
      <c r="A3112" s="10"/>
      <c r="B3112" s="10"/>
      <c r="C3112" s="10"/>
      <c r="D3112" s="10"/>
      <c r="E3112" s="10"/>
      <c r="F3112" s="10"/>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0"/>
      <c r="AH3112" s="10"/>
      <c r="AI3112" s="10"/>
      <c r="AJ3112" s="10"/>
      <c r="AK3112" s="10"/>
      <c r="AL3112" s="10"/>
    </row>
    <row r="3113" spans="1:38">
      <c r="A3113" s="10"/>
      <c r="B3113" s="10"/>
      <c r="C3113" s="10"/>
      <c r="D3113" s="10"/>
      <c r="E3113" s="10"/>
      <c r="F3113" s="10"/>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0"/>
      <c r="AH3113" s="10"/>
      <c r="AI3113" s="10"/>
      <c r="AJ3113" s="10"/>
      <c r="AK3113" s="10"/>
      <c r="AL3113" s="10"/>
    </row>
    <row r="3114" spans="1:38">
      <c r="A3114" s="10"/>
      <c r="B3114" s="10"/>
      <c r="C3114" s="10"/>
      <c r="D3114" s="10"/>
      <c r="E3114" s="10"/>
      <c r="F3114" s="10"/>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0"/>
      <c r="AH3114" s="10"/>
      <c r="AI3114" s="10"/>
      <c r="AJ3114" s="10"/>
      <c r="AK3114" s="10"/>
      <c r="AL3114" s="10"/>
    </row>
    <row r="3115" spans="1:38">
      <c r="A3115" s="10"/>
      <c r="B3115" s="10"/>
      <c r="C3115" s="10"/>
      <c r="D3115" s="10"/>
      <c r="E3115" s="10"/>
      <c r="F3115" s="10"/>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0"/>
      <c r="AH3115" s="10"/>
      <c r="AI3115" s="10"/>
      <c r="AJ3115" s="10"/>
      <c r="AK3115" s="10"/>
      <c r="AL3115" s="10"/>
    </row>
    <row r="3116" spans="1:38">
      <c r="A3116" s="10"/>
      <c r="B3116" s="10"/>
      <c r="C3116" s="10"/>
      <c r="D3116" s="10"/>
      <c r="E3116" s="10"/>
      <c r="F3116" s="10"/>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0"/>
      <c r="AH3116" s="10"/>
      <c r="AI3116" s="10"/>
      <c r="AJ3116" s="10"/>
      <c r="AK3116" s="10"/>
      <c r="AL3116" s="10"/>
    </row>
    <row r="3117" spans="1:38">
      <c r="A3117" s="10"/>
      <c r="B3117" s="10"/>
      <c r="C3117" s="10"/>
      <c r="D3117" s="10"/>
      <c r="E3117" s="10"/>
      <c r="F3117" s="10"/>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0"/>
      <c r="AH3117" s="10"/>
      <c r="AI3117" s="10"/>
      <c r="AJ3117" s="10"/>
      <c r="AK3117" s="10"/>
      <c r="AL3117" s="10"/>
    </row>
    <row r="3118" spans="1:38">
      <c r="A3118" s="10"/>
      <c r="B3118" s="10"/>
      <c r="C3118" s="10"/>
      <c r="D3118" s="10"/>
      <c r="E3118" s="10"/>
      <c r="F3118" s="10"/>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0"/>
      <c r="AH3118" s="10"/>
      <c r="AI3118" s="10"/>
      <c r="AJ3118" s="10"/>
      <c r="AK3118" s="10"/>
      <c r="AL3118" s="10"/>
    </row>
    <row r="3119" spans="1:38">
      <c r="A3119" s="11"/>
      <c r="B3119" s="11"/>
      <c r="C3119" s="11"/>
      <c r="D3119" s="11"/>
      <c r="E3119" s="11"/>
      <c r="F3119" s="11"/>
      <c r="G3119" s="11"/>
      <c r="H3119" s="11"/>
      <c r="I3119" s="11"/>
      <c r="J3119" s="11"/>
      <c r="K3119" s="11"/>
      <c r="L3119" s="11"/>
      <c r="M3119" s="11"/>
      <c r="N3119" s="11"/>
      <c r="O3119" s="11"/>
      <c r="P3119" s="11"/>
      <c r="Q3119" s="11"/>
      <c r="R3119" s="11"/>
      <c r="S3119" s="11"/>
      <c r="T3119" s="11"/>
      <c r="U3119" s="11"/>
      <c r="V3119" s="11"/>
      <c r="W3119" s="11"/>
      <c r="X3119" s="11"/>
      <c r="Y3119" s="11"/>
      <c r="Z3119" s="11"/>
      <c r="AA3119" s="11"/>
      <c r="AB3119" s="11"/>
      <c r="AC3119" s="11"/>
      <c r="AD3119" s="11"/>
      <c r="AE3119" s="11"/>
      <c r="AF3119" s="11"/>
      <c r="AG3119" s="11"/>
      <c r="AH3119" s="11"/>
      <c r="AI3119" s="11"/>
      <c r="AJ3119" s="11"/>
      <c r="AK3119" s="11"/>
      <c r="AL3119" s="11"/>
    </row>
    <row r="3130" spans="1:38">
      <c r="A3130" s="14"/>
      <c r="B3130" s="14"/>
      <c r="C3130" s="14"/>
      <c r="D3130" s="14"/>
      <c r="E3130" s="14"/>
      <c r="F3130" s="14"/>
      <c r="G3130" s="14"/>
      <c r="H3130" s="14"/>
      <c r="I3130" s="14"/>
      <c r="J3130" s="14"/>
      <c r="K3130" s="14"/>
      <c r="L3130" s="14"/>
      <c r="M3130" s="14"/>
      <c r="N3130" s="14"/>
      <c r="O3130" s="14"/>
      <c r="P3130" s="14"/>
      <c r="Q3130" s="14"/>
      <c r="R3130" s="14"/>
      <c r="S3130" s="14"/>
      <c r="T3130" s="14"/>
      <c r="U3130" s="14"/>
      <c r="V3130" s="14"/>
      <c r="W3130" s="14"/>
      <c r="X3130" s="14"/>
      <c r="Y3130" s="14"/>
      <c r="Z3130" s="14"/>
      <c r="AA3130" s="14"/>
      <c r="AB3130" s="14"/>
      <c r="AC3130" s="14"/>
      <c r="AD3130" s="14"/>
      <c r="AE3130" s="14"/>
      <c r="AF3130" s="14"/>
      <c r="AG3130" s="14"/>
      <c r="AH3130" s="14"/>
      <c r="AI3130" s="14"/>
      <c r="AJ3130" s="14"/>
      <c r="AK3130" s="14"/>
      <c r="AL3130" s="14"/>
    </row>
    <row r="3131" spans="1:38">
      <c r="A3131" s="9"/>
      <c r="B3131" s="9"/>
      <c r="C3131" s="9"/>
      <c r="D3131" s="9"/>
      <c r="E3131" s="9"/>
      <c r="F3131" s="9"/>
      <c r="G3131" s="9"/>
      <c r="H3131" s="9"/>
      <c r="I3131" s="9"/>
      <c r="J3131" s="9"/>
      <c r="K3131" s="9"/>
      <c r="L3131" s="9"/>
      <c r="M3131" s="9"/>
      <c r="N3131" s="9"/>
      <c r="O3131" s="9"/>
      <c r="P3131" s="9"/>
      <c r="Q3131" s="9"/>
      <c r="R3131" s="9"/>
      <c r="S3131" s="9"/>
      <c r="T3131" s="9"/>
      <c r="U3131" s="9"/>
      <c r="V3131" s="9"/>
      <c r="W3131" s="9"/>
      <c r="X3131" s="9"/>
      <c r="Y3131" s="9"/>
      <c r="Z3131" s="9"/>
      <c r="AA3131" s="9"/>
      <c r="AB3131" s="9"/>
      <c r="AC3131" s="9"/>
      <c r="AD3131" s="9"/>
      <c r="AE3131" s="9"/>
      <c r="AF3131" s="9"/>
      <c r="AG3131" s="9"/>
      <c r="AH3131" s="9"/>
      <c r="AI3131" s="9"/>
      <c r="AJ3131" s="9"/>
      <c r="AK3131" s="9"/>
      <c r="AL3131" s="9"/>
    </row>
    <row r="3132" spans="1:38">
      <c r="A3132" s="10"/>
      <c r="B3132" s="10"/>
      <c r="C3132" s="10"/>
      <c r="D3132" s="10"/>
      <c r="E3132" s="10"/>
      <c r="F3132" s="10"/>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0"/>
      <c r="AH3132" s="10"/>
      <c r="AI3132" s="10"/>
      <c r="AJ3132" s="10"/>
      <c r="AK3132" s="10"/>
      <c r="AL3132" s="10"/>
    </row>
    <row r="3133" spans="1:38">
      <c r="A3133" s="10"/>
      <c r="B3133" s="10"/>
      <c r="C3133" s="10"/>
      <c r="D3133" s="10"/>
      <c r="E3133" s="10"/>
      <c r="F3133" s="10"/>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0"/>
      <c r="AH3133" s="10"/>
      <c r="AI3133" s="10"/>
      <c r="AJ3133" s="10"/>
      <c r="AK3133" s="10"/>
      <c r="AL3133" s="10"/>
    </row>
    <row r="3134" spans="1:38">
      <c r="A3134" s="10"/>
      <c r="B3134" s="10"/>
      <c r="C3134" s="10"/>
      <c r="D3134" s="10"/>
      <c r="E3134" s="10"/>
      <c r="F3134" s="10"/>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0"/>
      <c r="AH3134" s="10"/>
      <c r="AI3134" s="10"/>
      <c r="AJ3134" s="10"/>
      <c r="AK3134" s="10"/>
      <c r="AL3134" s="10"/>
    </row>
    <row r="3135" spans="1:38">
      <c r="A3135" s="10"/>
      <c r="B3135" s="10"/>
      <c r="C3135" s="10"/>
      <c r="D3135" s="10"/>
      <c r="E3135" s="10"/>
      <c r="F3135" s="10"/>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0"/>
      <c r="AH3135" s="10"/>
      <c r="AI3135" s="10"/>
      <c r="AJ3135" s="10"/>
      <c r="AK3135" s="10"/>
      <c r="AL3135" s="10"/>
    </row>
    <row r="3136" spans="1:38">
      <c r="A3136" s="10"/>
      <c r="B3136" s="10"/>
      <c r="C3136" s="10"/>
      <c r="D3136" s="10"/>
      <c r="E3136" s="10"/>
      <c r="F3136" s="10"/>
      <c r="G3136" s="10"/>
      <c r="H3136" s="10"/>
      <c r="I3136" s="10"/>
      <c r="J3136" s="10"/>
      <c r="K3136" s="10"/>
      <c r="L3136" s="10"/>
      <c r="M3136" s="10"/>
      <c r="N3136" s="10"/>
      <c r="O3136" s="10"/>
      <c r="P3136" s="10"/>
      <c r="Q3136" s="10"/>
      <c r="R3136" s="10"/>
      <c r="S3136" s="10"/>
      <c r="T3136" s="10"/>
      <c r="U3136" s="10"/>
      <c r="V3136" s="10"/>
      <c r="W3136" s="10"/>
      <c r="X3136" s="10"/>
      <c r="Y3136" s="10"/>
      <c r="Z3136" s="10"/>
      <c r="AA3136" s="10"/>
      <c r="AB3136" s="10"/>
      <c r="AC3136" s="10"/>
      <c r="AD3136" s="10"/>
      <c r="AE3136" s="10"/>
      <c r="AF3136" s="10"/>
      <c r="AG3136" s="10"/>
      <c r="AH3136" s="10"/>
      <c r="AI3136" s="10"/>
      <c r="AJ3136" s="10"/>
      <c r="AK3136" s="10"/>
      <c r="AL3136" s="10"/>
    </row>
    <row r="3137" spans="1:38">
      <c r="A3137" s="10"/>
      <c r="B3137" s="10"/>
      <c r="C3137" s="10"/>
      <c r="D3137" s="10"/>
      <c r="E3137" s="10"/>
      <c r="F3137" s="10"/>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0"/>
      <c r="AH3137" s="10"/>
      <c r="AI3137" s="10"/>
      <c r="AJ3137" s="10"/>
      <c r="AK3137" s="10"/>
      <c r="AL3137" s="10"/>
    </row>
    <row r="3138" spans="1:38">
      <c r="A3138" s="10"/>
      <c r="B3138" s="10"/>
      <c r="C3138" s="10"/>
      <c r="D3138" s="10"/>
      <c r="E3138" s="10"/>
      <c r="F3138" s="10"/>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0"/>
      <c r="AH3138" s="10"/>
      <c r="AI3138" s="10"/>
      <c r="AJ3138" s="10"/>
      <c r="AK3138" s="10"/>
      <c r="AL3138" s="10"/>
    </row>
    <row r="3139" spans="1:38">
      <c r="A3139" s="10"/>
      <c r="B3139" s="10"/>
      <c r="C3139" s="10"/>
      <c r="D3139" s="10"/>
      <c r="E3139" s="10"/>
      <c r="F3139" s="10"/>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0"/>
      <c r="AH3139" s="10"/>
      <c r="AI3139" s="10"/>
      <c r="AJ3139" s="10"/>
      <c r="AK3139" s="10"/>
      <c r="AL3139" s="10"/>
    </row>
    <row r="3140" spans="1:38">
      <c r="A3140" s="10"/>
      <c r="B3140" s="10"/>
      <c r="C3140" s="10"/>
      <c r="D3140" s="10"/>
      <c r="E3140" s="10"/>
      <c r="F3140" s="10"/>
      <c r="G3140" s="10"/>
      <c r="H3140" s="10"/>
      <c r="I3140" s="10"/>
      <c r="J3140" s="10"/>
      <c r="K3140" s="10"/>
      <c r="L3140" s="10"/>
      <c r="M3140" s="10"/>
      <c r="N3140" s="10"/>
      <c r="O3140" s="10"/>
      <c r="P3140" s="10"/>
      <c r="Q3140" s="10"/>
      <c r="R3140" s="10"/>
      <c r="S3140" s="10"/>
      <c r="T3140" s="10"/>
      <c r="U3140" s="10"/>
      <c r="V3140" s="10"/>
      <c r="W3140" s="10"/>
      <c r="X3140" s="10"/>
      <c r="Y3140" s="10"/>
      <c r="Z3140" s="10"/>
      <c r="AA3140" s="10"/>
      <c r="AB3140" s="10"/>
      <c r="AC3140" s="10"/>
      <c r="AD3140" s="10"/>
      <c r="AE3140" s="10"/>
      <c r="AF3140" s="10"/>
      <c r="AG3140" s="10"/>
      <c r="AH3140" s="10"/>
      <c r="AI3140" s="10"/>
      <c r="AJ3140" s="10"/>
      <c r="AK3140" s="10"/>
      <c r="AL3140" s="10"/>
    </row>
    <row r="3141" spans="1:38">
      <c r="A3141" s="10"/>
      <c r="B3141" s="10"/>
      <c r="C3141" s="10"/>
      <c r="D3141" s="10"/>
      <c r="E3141" s="10"/>
      <c r="F3141" s="10"/>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0"/>
      <c r="AH3141" s="10"/>
      <c r="AI3141" s="10"/>
      <c r="AJ3141" s="10"/>
      <c r="AK3141" s="10"/>
      <c r="AL3141" s="10"/>
    </row>
    <row r="3143" spans="1:38">
      <c r="A3143" s="11"/>
      <c r="B3143" s="11"/>
      <c r="C3143" s="11"/>
      <c r="D3143" s="11"/>
      <c r="E3143" s="11"/>
      <c r="F3143" s="11"/>
      <c r="G3143" s="11"/>
      <c r="H3143" s="11"/>
      <c r="I3143" s="11"/>
      <c r="J3143" s="11"/>
      <c r="K3143" s="11"/>
      <c r="L3143" s="11"/>
      <c r="M3143" s="11"/>
      <c r="N3143" s="11"/>
      <c r="O3143" s="11"/>
      <c r="P3143" s="11"/>
      <c r="Q3143" s="11"/>
      <c r="R3143" s="11"/>
      <c r="S3143" s="11"/>
      <c r="T3143" s="11"/>
      <c r="U3143" s="11"/>
      <c r="V3143" s="11"/>
      <c r="W3143" s="11"/>
      <c r="X3143" s="11"/>
      <c r="Y3143" s="11"/>
      <c r="Z3143" s="11"/>
      <c r="AA3143" s="11"/>
      <c r="AB3143" s="11"/>
      <c r="AC3143" s="11"/>
      <c r="AD3143" s="11"/>
      <c r="AE3143" s="11"/>
      <c r="AF3143" s="11"/>
      <c r="AG3143" s="11"/>
      <c r="AH3143" s="11"/>
      <c r="AI3143" s="11"/>
      <c r="AJ3143" s="11"/>
      <c r="AK3143" s="11"/>
      <c r="AL3143" s="11"/>
    </row>
    <row r="3151" spans="1:38">
      <c r="A3151" s="14"/>
      <c r="B3151" s="14"/>
      <c r="C3151" s="14"/>
      <c r="D3151" s="14"/>
      <c r="E3151" s="14"/>
      <c r="F3151" s="14"/>
      <c r="G3151" s="14"/>
      <c r="H3151" s="14"/>
      <c r="I3151" s="14"/>
      <c r="J3151" s="14"/>
      <c r="K3151" s="14"/>
      <c r="L3151" s="14"/>
      <c r="M3151" s="14"/>
      <c r="N3151" s="14"/>
      <c r="O3151" s="14"/>
      <c r="P3151" s="14"/>
      <c r="Q3151" s="14"/>
      <c r="R3151" s="14"/>
      <c r="S3151" s="14"/>
      <c r="T3151" s="14"/>
      <c r="U3151" s="14"/>
      <c r="V3151" s="14"/>
      <c r="W3151" s="14"/>
      <c r="X3151" s="14"/>
      <c r="Y3151" s="14"/>
      <c r="Z3151" s="14"/>
      <c r="AA3151" s="14"/>
      <c r="AB3151" s="14"/>
      <c r="AC3151" s="14"/>
      <c r="AD3151" s="14"/>
      <c r="AE3151" s="14"/>
      <c r="AF3151" s="14"/>
      <c r="AG3151" s="14"/>
      <c r="AH3151" s="14"/>
      <c r="AI3151" s="14"/>
      <c r="AJ3151" s="14"/>
      <c r="AK3151" s="14"/>
      <c r="AL3151" s="14"/>
    </row>
    <row r="3152" spans="1:38">
      <c r="A3152" s="9"/>
      <c r="B3152" s="9"/>
      <c r="C3152" s="9"/>
      <c r="D3152" s="9"/>
      <c r="E3152" s="9"/>
      <c r="F3152" s="9"/>
      <c r="G3152" s="9"/>
      <c r="H3152" s="9"/>
      <c r="I3152" s="9"/>
      <c r="J3152" s="9"/>
      <c r="K3152" s="9"/>
      <c r="L3152" s="9"/>
      <c r="M3152" s="9"/>
      <c r="N3152" s="9"/>
      <c r="O3152" s="9"/>
      <c r="P3152" s="9"/>
      <c r="Q3152" s="9"/>
      <c r="R3152" s="9"/>
      <c r="S3152" s="9"/>
      <c r="T3152" s="9"/>
      <c r="U3152" s="9"/>
      <c r="V3152" s="9"/>
      <c r="W3152" s="9"/>
      <c r="X3152" s="9"/>
      <c r="Y3152" s="9"/>
      <c r="Z3152" s="9"/>
      <c r="AA3152" s="9"/>
      <c r="AB3152" s="9"/>
      <c r="AC3152" s="9"/>
      <c r="AD3152" s="9"/>
      <c r="AE3152" s="9"/>
      <c r="AF3152" s="9"/>
      <c r="AG3152" s="9"/>
      <c r="AH3152" s="9"/>
      <c r="AI3152" s="9"/>
      <c r="AJ3152" s="9"/>
      <c r="AK3152" s="9"/>
      <c r="AL3152" s="9"/>
    </row>
    <row r="3153" spans="1:38">
      <c r="A3153" s="10"/>
      <c r="B3153" s="10"/>
      <c r="C3153" s="10"/>
      <c r="D3153" s="10"/>
      <c r="E3153" s="10"/>
      <c r="F3153" s="10"/>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0"/>
      <c r="AH3153" s="10"/>
      <c r="AI3153" s="10"/>
      <c r="AJ3153" s="10"/>
      <c r="AK3153" s="10"/>
      <c r="AL3153" s="10"/>
    </row>
    <row r="3154" spans="1:38">
      <c r="A3154" s="10"/>
      <c r="B3154" s="10"/>
      <c r="C3154" s="10"/>
      <c r="D3154" s="10"/>
      <c r="E3154" s="10"/>
      <c r="F3154" s="10"/>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0"/>
      <c r="AH3154" s="10"/>
      <c r="AI3154" s="10"/>
      <c r="AJ3154" s="10"/>
      <c r="AK3154" s="10"/>
      <c r="AL3154" s="10"/>
    </row>
    <row r="3155" spans="1:38">
      <c r="A3155" s="10"/>
      <c r="B3155" s="10"/>
      <c r="C3155" s="10"/>
      <c r="D3155" s="10"/>
      <c r="E3155" s="10"/>
      <c r="F3155" s="10"/>
      <c r="G3155" s="10"/>
      <c r="H3155" s="10"/>
      <c r="I3155" s="10"/>
      <c r="J3155" s="10"/>
      <c r="K3155" s="10"/>
      <c r="L3155" s="10"/>
      <c r="M3155" s="10"/>
      <c r="N3155" s="10"/>
      <c r="O3155" s="10"/>
      <c r="P3155" s="10"/>
      <c r="Q3155" s="10"/>
      <c r="R3155" s="10"/>
      <c r="S3155" s="10"/>
      <c r="T3155" s="10"/>
      <c r="U3155" s="10"/>
      <c r="V3155" s="10"/>
      <c r="W3155" s="10"/>
      <c r="X3155" s="10"/>
      <c r="Y3155" s="10"/>
      <c r="Z3155" s="10"/>
      <c r="AA3155" s="10"/>
      <c r="AB3155" s="10"/>
      <c r="AC3155" s="10"/>
      <c r="AD3155" s="10"/>
      <c r="AE3155" s="10"/>
      <c r="AF3155" s="10"/>
      <c r="AG3155" s="10"/>
      <c r="AH3155" s="10"/>
      <c r="AI3155" s="10"/>
      <c r="AJ3155" s="10"/>
      <c r="AK3155" s="10"/>
      <c r="AL3155" s="10"/>
    </row>
    <row r="3156" spans="1:38">
      <c r="A3156" s="10"/>
      <c r="B3156" s="10"/>
      <c r="C3156" s="10"/>
      <c r="D3156" s="10"/>
      <c r="E3156" s="10"/>
      <c r="F3156" s="10"/>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0"/>
      <c r="AH3156" s="10"/>
      <c r="AI3156" s="10"/>
      <c r="AJ3156" s="10"/>
      <c r="AK3156" s="10"/>
      <c r="AL3156" s="10"/>
    </row>
    <row r="3157" spans="1:38">
      <c r="A3157" s="10"/>
      <c r="B3157" s="10"/>
      <c r="C3157" s="10"/>
      <c r="D3157" s="10"/>
      <c r="E3157" s="10"/>
      <c r="F3157" s="10"/>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0"/>
      <c r="AH3157" s="10"/>
      <c r="AI3157" s="10"/>
      <c r="AJ3157" s="10"/>
      <c r="AK3157" s="10"/>
      <c r="AL3157" s="10"/>
    </row>
    <row r="3158" spans="1:38">
      <c r="A3158" s="10"/>
      <c r="B3158" s="10"/>
      <c r="C3158" s="10"/>
      <c r="D3158" s="10"/>
      <c r="E3158" s="10"/>
      <c r="F3158" s="10"/>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0"/>
      <c r="AH3158" s="10"/>
      <c r="AI3158" s="10"/>
      <c r="AJ3158" s="10"/>
      <c r="AK3158" s="10"/>
      <c r="AL3158" s="10"/>
    </row>
    <row r="3159" spans="1:38">
      <c r="A3159" s="10"/>
      <c r="B3159" s="10"/>
      <c r="C3159" s="10"/>
      <c r="D3159" s="10"/>
      <c r="E3159" s="10"/>
      <c r="F3159" s="10"/>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0"/>
      <c r="AH3159" s="10"/>
      <c r="AI3159" s="10"/>
      <c r="AJ3159" s="10"/>
      <c r="AK3159" s="10"/>
      <c r="AL3159" s="10"/>
    </row>
    <row r="3160" spans="1:38">
      <c r="A3160" s="10"/>
      <c r="B3160" s="10"/>
      <c r="C3160" s="10"/>
      <c r="D3160" s="10"/>
      <c r="E3160" s="10"/>
      <c r="F3160" s="10"/>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0"/>
      <c r="AH3160" s="10"/>
      <c r="AI3160" s="10"/>
      <c r="AJ3160" s="10"/>
      <c r="AK3160" s="10"/>
      <c r="AL3160" s="10"/>
    </row>
    <row r="3161" spans="1:38">
      <c r="A3161" s="10"/>
      <c r="B3161" s="10"/>
      <c r="C3161" s="10"/>
      <c r="D3161" s="10"/>
      <c r="E3161" s="10"/>
      <c r="F3161" s="10"/>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0"/>
      <c r="AH3161" s="10"/>
      <c r="AI3161" s="10"/>
      <c r="AJ3161" s="10"/>
      <c r="AK3161" s="10"/>
      <c r="AL3161" s="10"/>
    </row>
    <row r="3162" spans="1:38">
      <c r="A3162" s="10"/>
      <c r="B3162" s="10"/>
      <c r="C3162" s="10"/>
      <c r="D3162" s="10"/>
      <c r="E3162" s="10"/>
      <c r="F3162" s="10"/>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0"/>
      <c r="AH3162" s="10"/>
      <c r="AI3162" s="10"/>
      <c r="AJ3162" s="10"/>
      <c r="AK3162" s="10"/>
      <c r="AL3162" s="10"/>
    </row>
    <row r="3163" spans="1:38">
      <c r="A3163" s="9"/>
      <c r="B3163" s="9"/>
      <c r="C3163" s="9"/>
      <c r="D3163" s="9"/>
      <c r="E3163" s="9"/>
      <c r="F3163" s="9"/>
      <c r="G3163" s="9"/>
      <c r="H3163" s="9"/>
      <c r="I3163" s="9"/>
      <c r="J3163" s="9"/>
      <c r="K3163" s="9"/>
      <c r="L3163" s="9"/>
      <c r="M3163" s="9"/>
      <c r="N3163" s="9"/>
      <c r="O3163" s="9"/>
      <c r="P3163" s="9"/>
      <c r="Q3163" s="9"/>
      <c r="R3163" s="9"/>
      <c r="S3163" s="9"/>
      <c r="T3163" s="9"/>
      <c r="U3163" s="9"/>
      <c r="V3163" s="9"/>
      <c r="W3163" s="9"/>
      <c r="X3163" s="9"/>
      <c r="Y3163" s="9"/>
      <c r="Z3163" s="9"/>
      <c r="AA3163" s="9"/>
      <c r="AB3163" s="9"/>
      <c r="AC3163" s="9"/>
      <c r="AD3163" s="9"/>
      <c r="AE3163" s="9"/>
      <c r="AF3163" s="9"/>
      <c r="AG3163" s="9"/>
      <c r="AH3163" s="9"/>
      <c r="AI3163" s="9"/>
      <c r="AJ3163" s="9"/>
      <c r="AK3163" s="9"/>
      <c r="AL3163" s="9"/>
    </row>
    <row r="3164" spans="1:38">
      <c r="A3164" s="11"/>
      <c r="B3164" s="11"/>
      <c r="C3164" s="11"/>
      <c r="D3164" s="11"/>
      <c r="E3164" s="11"/>
      <c r="F3164" s="11"/>
      <c r="G3164" s="11"/>
      <c r="H3164" s="11"/>
      <c r="I3164" s="11"/>
      <c r="J3164" s="11"/>
      <c r="K3164" s="11"/>
      <c r="L3164" s="11"/>
      <c r="M3164" s="11"/>
      <c r="N3164" s="11"/>
      <c r="O3164" s="11"/>
      <c r="P3164" s="11"/>
      <c r="Q3164" s="11"/>
      <c r="R3164" s="11"/>
      <c r="S3164" s="11"/>
      <c r="T3164" s="11"/>
      <c r="U3164" s="11"/>
      <c r="V3164" s="11"/>
      <c r="W3164" s="11"/>
      <c r="X3164" s="11"/>
      <c r="Y3164" s="11"/>
      <c r="Z3164" s="11"/>
      <c r="AA3164" s="11"/>
      <c r="AB3164" s="11"/>
      <c r="AC3164" s="11"/>
      <c r="AD3164" s="11"/>
      <c r="AE3164" s="11"/>
      <c r="AF3164" s="11"/>
      <c r="AG3164" s="11"/>
      <c r="AH3164" s="11"/>
      <c r="AI3164" s="11"/>
      <c r="AJ3164" s="11"/>
      <c r="AK3164" s="11"/>
      <c r="AL3164" s="11"/>
    </row>
    <row r="3171" spans="1:38">
      <c r="A3171" s="14"/>
      <c r="B3171" s="14"/>
      <c r="C3171" s="14"/>
      <c r="D3171" s="14"/>
      <c r="E3171" s="14"/>
      <c r="F3171" s="14"/>
      <c r="G3171" s="14"/>
      <c r="H3171" s="14"/>
      <c r="I3171" s="14"/>
      <c r="J3171" s="14"/>
      <c r="K3171" s="14"/>
      <c r="L3171" s="14"/>
      <c r="M3171" s="14"/>
      <c r="N3171" s="14"/>
      <c r="O3171" s="14"/>
      <c r="P3171" s="14"/>
      <c r="Q3171" s="14"/>
      <c r="R3171" s="14"/>
      <c r="S3171" s="14"/>
      <c r="T3171" s="14"/>
      <c r="U3171" s="14"/>
      <c r="V3171" s="14"/>
      <c r="W3171" s="14"/>
      <c r="X3171" s="14"/>
      <c r="Y3171" s="14"/>
      <c r="Z3171" s="14"/>
      <c r="AA3171" s="14"/>
      <c r="AB3171" s="14"/>
      <c r="AC3171" s="14"/>
      <c r="AD3171" s="14"/>
      <c r="AE3171" s="14"/>
      <c r="AF3171" s="14"/>
      <c r="AG3171" s="14"/>
      <c r="AH3171" s="14"/>
      <c r="AI3171" s="14"/>
      <c r="AJ3171" s="14"/>
      <c r="AK3171" s="14"/>
      <c r="AL3171" s="14"/>
    </row>
    <row r="3172" spans="1:38">
      <c r="A3172" s="9"/>
      <c r="B3172" s="9"/>
      <c r="C3172" s="9"/>
      <c r="D3172" s="9"/>
      <c r="E3172" s="9"/>
      <c r="F3172" s="9"/>
      <c r="G3172" s="9"/>
      <c r="H3172" s="9"/>
      <c r="I3172" s="9"/>
      <c r="J3172" s="9"/>
      <c r="K3172" s="9"/>
      <c r="L3172" s="9"/>
      <c r="M3172" s="9"/>
      <c r="N3172" s="9"/>
      <c r="O3172" s="9"/>
      <c r="P3172" s="9"/>
      <c r="Q3172" s="9"/>
      <c r="R3172" s="9"/>
      <c r="S3172" s="9"/>
      <c r="T3172" s="9"/>
      <c r="U3172" s="9"/>
      <c r="V3172" s="9"/>
      <c r="W3172" s="9"/>
      <c r="X3172" s="9"/>
      <c r="Y3172" s="9"/>
      <c r="Z3172" s="9"/>
      <c r="AA3172" s="9"/>
      <c r="AB3172" s="9"/>
      <c r="AC3172" s="9"/>
      <c r="AD3172" s="9"/>
      <c r="AE3172" s="9"/>
      <c r="AF3172" s="9"/>
      <c r="AG3172" s="9"/>
      <c r="AH3172" s="9"/>
      <c r="AI3172" s="9"/>
      <c r="AJ3172" s="9"/>
      <c r="AK3172" s="9"/>
      <c r="AL3172" s="9"/>
    </row>
    <row r="3173" spans="1:38">
      <c r="A3173" s="10"/>
      <c r="B3173" s="10"/>
      <c r="C3173" s="10"/>
      <c r="D3173" s="10"/>
      <c r="E3173" s="10"/>
      <c r="F3173" s="10"/>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0"/>
      <c r="AH3173" s="10"/>
      <c r="AI3173" s="10"/>
      <c r="AJ3173" s="10"/>
      <c r="AK3173" s="10"/>
      <c r="AL3173" s="10"/>
    </row>
    <row r="3174" spans="1:38">
      <c r="A3174" s="10"/>
      <c r="B3174" s="10"/>
      <c r="C3174" s="10"/>
      <c r="D3174" s="10"/>
      <c r="E3174" s="10"/>
      <c r="F3174" s="10"/>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0"/>
      <c r="AH3174" s="10"/>
      <c r="AI3174" s="10"/>
      <c r="AJ3174" s="10"/>
      <c r="AK3174" s="10"/>
      <c r="AL3174" s="10"/>
    </row>
    <row r="3175" spans="1:38">
      <c r="A3175" s="10"/>
      <c r="B3175" s="10"/>
      <c r="C3175" s="10"/>
      <c r="D3175" s="10"/>
      <c r="E3175" s="10"/>
      <c r="F3175" s="10"/>
      <c r="G3175" s="10"/>
      <c r="H3175" s="10"/>
      <c r="I3175" s="10"/>
      <c r="J3175" s="10"/>
      <c r="K3175" s="10"/>
      <c r="L3175" s="10"/>
      <c r="M3175" s="10"/>
      <c r="N3175" s="10"/>
      <c r="O3175" s="10"/>
      <c r="P3175" s="10"/>
      <c r="Q3175" s="10"/>
      <c r="R3175" s="10"/>
      <c r="S3175" s="10"/>
      <c r="T3175" s="10"/>
      <c r="U3175" s="10"/>
      <c r="V3175" s="10"/>
      <c r="W3175" s="10"/>
      <c r="X3175" s="10"/>
      <c r="Y3175" s="10"/>
      <c r="Z3175" s="10"/>
      <c r="AA3175" s="10"/>
      <c r="AB3175" s="10"/>
      <c r="AC3175" s="10"/>
      <c r="AD3175" s="10"/>
      <c r="AE3175" s="10"/>
      <c r="AF3175" s="10"/>
      <c r="AG3175" s="10"/>
      <c r="AH3175" s="10"/>
      <c r="AI3175" s="10"/>
      <c r="AJ3175" s="10"/>
      <c r="AK3175" s="10"/>
      <c r="AL3175" s="10"/>
    </row>
    <row r="3176" spans="1:38">
      <c r="A3176" s="10"/>
      <c r="B3176" s="10"/>
      <c r="C3176" s="10"/>
      <c r="D3176" s="10"/>
      <c r="E3176" s="10"/>
      <c r="F3176" s="10"/>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0"/>
      <c r="AH3176" s="10"/>
      <c r="AI3176" s="10"/>
      <c r="AJ3176" s="10"/>
      <c r="AK3176" s="10"/>
      <c r="AL3176" s="10"/>
    </row>
    <row r="3177" spans="1:38">
      <c r="A3177" s="10"/>
      <c r="B3177" s="10"/>
      <c r="C3177" s="10"/>
      <c r="D3177" s="10"/>
      <c r="E3177" s="10"/>
      <c r="F3177" s="10"/>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0"/>
      <c r="AH3177" s="10"/>
      <c r="AI3177" s="10"/>
      <c r="AJ3177" s="10"/>
      <c r="AK3177" s="10"/>
      <c r="AL3177" s="10"/>
    </row>
    <row r="3178" spans="1:38">
      <c r="A3178" s="10"/>
      <c r="B3178" s="10"/>
      <c r="C3178" s="10"/>
      <c r="D3178" s="10"/>
      <c r="E3178" s="10"/>
      <c r="F3178" s="10"/>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0"/>
      <c r="AH3178" s="10"/>
      <c r="AI3178" s="10"/>
      <c r="AJ3178" s="10"/>
      <c r="AK3178" s="10"/>
      <c r="AL3178" s="10"/>
    </row>
    <row r="3179" spans="1:38">
      <c r="A3179" s="10"/>
      <c r="B3179" s="10"/>
      <c r="C3179" s="10"/>
      <c r="D3179" s="10"/>
      <c r="E3179" s="10"/>
      <c r="F3179" s="10"/>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0"/>
      <c r="AH3179" s="10"/>
      <c r="AI3179" s="10"/>
      <c r="AJ3179" s="10"/>
      <c r="AK3179" s="10"/>
      <c r="AL3179" s="10"/>
    </row>
    <row r="3180" spans="1:38">
      <c r="A3180" s="10"/>
      <c r="B3180" s="10"/>
      <c r="C3180" s="10"/>
      <c r="D3180" s="10"/>
      <c r="E3180" s="10"/>
      <c r="F3180" s="10"/>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0"/>
      <c r="AH3180" s="10"/>
      <c r="AI3180" s="10"/>
      <c r="AJ3180" s="10"/>
      <c r="AK3180" s="10"/>
      <c r="AL3180" s="10"/>
    </row>
    <row r="3181" spans="1:38">
      <c r="A3181" s="10"/>
      <c r="B3181" s="10"/>
      <c r="C3181" s="10"/>
      <c r="D3181" s="10"/>
      <c r="E3181" s="10"/>
      <c r="F3181" s="10"/>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0"/>
      <c r="AH3181" s="10"/>
      <c r="AI3181" s="10"/>
      <c r="AJ3181" s="10"/>
      <c r="AK3181" s="10"/>
      <c r="AL3181" s="10"/>
    </row>
    <row r="3182" spans="1:38">
      <c r="A3182" s="10"/>
      <c r="B3182" s="10"/>
      <c r="C3182" s="10"/>
      <c r="D3182" s="10"/>
      <c r="E3182" s="10"/>
      <c r="F3182" s="10"/>
      <c r="G3182" s="10"/>
      <c r="H3182" s="10"/>
      <c r="I3182" s="10"/>
      <c r="J3182" s="10"/>
      <c r="K3182" s="10"/>
      <c r="L3182" s="10"/>
      <c r="M3182" s="10"/>
      <c r="N3182" s="10"/>
      <c r="O3182" s="10"/>
      <c r="P3182" s="10"/>
      <c r="Q3182" s="10"/>
      <c r="R3182" s="10"/>
      <c r="S3182" s="10"/>
      <c r="T3182" s="10"/>
      <c r="U3182" s="10"/>
      <c r="V3182" s="10"/>
      <c r="W3182" s="10"/>
      <c r="X3182" s="10"/>
      <c r="Y3182" s="10"/>
      <c r="Z3182" s="10"/>
      <c r="AA3182" s="10"/>
      <c r="AB3182" s="10"/>
      <c r="AC3182" s="10"/>
      <c r="AD3182" s="10"/>
      <c r="AE3182" s="10"/>
      <c r="AF3182" s="10"/>
      <c r="AG3182" s="10"/>
      <c r="AH3182" s="10"/>
      <c r="AI3182" s="10"/>
      <c r="AJ3182" s="10"/>
      <c r="AK3182" s="10"/>
      <c r="AL3182" s="10"/>
    </row>
    <row r="3183" spans="1:38">
      <c r="A3183" s="9"/>
      <c r="B3183" s="9"/>
      <c r="C3183" s="9"/>
      <c r="D3183" s="9"/>
      <c r="E3183" s="9"/>
      <c r="F3183" s="9"/>
      <c r="G3183" s="9"/>
      <c r="H3183" s="9"/>
      <c r="I3183" s="9"/>
      <c r="J3183" s="9"/>
      <c r="K3183" s="9"/>
      <c r="L3183" s="9"/>
      <c r="M3183" s="9"/>
      <c r="N3183" s="9"/>
      <c r="O3183" s="9"/>
      <c r="P3183" s="9"/>
      <c r="Q3183" s="9"/>
      <c r="R3183" s="9"/>
      <c r="S3183" s="9"/>
      <c r="T3183" s="9"/>
      <c r="U3183" s="9"/>
      <c r="V3183" s="9"/>
      <c r="W3183" s="9"/>
      <c r="X3183" s="9"/>
      <c r="Y3183" s="9"/>
      <c r="Z3183" s="9"/>
      <c r="AA3183" s="9"/>
      <c r="AB3183" s="9"/>
      <c r="AC3183" s="9"/>
      <c r="AD3183" s="9"/>
      <c r="AE3183" s="9"/>
      <c r="AF3183" s="9"/>
      <c r="AG3183" s="9"/>
      <c r="AH3183" s="9"/>
      <c r="AI3183" s="9"/>
      <c r="AJ3183" s="9"/>
      <c r="AK3183" s="9"/>
      <c r="AL3183" s="9"/>
    </row>
    <row r="3184" spans="1:38">
      <c r="A3184" s="10"/>
      <c r="B3184" s="10"/>
      <c r="C3184" s="10"/>
      <c r="D3184" s="10"/>
      <c r="E3184" s="10"/>
      <c r="F3184" s="10"/>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0"/>
      <c r="AH3184" s="10"/>
      <c r="AI3184" s="10"/>
      <c r="AJ3184" s="10"/>
      <c r="AK3184" s="10"/>
      <c r="AL3184" s="10"/>
    </row>
    <row r="3185" spans="1:38">
      <c r="A3185" s="10"/>
      <c r="B3185" s="10"/>
      <c r="C3185" s="10"/>
      <c r="D3185" s="10"/>
      <c r="E3185" s="10"/>
      <c r="F3185" s="10"/>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0"/>
      <c r="AH3185" s="10"/>
      <c r="AI3185" s="10"/>
      <c r="AJ3185" s="10"/>
      <c r="AK3185" s="10"/>
      <c r="AL3185" s="10"/>
    </row>
    <row r="3186" spans="1:38">
      <c r="A3186" s="10"/>
      <c r="B3186" s="10"/>
      <c r="C3186" s="10"/>
      <c r="D3186" s="10"/>
      <c r="E3186" s="10"/>
      <c r="F3186" s="10"/>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0"/>
      <c r="AH3186" s="10"/>
      <c r="AI3186" s="10"/>
      <c r="AJ3186" s="10"/>
      <c r="AK3186" s="10"/>
      <c r="AL3186" s="10"/>
    </row>
    <row r="3187" spans="1:38">
      <c r="A3187" s="10"/>
      <c r="B3187" s="10"/>
      <c r="C3187" s="10"/>
      <c r="D3187" s="10"/>
      <c r="E3187" s="10"/>
      <c r="F3187" s="10"/>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0"/>
      <c r="AH3187" s="10"/>
      <c r="AI3187" s="10"/>
      <c r="AJ3187" s="10"/>
      <c r="AK3187" s="10"/>
      <c r="AL3187" s="10"/>
    </row>
    <row r="3188" spans="1:38">
      <c r="A3188" s="10"/>
      <c r="B3188" s="10"/>
      <c r="C3188" s="10"/>
      <c r="D3188" s="10"/>
      <c r="E3188" s="10"/>
      <c r="F3188" s="10"/>
      <c r="G3188" s="10"/>
      <c r="H3188" s="10"/>
      <c r="I3188" s="10"/>
      <c r="J3188" s="10"/>
      <c r="K3188" s="10"/>
      <c r="L3188" s="10"/>
      <c r="M3188" s="10"/>
      <c r="N3188" s="10"/>
      <c r="O3188" s="10"/>
      <c r="P3188" s="10"/>
      <c r="Q3188" s="10"/>
      <c r="R3188" s="10"/>
      <c r="S3188" s="10"/>
      <c r="T3188" s="10"/>
      <c r="U3188" s="10"/>
      <c r="V3188" s="10"/>
      <c r="W3188" s="10"/>
      <c r="X3188" s="10"/>
      <c r="Y3188" s="10"/>
      <c r="Z3188" s="10"/>
      <c r="AA3188" s="10"/>
      <c r="AB3188" s="10"/>
      <c r="AC3188" s="10"/>
      <c r="AD3188" s="10"/>
      <c r="AE3188" s="10"/>
      <c r="AF3188" s="10"/>
      <c r="AG3188" s="10"/>
      <c r="AH3188" s="10"/>
      <c r="AI3188" s="10"/>
      <c r="AJ3188" s="10"/>
      <c r="AK3188" s="10"/>
      <c r="AL3188" s="10"/>
    </row>
    <row r="3189" spans="1:38">
      <c r="A3189" s="10"/>
      <c r="B3189" s="10"/>
      <c r="C3189" s="10"/>
      <c r="D3189" s="10"/>
      <c r="E3189" s="10"/>
      <c r="F3189" s="10"/>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0"/>
      <c r="AH3189" s="10"/>
      <c r="AI3189" s="10"/>
      <c r="AJ3189" s="10"/>
      <c r="AK3189" s="10"/>
      <c r="AL3189" s="10"/>
    </row>
    <row r="3190" spans="1:38">
      <c r="A3190" s="10"/>
      <c r="B3190" s="10"/>
      <c r="C3190" s="10"/>
      <c r="D3190" s="10"/>
      <c r="E3190" s="10"/>
      <c r="F3190" s="10"/>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0"/>
      <c r="AH3190" s="10"/>
      <c r="AI3190" s="10"/>
      <c r="AJ3190" s="10"/>
      <c r="AK3190" s="10"/>
      <c r="AL3190" s="10"/>
    </row>
    <row r="3191" spans="1:38">
      <c r="A3191" s="10"/>
      <c r="B3191" s="10"/>
      <c r="C3191" s="10"/>
      <c r="D3191" s="10"/>
      <c r="E3191" s="10"/>
      <c r="F3191" s="10"/>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0"/>
      <c r="AH3191" s="10"/>
      <c r="AI3191" s="10"/>
      <c r="AJ3191" s="10"/>
      <c r="AK3191" s="10"/>
      <c r="AL3191" s="10"/>
    </row>
    <row r="3192" spans="1:38">
      <c r="A3192" s="10"/>
      <c r="B3192" s="10"/>
      <c r="C3192" s="10"/>
      <c r="D3192" s="10"/>
      <c r="E3192" s="10"/>
      <c r="F3192" s="10"/>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0"/>
      <c r="AH3192" s="10"/>
      <c r="AI3192" s="10"/>
      <c r="AJ3192" s="10"/>
      <c r="AK3192" s="10"/>
      <c r="AL3192" s="10"/>
    </row>
    <row r="3193" spans="1:38">
      <c r="A3193" s="10"/>
      <c r="B3193" s="10"/>
      <c r="C3193" s="10"/>
      <c r="D3193" s="10"/>
      <c r="E3193" s="10"/>
      <c r="F3193" s="10"/>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0"/>
      <c r="AH3193" s="10"/>
      <c r="AI3193" s="10"/>
      <c r="AJ3193" s="10"/>
      <c r="AK3193" s="10"/>
      <c r="AL3193" s="10"/>
    </row>
    <row r="3194" spans="1:38">
      <c r="A3194" s="10"/>
      <c r="B3194" s="10"/>
      <c r="C3194" s="10"/>
      <c r="D3194" s="10"/>
      <c r="E3194" s="10"/>
      <c r="F3194" s="10"/>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0"/>
      <c r="AH3194" s="10"/>
      <c r="AI3194" s="10"/>
      <c r="AJ3194" s="10"/>
      <c r="AK3194" s="10"/>
      <c r="AL3194" s="10"/>
    </row>
    <row r="3195" spans="1:38">
      <c r="A3195" s="10"/>
      <c r="B3195" s="10"/>
      <c r="C3195" s="10"/>
      <c r="D3195" s="10"/>
      <c r="E3195" s="10"/>
      <c r="F3195" s="10"/>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0"/>
      <c r="AH3195" s="10"/>
      <c r="AI3195" s="10"/>
      <c r="AJ3195" s="10"/>
      <c r="AK3195" s="10"/>
      <c r="AL3195" s="10"/>
    </row>
    <row r="3196" spans="1:38">
      <c r="A3196" s="10"/>
      <c r="B3196" s="10"/>
      <c r="C3196" s="10"/>
      <c r="D3196" s="10"/>
      <c r="E3196" s="10"/>
      <c r="F3196" s="10"/>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0"/>
      <c r="AH3196" s="10"/>
      <c r="AI3196" s="10"/>
      <c r="AJ3196" s="10"/>
      <c r="AK3196" s="10"/>
      <c r="AL3196" s="10"/>
    </row>
    <row r="3197" spans="1:38">
      <c r="A3197" s="10"/>
      <c r="B3197" s="10"/>
      <c r="C3197" s="10"/>
      <c r="D3197" s="10"/>
      <c r="E3197" s="10"/>
      <c r="F3197" s="10"/>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0"/>
      <c r="AH3197" s="10"/>
      <c r="AI3197" s="10"/>
      <c r="AJ3197" s="10"/>
      <c r="AK3197" s="10"/>
      <c r="AL3197" s="10"/>
    </row>
    <row r="3198" spans="1:38">
      <c r="A3198" s="10"/>
      <c r="B3198" s="10"/>
      <c r="C3198" s="10"/>
      <c r="D3198" s="10"/>
      <c r="E3198" s="10"/>
      <c r="F3198" s="10"/>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0"/>
      <c r="AH3198" s="10"/>
      <c r="AI3198" s="10"/>
      <c r="AJ3198" s="10"/>
      <c r="AK3198" s="10"/>
      <c r="AL3198" s="10"/>
    </row>
    <row r="3199" spans="1:38">
      <c r="A3199" s="10"/>
      <c r="B3199" s="10"/>
      <c r="C3199" s="10"/>
      <c r="D3199" s="10"/>
      <c r="E3199" s="10"/>
      <c r="F3199" s="10"/>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0"/>
      <c r="AH3199" s="10"/>
      <c r="AI3199" s="10"/>
      <c r="AJ3199" s="10"/>
      <c r="AK3199" s="10"/>
      <c r="AL3199" s="10"/>
    </row>
    <row r="3200" spans="1:38">
      <c r="A3200" s="10"/>
      <c r="B3200" s="10"/>
      <c r="C3200" s="10"/>
      <c r="D3200" s="10"/>
      <c r="E3200" s="10"/>
      <c r="F3200" s="10"/>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0"/>
      <c r="AH3200" s="10"/>
      <c r="AI3200" s="10"/>
      <c r="AJ3200" s="10"/>
      <c r="AK3200" s="10"/>
      <c r="AL3200" s="10"/>
    </row>
    <row r="3201" spans="1:38">
      <c r="A3201" s="10"/>
      <c r="B3201" s="10"/>
      <c r="C3201" s="10"/>
      <c r="D3201" s="10"/>
      <c r="E3201" s="10"/>
      <c r="F3201" s="10"/>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0"/>
      <c r="AH3201" s="10"/>
      <c r="AI3201" s="10"/>
      <c r="AJ3201" s="10"/>
      <c r="AK3201" s="10"/>
      <c r="AL3201" s="10"/>
    </row>
    <row r="3202" spans="1:38">
      <c r="A3202" s="10"/>
      <c r="B3202" s="10"/>
      <c r="C3202" s="10"/>
      <c r="D3202" s="10"/>
      <c r="E3202" s="10"/>
      <c r="F3202" s="10"/>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0"/>
      <c r="AH3202" s="10"/>
      <c r="AI3202" s="10"/>
      <c r="AJ3202" s="10"/>
      <c r="AK3202" s="10"/>
      <c r="AL3202" s="10"/>
    </row>
    <row r="3203" spans="1:38">
      <c r="A3203" s="10"/>
      <c r="B3203" s="10"/>
      <c r="C3203" s="10"/>
      <c r="D3203" s="10"/>
      <c r="E3203" s="10"/>
      <c r="F3203" s="10"/>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0"/>
      <c r="AH3203" s="10"/>
      <c r="AI3203" s="10"/>
      <c r="AJ3203" s="10"/>
      <c r="AK3203" s="10"/>
      <c r="AL3203" s="10"/>
    </row>
    <row r="3204" spans="1:38">
      <c r="A3204" s="10"/>
      <c r="B3204" s="10"/>
      <c r="C3204" s="10"/>
      <c r="D3204" s="10"/>
      <c r="E3204" s="10"/>
      <c r="F3204" s="10"/>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0"/>
      <c r="AH3204" s="10"/>
      <c r="AI3204" s="10"/>
      <c r="AJ3204" s="10"/>
      <c r="AK3204" s="10"/>
      <c r="AL3204" s="10"/>
    </row>
    <row r="3205" spans="1:38">
      <c r="A3205" s="10"/>
      <c r="B3205" s="10"/>
      <c r="C3205" s="10"/>
      <c r="D3205" s="10"/>
      <c r="E3205" s="10"/>
      <c r="F3205" s="10"/>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0"/>
      <c r="AH3205" s="10"/>
      <c r="AI3205" s="10"/>
      <c r="AJ3205" s="10"/>
      <c r="AK3205" s="10"/>
      <c r="AL3205" s="10"/>
    </row>
    <row r="3206" spans="1:38">
      <c r="A3206" s="10"/>
      <c r="B3206" s="10"/>
      <c r="C3206" s="10"/>
      <c r="D3206" s="10"/>
      <c r="E3206" s="10"/>
      <c r="F3206" s="10"/>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0"/>
      <c r="AH3206" s="10"/>
      <c r="AI3206" s="10"/>
      <c r="AJ3206" s="10"/>
      <c r="AK3206" s="10"/>
      <c r="AL3206" s="10"/>
    </row>
    <row r="3207" spans="1:38">
      <c r="A3207" s="10"/>
      <c r="B3207" s="10"/>
      <c r="C3207" s="10"/>
      <c r="D3207" s="10"/>
      <c r="E3207" s="10"/>
      <c r="F3207" s="10"/>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0"/>
      <c r="AH3207" s="10"/>
      <c r="AI3207" s="10"/>
      <c r="AJ3207" s="10"/>
      <c r="AK3207" s="10"/>
      <c r="AL3207" s="10"/>
    </row>
    <row r="3208" spans="1:38">
      <c r="A3208" s="11"/>
      <c r="B3208" s="11"/>
      <c r="C3208" s="11"/>
      <c r="D3208" s="11"/>
      <c r="E3208" s="11"/>
      <c r="F3208" s="11"/>
      <c r="G3208" s="11"/>
      <c r="H3208" s="11"/>
      <c r="I3208" s="11"/>
      <c r="J3208" s="11"/>
      <c r="K3208" s="11"/>
      <c r="L3208" s="11"/>
      <c r="M3208" s="11"/>
      <c r="N3208" s="11"/>
      <c r="O3208" s="11"/>
      <c r="P3208" s="11"/>
      <c r="Q3208" s="11"/>
      <c r="R3208" s="11"/>
      <c r="S3208" s="11"/>
      <c r="T3208" s="11"/>
      <c r="U3208" s="11"/>
      <c r="V3208" s="11"/>
      <c r="W3208" s="11"/>
      <c r="X3208" s="11"/>
      <c r="Y3208" s="11"/>
      <c r="Z3208" s="11"/>
      <c r="AA3208" s="11"/>
      <c r="AB3208" s="11"/>
      <c r="AC3208" s="11"/>
      <c r="AD3208" s="11"/>
      <c r="AE3208" s="11"/>
      <c r="AF3208" s="11"/>
      <c r="AG3208" s="11"/>
      <c r="AH3208" s="11"/>
      <c r="AI3208" s="11"/>
      <c r="AJ3208" s="11"/>
      <c r="AK3208" s="11"/>
      <c r="AL3208" s="11"/>
    </row>
    <row r="3211" spans="1:38">
      <c r="A3211" s="14"/>
      <c r="B3211" s="14"/>
      <c r="C3211" s="14"/>
      <c r="D3211" s="14"/>
      <c r="E3211" s="14"/>
      <c r="F3211" s="14"/>
      <c r="G3211" s="14"/>
      <c r="H3211" s="14"/>
      <c r="I3211" s="14"/>
      <c r="J3211" s="14"/>
      <c r="K3211" s="14"/>
      <c r="L3211" s="14"/>
      <c r="M3211" s="14"/>
      <c r="N3211" s="14"/>
      <c r="O3211" s="14"/>
      <c r="P3211" s="14"/>
      <c r="Q3211" s="14"/>
      <c r="R3211" s="14"/>
      <c r="S3211" s="14"/>
      <c r="T3211" s="14"/>
      <c r="U3211" s="14"/>
      <c r="V3211" s="14"/>
      <c r="W3211" s="14"/>
      <c r="X3211" s="14"/>
      <c r="Y3211" s="14"/>
      <c r="Z3211" s="14"/>
      <c r="AA3211" s="14"/>
      <c r="AB3211" s="14"/>
      <c r="AC3211" s="14"/>
      <c r="AD3211" s="14"/>
      <c r="AE3211" s="14"/>
      <c r="AF3211" s="14"/>
      <c r="AG3211" s="14"/>
      <c r="AH3211" s="14"/>
      <c r="AI3211" s="14"/>
      <c r="AJ3211" s="14"/>
      <c r="AK3211" s="14"/>
      <c r="AL3211" s="14"/>
    </row>
    <row r="3212" spans="1:38">
      <c r="A3212" s="9"/>
      <c r="B3212" s="9"/>
      <c r="C3212" s="9"/>
      <c r="D3212" s="9"/>
      <c r="E3212" s="9"/>
      <c r="F3212" s="9"/>
      <c r="G3212" s="9"/>
      <c r="H3212" s="9"/>
      <c r="I3212" s="9"/>
      <c r="J3212" s="9"/>
      <c r="K3212" s="9"/>
      <c r="L3212" s="9"/>
      <c r="M3212" s="9"/>
      <c r="N3212" s="9"/>
      <c r="O3212" s="9"/>
      <c r="P3212" s="9"/>
      <c r="Q3212" s="9"/>
      <c r="R3212" s="9"/>
      <c r="S3212" s="9"/>
      <c r="T3212" s="9"/>
      <c r="U3212" s="9"/>
      <c r="V3212" s="9"/>
      <c r="W3212" s="9"/>
      <c r="X3212" s="9"/>
      <c r="Y3212" s="9"/>
      <c r="Z3212" s="9"/>
      <c r="AA3212" s="9"/>
      <c r="AB3212" s="9"/>
      <c r="AC3212" s="9"/>
      <c r="AD3212" s="9"/>
      <c r="AE3212" s="9"/>
      <c r="AF3212" s="9"/>
      <c r="AG3212" s="9"/>
      <c r="AH3212" s="9"/>
      <c r="AI3212" s="9"/>
      <c r="AJ3212" s="9"/>
      <c r="AK3212" s="9"/>
      <c r="AL3212" s="9"/>
    </row>
    <row r="3213" spans="1:38">
      <c r="A3213" s="10"/>
      <c r="B3213" s="10"/>
      <c r="C3213" s="10"/>
      <c r="D3213" s="10"/>
      <c r="E3213" s="10"/>
      <c r="F3213" s="10"/>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0"/>
      <c r="AH3213" s="10"/>
      <c r="AI3213" s="10"/>
      <c r="AJ3213" s="10"/>
      <c r="AK3213" s="10"/>
      <c r="AL3213" s="10"/>
    </row>
    <row r="3214" spans="1:38">
      <c r="A3214" s="10"/>
      <c r="B3214" s="10"/>
      <c r="C3214" s="10"/>
      <c r="D3214" s="10"/>
      <c r="E3214" s="10"/>
      <c r="F3214" s="10"/>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0"/>
      <c r="AH3214" s="10"/>
      <c r="AI3214" s="10"/>
      <c r="AJ3214" s="10"/>
      <c r="AK3214" s="10"/>
      <c r="AL3214" s="10"/>
    </row>
    <row r="3215" spans="1:38">
      <c r="A3215" s="10"/>
      <c r="B3215" s="10"/>
      <c r="C3215" s="10"/>
      <c r="D3215" s="10"/>
      <c r="E3215" s="10"/>
      <c r="F3215" s="10"/>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0"/>
      <c r="AH3215" s="10"/>
      <c r="AI3215" s="10"/>
      <c r="AJ3215" s="10"/>
      <c r="AK3215" s="10"/>
      <c r="AL3215" s="10"/>
    </row>
    <row r="3216" spans="1:38">
      <c r="A3216" s="10"/>
      <c r="B3216" s="10"/>
      <c r="C3216" s="10"/>
      <c r="D3216" s="10"/>
      <c r="E3216" s="10"/>
      <c r="F3216" s="10"/>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0"/>
      <c r="AH3216" s="10"/>
      <c r="AI3216" s="10"/>
      <c r="AJ3216" s="10"/>
      <c r="AK3216" s="10"/>
      <c r="AL3216" s="10"/>
    </row>
    <row r="3217" spans="1:38">
      <c r="A3217" s="10"/>
      <c r="B3217" s="10"/>
      <c r="C3217" s="10"/>
      <c r="D3217" s="10"/>
      <c r="E3217" s="10"/>
      <c r="F3217" s="10"/>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0"/>
      <c r="AH3217" s="10"/>
      <c r="AI3217" s="10"/>
      <c r="AJ3217" s="10"/>
      <c r="AK3217" s="10"/>
      <c r="AL3217" s="10"/>
    </row>
    <row r="3218" spans="1:38">
      <c r="A3218" s="10"/>
      <c r="B3218" s="10"/>
      <c r="C3218" s="10"/>
      <c r="D3218" s="10"/>
      <c r="E3218" s="10"/>
      <c r="F3218" s="10"/>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0"/>
      <c r="AH3218" s="10"/>
      <c r="AI3218" s="10"/>
      <c r="AJ3218" s="10"/>
      <c r="AK3218" s="10"/>
      <c r="AL3218" s="10"/>
    </row>
    <row r="3219" spans="1:38">
      <c r="A3219" s="10"/>
      <c r="B3219" s="10"/>
      <c r="C3219" s="10"/>
      <c r="D3219" s="10"/>
      <c r="E3219" s="10"/>
      <c r="F3219" s="10"/>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0"/>
      <c r="AH3219" s="10"/>
      <c r="AI3219" s="10"/>
      <c r="AJ3219" s="10"/>
      <c r="AK3219" s="10"/>
      <c r="AL3219" s="10"/>
    </row>
    <row r="3220" spans="1:38">
      <c r="A3220" s="10"/>
      <c r="B3220" s="10"/>
      <c r="C3220" s="10"/>
      <c r="D3220" s="10"/>
      <c r="E3220" s="10"/>
      <c r="F3220" s="10"/>
      <c r="G3220" s="10"/>
      <c r="H3220" s="10"/>
      <c r="I3220" s="10"/>
      <c r="J3220" s="10"/>
      <c r="K3220" s="10"/>
      <c r="L3220" s="10"/>
      <c r="M3220" s="10"/>
      <c r="N3220" s="10"/>
      <c r="O3220" s="10"/>
      <c r="P3220" s="10"/>
      <c r="Q3220" s="10"/>
      <c r="R3220" s="10"/>
      <c r="S3220" s="10"/>
      <c r="T3220" s="10"/>
      <c r="U3220" s="10"/>
      <c r="V3220" s="10"/>
      <c r="W3220" s="10"/>
      <c r="X3220" s="10"/>
      <c r="Y3220" s="10"/>
      <c r="Z3220" s="10"/>
      <c r="AA3220" s="10"/>
      <c r="AB3220" s="10"/>
      <c r="AC3220" s="10"/>
      <c r="AD3220" s="10"/>
      <c r="AE3220" s="10"/>
      <c r="AF3220" s="10"/>
      <c r="AG3220" s="10"/>
      <c r="AH3220" s="10"/>
      <c r="AI3220" s="10"/>
      <c r="AJ3220" s="10"/>
      <c r="AK3220" s="10"/>
      <c r="AL3220" s="10"/>
    </row>
    <row r="3221" spans="1:38">
      <c r="A3221" s="10"/>
      <c r="B3221" s="10"/>
      <c r="C3221" s="10"/>
      <c r="D3221" s="10"/>
      <c r="E3221" s="10"/>
      <c r="F3221" s="10"/>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0"/>
      <c r="AH3221" s="10"/>
      <c r="AI3221" s="10"/>
      <c r="AJ3221" s="10"/>
      <c r="AK3221" s="10"/>
      <c r="AL3221" s="10"/>
    </row>
    <row r="3222" spans="1:38">
      <c r="A3222" s="10"/>
      <c r="B3222" s="10"/>
      <c r="C3222" s="10"/>
      <c r="D3222" s="10"/>
      <c r="E3222" s="10"/>
      <c r="F3222" s="10"/>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0"/>
      <c r="AH3222" s="10"/>
      <c r="AI3222" s="10"/>
      <c r="AJ3222" s="10"/>
      <c r="AK3222" s="10"/>
      <c r="AL3222" s="10"/>
    </row>
    <row r="3223" spans="1:38">
      <c r="A3223" s="9"/>
      <c r="B3223" s="9"/>
      <c r="C3223" s="9"/>
      <c r="D3223" s="9"/>
      <c r="E3223" s="9"/>
      <c r="F3223" s="9"/>
      <c r="G3223" s="9"/>
      <c r="H3223" s="9"/>
      <c r="I3223" s="9"/>
      <c r="J3223" s="9"/>
      <c r="K3223" s="9"/>
      <c r="L3223" s="9"/>
      <c r="M3223" s="9"/>
      <c r="N3223" s="9"/>
      <c r="O3223" s="9"/>
      <c r="P3223" s="9"/>
      <c r="Q3223" s="9"/>
      <c r="R3223" s="9"/>
      <c r="S3223" s="9"/>
      <c r="T3223" s="9"/>
      <c r="U3223" s="9"/>
      <c r="V3223" s="9"/>
      <c r="W3223" s="9"/>
      <c r="X3223" s="9"/>
      <c r="Y3223" s="9"/>
      <c r="Z3223" s="9"/>
      <c r="AA3223" s="9"/>
      <c r="AB3223" s="9"/>
      <c r="AC3223" s="9"/>
      <c r="AD3223" s="9"/>
      <c r="AE3223" s="9"/>
      <c r="AF3223" s="9"/>
      <c r="AG3223" s="9"/>
      <c r="AH3223" s="9"/>
      <c r="AI3223" s="9"/>
      <c r="AJ3223" s="9"/>
      <c r="AK3223" s="9"/>
      <c r="AL3223" s="9"/>
    </row>
    <row r="3224" spans="1:38">
      <c r="A3224" s="9"/>
      <c r="B3224" s="9"/>
      <c r="C3224" s="9"/>
      <c r="D3224" s="9"/>
      <c r="E3224" s="9"/>
      <c r="F3224" s="9"/>
      <c r="G3224" s="9"/>
      <c r="H3224" s="9"/>
      <c r="I3224" s="9"/>
      <c r="J3224" s="9"/>
      <c r="K3224" s="9"/>
      <c r="L3224" s="9"/>
      <c r="M3224" s="9"/>
      <c r="N3224" s="9"/>
      <c r="O3224" s="9"/>
      <c r="P3224" s="9"/>
      <c r="Q3224" s="9"/>
      <c r="R3224" s="9"/>
      <c r="S3224" s="9"/>
      <c r="T3224" s="9"/>
      <c r="U3224" s="9"/>
      <c r="V3224" s="9"/>
      <c r="W3224" s="9"/>
      <c r="X3224" s="9"/>
      <c r="Y3224" s="9"/>
      <c r="Z3224" s="9"/>
      <c r="AA3224" s="9"/>
      <c r="AB3224" s="9"/>
      <c r="AC3224" s="9"/>
      <c r="AD3224" s="9"/>
      <c r="AE3224" s="9"/>
      <c r="AF3224" s="9"/>
      <c r="AG3224" s="9"/>
      <c r="AH3224" s="9"/>
      <c r="AI3224" s="9"/>
      <c r="AJ3224" s="9"/>
      <c r="AK3224" s="9"/>
      <c r="AL3224" s="9"/>
    </row>
    <row r="3225" spans="1:38">
      <c r="A3225" s="9"/>
      <c r="B3225" s="9"/>
      <c r="C3225" s="9"/>
      <c r="D3225" s="9"/>
      <c r="E3225" s="9"/>
      <c r="F3225" s="9"/>
      <c r="G3225" s="9"/>
      <c r="H3225" s="9"/>
      <c r="I3225" s="9"/>
      <c r="J3225" s="9"/>
      <c r="K3225" s="9"/>
      <c r="L3225" s="9"/>
      <c r="M3225" s="9"/>
      <c r="N3225" s="9"/>
      <c r="O3225" s="9"/>
      <c r="P3225" s="9"/>
      <c r="Q3225" s="9"/>
      <c r="R3225" s="9"/>
      <c r="S3225" s="9"/>
      <c r="T3225" s="9"/>
      <c r="U3225" s="9"/>
      <c r="V3225" s="9"/>
      <c r="W3225" s="9"/>
      <c r="X3225" s="9"/>
      <c r="Y3225" s="9"/>
      <c r="Z3225" s="9"/>
      <c r="AA3225" s="9"/>
      <c r="AB3225" s="9"/>
      <c r="AC3225" s="9"/>
      <c r="AD3225" s="9"/>
      <c r="AE3225" s="9"/>
      <c r="AF3225" s="9"/>
      <c r="AG3225" s="9"/>
      <c r="AH3225" s="9"/>
      <c r="AI3225" s="9"/>
      <c r="AJ3225" s="9"/>
      <c r="AK3225" s="9"/>
      <c r="AL3225" s="9"/>
    </row>
    <row r="3226" spans="1:38">
      <c r="A3226" s="11"/>
      <c r="B3226" s="11"/>
      <c r="C3226" s="11"/>
      <c r="D3226" s="11"/>
      <c r="E3226" s="11"/>
      <c r="F3226" s="11"/>
      <c r="G3226" s="11"/>
      <c r="H3226" s="11"/>
      <c r="I3226" s="11"/>
      <c r="J3226" s="11"/>
      <c r="K3226" s="11"/>
      <c r="L3226" s="11"/>
      <c r="M3226" s="11"/>
      <c r="N3226" s="11"/>
      <c r="O3226" s="11"/>
      <c r="P3226" s="11"/>
      <c r="Q3226" s="11"/>
      <c r="R3226" s="11"/>
      <c r="S3226" s="11"/>
      <c r="T3226" s="11"/>
      <c r="U3226" s="11"/>
      <c r="V3226" s="11"/>
      <c r="W3226" s="11"/>
      <c r="X3226" s="11"/>
      <c r="Y3226" s="11"/>
      <c r="Z3226" s="11"/>
      <c r="AA3226" s="11"/>
      <c r="AB3226" s="11"/>
      <c r="AC3226" s="11"/>
      <c r="AD3226" s="11"/>
      <c r="AE3226" s="11"/>
      <c r="AF3226" s="11"/>
      <c r="AG3226" s="11"/>
      <c r="AH3226" s="11"/>
      <c r="AI3226" s="11"/>
      <c r="AJ3226" s="11"/>
      <c r="AK3226" s="11"/>
      <c r="AL3226" s="11"/>
    </row>
    <row r="3235" spans="1:38">
      <c r="A3235" s="14"/>
      <c r="B3235" s="14"/>
      <c r="C3235" s="14"/>
      <c r="D3235" s="14"/>
      <c r="E3235" s="14"/>
      <c r="F3235" s="14"/>
      <c r="G3235" s="14"/>
      <c r="H3235" s="14"/>
      <c r="I3235" s="14"/>
      <c r="J3235" s="14"/>
      <c r="K3235" s="14"/>
      <c r="L3235" s="14"/>
      <c r="M3235" s="14"/>
      <c r="N3235" s="14"/>
      <c r="O3235" s="14"/>
      <c r="P3235" s="14"/>
      <c r="Q3235" s="14"/>
      <c r="R3235" s="14"/>
      <c r="S3235" s="14"/>
      <c r="T3235" s="14"/>
      <c r="U3235" s="14"/>
      <c r="V3235" s="14"/>
      <c r="W3235" s="14"/>
      <c r="X3235" s="14"/>
      <c r="Y3235" s="14"/>
      <c r="Z3235" s="14"/>
      <c r="AA3235" s="14"/>
      <c r="AB3235" s="14"/>
      <c r="AC3235" s="14"/>
      <c r="AD3235" s="14"/>
      <c r="AE3235" s="14"/>
      <c r="AF3235" s="14"/>
      <c r="AG3235" s="14"/>
      <c r="AH3235" s="14"/>
      <c r="AI3235" s="14"/>
      <c r="AJ3235" s="14"/>
      <c r="AK3235" s="14"/>
      <c r="AL3235" s="14"/>
    </row>
    <row r="3236" spans="1:38">
      <c r="A3236" s="9"/>
      <c r="B3236" s="9"/>
      <c r="C3236" s="9"/>
      <c r="D3236" s="9"/>
      <c r="E3236" s="9"/>
      <c r="F3236" s="9"/>
      <c r="G3236" s="9"/>
      <c r="H3236" s="9"/>
      <c r="I3236" s="9"/>
      <c r="J3236" s="9"/>
      <c r="K3236" s="9"/>
      <c r="L3236" s="9"/>
      <c r="M3236" s="9"/>
      <c r="N3236" s="9"/>
      <c r="O3236" s="9"/>
      <c r="P3236" s="9"/>
      <c r="Q3236" s="9"/>
      <c r="R3236" s="9"/>
      <c r="S3236" s="9"/>
      <c r="T3236" s="9"/>
      <c r="U3236" s="9"/>
      <c r="V3236" s="9"/>
      <c r="W3236" s="9"/>
      <c r="X3236" s="9"/>
      <c r="Y3236" s="9"/>
      <c r="Z3236" s="9"/>
      <c r="AA3236" s="9"/>
      <c r="AB3236" s="9"/>
      <c r="AC3236" s="9"/>
      <c r="AD3236" s="9"/>
      <c r="AE3236" s="9"/>
      <c r="AF3236" s="9"/>
      <c r="AG3236" s="9"/>
      <c r="AH3236" s="9"/>
      <c r="AI3236" s="9"/>
      <c r="AJ3236" s="9"/>
      <c r="AK3236" s="9"/>
      <c r="AL3236" s="9"/>
    </row>
    <row r="3237" spans="1:38">
      <c r="A3237" s="10"/>
      <c r="B3237" s="10"/>
      <c r="C3237" s="10"/>
      <c r="D3237" s="10"/>
      <c r="E3237" s="10"/>
      <c r="F3237" s="10"/>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0"/>
      <c r="AH3237" s="10"/>
      <c r="AI3237" s="10"/>
      <c r="AJ3237" s="10"/>
      <c r="AK3237" s="10"/>
      <c r="AL3237" s="10"/>
    </row>
    <row r="3238" spans="1:38">
      <c r="A3238" s="10"/>
      <c r="B3238" s="10"/>
      <c r="C3238" s="10"/>
      <c r="D3238" s="10"/>
      <c r="E3238" s="10"/>
      <c r="F3238" s="10"/>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0"/>
      <c r="AH3238" s="10"/>
      <c r="AI3238" s="10"/>
      <c r="AJ3238" s="10"/>
      <c r="AK3238" s="10"/>
      <c r="AL3238" s="10"/>
    </row>
    <row r="3239" spans="1:38">
      <c r="A3239" s="10"/>
      <c r="B3239" s="10"/>
      <c r="C3239" s="10"/>
      <c r="D3239" s="10"/>
      <c r="E3239" s="10"/>
      <c r="F3239" s="10"/>
      <c r="G3239" s="10"/>
      <c r="H3239" s="10"/>
      <c r="I3239" s="10"/>
      <c r="J3239" s="10"/>
      <c r="K3239" s="10"/>
      <c r="L3239" s="10"/>
      <c r="M3239" s="10"/>
      <c r="N3239" s="10"/>
      <c r="O3239" s="10"/>
      <c r="P3239" s="10"/>
      <c r="Q3239" s="10"/>
      <c r="R3239" s="10"/>
      <c r="S3239" s="10"/>
      <c r="T3239" s="10"/>
      <c r="U3239" s="10"/>
      <c r="V3239" s="10"/>
      <c r="W3239" s="10"/>
      <c r="X3239" s="10"/>
      <c r="Y3239" s="10"/>
      <c r="Z3239" s="10"/>
      <c r="AA3239" s="10"/>
      <c r="AB3239" s="10"/>
      <c r="AC3239" s="10"/>
      <c r="AD3239" s="10"/>
      <c r="AE3239" s="10"/>
      <c r="AF3239" s="10"/>
      <c r="AG3239" s="10"/>
      <c r="AH3239" s="10"/>
      <c r="AI3239" s="10"/>
      <c r="AJ3239" s="10"/>
      <c r="AK3239" s="10"/>
      <c r="AL3239" s="10"/>
    </row>
    <row r="3240" spans="1:38">
      <c r="A3240" s="10"/>
      <c r="B3240" s="10"/>
      <c r="C3240" s="10"/>
      <c r="D3240" s="10"/>
      <c r="E3240" s="10"/>
      <c r="F3240" s="10"/>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0"/>
      <c r="AH3240" s="10"/>
      <c r="AI3240" s="10"/>
      <c r="AJ3240" s="10"/>
      <c r="AK3240" s="10"/>
      <c r="AL3240" s="10"/>
    </row>
    <row r="3241" spans="1:38">
      <c r="A3241" s="10"/>
      <c r="B3241" s="10"/>
      <c r="C3241" s="10"/>
      <c r="D3241" s="10"/>
      <c r="E3241" s="10"/>
      <c r="F3241" s="10"/>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0"/>
      <c r="AH3241" s="10"/>
      <c r="AI3241" s="10"/>
      <c r="AJ3241" s="10"/>
      <c r="AK3241" s="10"/>
      <c r="AL3241" s="10"/>
    </row>
    <row r="3242" spans="1:38">
      <c r="A3242" s="10"/>
      <c r="B3242" s="10"/>
      <c r="C3242" s="10"/>
      <c r="D3242" s="10"/>
      <c r="E3242" s="10"/>
      <c r="F3242" s="10"/>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0"/>
      <c r="AH3242" s="10"/>
      <c r="AI3242" s="10"/>
      <c r="AJ3242" s="10"/>
      <c r="AK3242" s="10"/>
      <c r="AL3242" s="10"/>
    </row>
    <row r="3243" spans="1:38">
      <c r="A3243" s="10"/>
      <c r="B3243" s="10"/>
      <c r="C3243" s="10"/>
      <c r="D3243" s="10"/>
      <c r="E3243" s="10"/>
      <c r="F3243" s="10"/>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0"/>
      <c r="AH3243" s="10"/>
      <c r="AI3243" s="10"/>
      <c r="AJ3243" s="10"/>
      <c r="AK3243" s="10"/>
      <c r="AL3243" s="10"/>
    </row>
    <row r="3244" spans="1:38">
      <c r="A3244" s="10"/>
      <c r="B3244" s="10"/>
      <c r="C3244" s="10"/>
      <c r="D3244" s="10"/>
      <c r="E3244" s="10"/>
      <c r="F3244" s="10"/>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0"/>
      <c r="AH3244" s="10"/>
      <c r="AI3244" s="10"/>
      <c r="AJ3244" s="10"/>
      <c r="AK3244" s="10"/>
      <c r="AL3244" s="10"/>
    </row>
    <row r="3245" spans="1:38">
      <c r="A3245" s="10"/>
      <c r="B3245" s="10"/>
      <c r="C3245" s="10"/>
      <c r="D3245" s="10"/>
      <c r="E3245" s="10"/>
      <c r="F3245" s="10"/>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0"/>
      <c r="AH3245" s="10"/>
      <c r="AI3245" s="10"/>
      <c r="AJ3245" s="10"/>
      <c r="AK3245" s="10"/>
      <c r="AL3245" s="10"/>
    </row>
    <row r="3246" spans="1:38">
      <c r="A3246" s="10"/>
      <c r="B3246" s="10"/>
      <c r="C3246" s="10"/>
      <c r="D3246" s="10"/>
      <c r="E3246" s="10"/>
      <c r="F3246" s="10"/>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0"/>
      <c r="AH3246" s="10"/>
      <c r="AI3246" s="10"/>
      <c r="AJ3246" s="10"/>
      <c r="AK3246" s="10"/>
      <c r="AL3246" s="10"/>
    </row>
    <row r="3247" spans="1:38">
      <c r="A3247" s="9"/>
      <c r="B3247" s="9"/>
      <c r="C3247" s="9"/>
      <c r="D3247" s="9"/>
      <c r="E3247" s="9"/>
      <c r="F3247" s="9"/>
      <c r="G3247" s="9"/>
      <c r="H3247" s="9"/>
      <c r="I3247" s="9"/>
      <c r="J3247" s="9"/>
      <c r="K3247" s="9"/>
      <c r="L3247" s="9"/>
      <c r="M3247" s="9"/>
      <c r="N3247" s="9"/>
      <c r="O3247" s="9"/>
      <c r="P3247" s="9"/>
      <c r="Q3247" s="9"/>
      <c r="R3247" s="9"/>
      <c r="S3247" s="9"/>
      <c r="T3247" s="9"/>
      <c r="U3247" s="9"/>
      <c r="V3247" s="9"/>
      <c r="W3247" s="9"/>
      <c r="X3247" s="9"/>
      <c r="Y3247" s="9"/>
      <c r="Z3247" s="9"/>
      <c r="AA3247" s="9"/>
      <c r="AB3247" s="9"/>
      <c r="AC3247" s="9"/>
      <c r="AD3247" s="9"/>
      <c r="AE3247" s="9"/>
      <c r="AF3247" s="9"/>
      <c r="AG3247" s="9"/>
      <c r="AH3247" s="9"/>
      <c r="AI3247" s="9"/>
      <c r="AJ3247" s="9"/>
      <c r="AK3247" s="9"/>
      <c r="AL3247" s="9"/>
    </row>
    <row r="3248" spans="1:38">
      <c r="A3248" s="11"/>
      <c r="B3248" s="11"/>
      <c r="C3248" s="11"/>
      <c r="D3248" s="11"/>
      <c r="E3248" s="11"/>
      <c r="F3248" s="11"/>
      <c r="G3248" s="11"/>
      <c r="H3248" s="11"/>
      <c r="I3248" s="11"/>
      <c r="J3248" s="11"/>
      <c r="K3248" s="11"/>
      <c r="L3248" s="11"/>
      <c r="M3248" s="11"/>
      <c r="N3248" s="11"/>
      <c r="O3248" s="11"/>
      <c r="P3248" s="11"/>
      <c r="Q3248" s="11"/>
      <c r="R3248" s="11"/>
      <c r="S3248" s="11"/>
      <c r="T3248" s="11"/>
      <c r="U3248" s="11"/>
      <c r="V3248" s="11"/>
      <c r="W3248" s="11"/>
      <c r="X3248" s="11"/>
      <c r="Y3248" s="11"/>
      <c r="Z3248" s="11"/>
      <c r="AA3248" s="11"/>
      <c r="AB3248" s="11"/>
      <c r="AC3248" s="11"/>
      <c r="AD3248" s="11"/>
      <c r="AE3248" s="11"/>
      <c r="AF3248" s="11"/>
      <c r="AG3248" s="11"/>
      <c r="AH3248" s="11"/>
      <c r="AI3248" s="11"/>
      <c r="AJ3248" s="11"/>
      <c r="AK3248" s="11"/>
      <c r="AL3248" s="11"/>
    </row>
    <row r="3253" spans="1:38">
      <c r="A3253" s="14"/>
      <c r="B3253" s="14"/>
      <c r="C3253" s="14"/>
      <c r="D3253" s="14"/>
      <c r="E3253" s="14"/>
      <c r="F3253" s="14"/>
      <c r="G3253" s="14"/>
      <c r="H3253" s="14"/>
      <c r="I3253" s="14"/>
      <c r="J3253" s="14"/>
      <c r="K3253" s="14"/>
      <c r="L3253" s="14"/>
      <c r="M3253" s="14"/>
      <c r="N3253" s="14"/>
      <c r="O3253" s="14"/>
      <c r="P3253" s="14"/>
      <c r="Q3253" s="14"/>
      <c r="R3253" s="14"/>
      <c r="S3253" s="14"/>
      <c r="T3253" s="14"/>
      <c r="U3253" s="14"/>
      <c r="V3253" s="14"/>
      <c r="W3253" s="14"/>
      <c r="X3253" s="14"/>
      <c r="Y3253" s="14"/>
      <c r="Z3253" s="14"/>
      <c r="AA3253" s="14"/>
      <c r="AB3253" s="14"/>
      <c r="AC3253" s="14"/>
      <c r="AD3253" s="14"/>
      <c r="AE3253" s="14"/>
      <c r="AF3253" s="14"/>
      <c r="AG3253" s="14"/>
      <c r="AH3253" s="14"/>
      <c r="AI3253" s="14"/>
      <c r="AJ3253" s="14"/>
      <c r="AK3253" s="14"/>
      <c r="AL3253" s="14"/>
    </row>
    <row r="3254" spans="1:38">
      <c r="A3254" s="9"/>
      <c r="B3254" s="9"/>
      <c r="C3254" s="9"/>
      <c r="D3254" s="9"/>
      <c r="E3254" s="9"/>
      <c r="F3254" s="9"/>
      <c r="G3254" s="9"/>
      <c r="H3254" s="9"/>
      <c r="I3254" s="9"/>
      <c r="J3254" s="9"/>
      <c r="K3254" s="9"/>
      <c r="L3254" s="9"/>
      <c r="M3254" s="9"/>
      <c r="N3254" s="9"/>
      <c r="O3254" s="9"/>
      <c r="P3254" s="9"/>
      <c r="Q3254" s="9"/>
      <c r="R3254" s="9"/>
      <c r="S3254" s="9"/>
      <c r="T3254" s="9"/>
      <c r="U3254" s="9"/>
      <c r="V3254" s="9"/>
      <c r="W3254" s="9"/>
      <c r="X3254" s="9"/>
      <c r="Y3254" s="9"/>
      <c r="Z3254" s="9"/>
      <c r="AA3254" s="9"/>
      <c r="AB3254" s="9"/>
      <c r="AC3254" s="9"/>
      <c r="AD3254" s="9"/>
      <c r="AE3254" s="9"/>
      <c r="AF3254" s="9"/>
      <c r="AG3254" s="9"/>
      <c r="AH3254" s="9"/>
      <c r="AI3254" s="9"/>
      <c r="AJ3254" s="9"/>
      <c r="AK3254" s="9"/>
      <c r="AL3254" s="9"/>
    </row>
    <row r="3255" spans="1:38">
      <c r="A3255" s="10"/>
      <c r="B3255" s="10"/>
      <c r="C3255" s="10"/>
      <c r="D3255" s="10"/>
      <c r="E3255" s="10"/>
      <c r="F3255" s="10"/>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0"/>
      <c r="AH3255" s="10"/>
      <c r="AI3255" s="10"/>
      <c r="AJ3255" s="10"/>
      <c r="AK3255" s="10"/>
      <c r="AL3255" s="10"/>
    </row>
    <row r="3256" spans="1:38">
      <c r="A3256" s="10"/>
      <c r="B3256" s="10"/>
      <c r="C3256" s="10"/>
      <c r="D3256" s="10"/>
      <c r="E3256" s="10"/>
      <c r="F3256" s="10"/>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0"/>
      <c r="AH3256" s="10"/>
      <c r="AI3256" s="10"/>
      <c r="AJ3256" s="10"/>
      <c r="AK3256" s="10"/>
      <c r="AL3256" s="10"/>
    </row>
    <row r="3257" spans="1:38">
      <c r="A3257" s="10"/>
      <c r="B3257" s="10"/>
      <c r="C3257" s="10"/>
      <c r="D3257" s="10"/>
      <c r="E3257" s="10"/>
      <c r="F3257" s="10"/>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0"/>
      <c r="AH3257" s="10"/>
      <c r="AI3257" s="10"/>
      <c r="AJ3257" s="10"/>
      <c r="AK3257" s="10"/>
      <c r="AL3257" s="10"/>
    </row>
    <row r="3258" spans="1:38">
      <c r="A3258" s="10"/>
      <c r="B3258" s="10"/>
      <c r="C3258" s="10"/>
      <c r="D3258" s="10"/>
      <c r="E3258" s="10"/>
      <c r="F3258" s="10"/>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0"/>
      <c r="AH3258" s="10"/>
      <c r="AI3258" s="10"/>
      <c r="AJ3258" s="10"/>
      <c r="AK3258" s="10"/>
      <c r="AL3258" s="10"/>
    </row>
    <row r="3259" spans="1:38">
      <c r="A3259" s="10"/>
      <c r="B3259" s="10"/>
      <c r="C3259" s="10"/>
      <c r="D3259" s="10"/>
      <c r="E3259" s="10"/>
      <c r="F3259" s="10"/>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0"/>
      <c r="AH3259" s="10"/>
      <c r="AI3259" s="10"/>
      <c r="AJ3259" s="10"/>
      <c r="AK3259" s="10"/>
      <c r="AL3259" s="10"/>
    </row>
    <row r="3260" spans="1:38">
      <c r="A3260" s="10"/>
      <c r="B3260" s="10"/>
      <c r="C3260" s="10"/>
      <c r="D3260" s="10"/>
      <c r="E3260" s="10"/>
      <c r="F3260" s="10"/>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0"/>
      <c r="AH3260" s="10"/>
      <c r="AI3260" s="10"/>
      <c r="AJ3260" s="10"/>
      <c r="AK3260" s="10"/>
      <c r="AL3260" s="10"/>
    </row>
    <row r="3261" spans="1:38">
      <c r="A3261" s="10"/>
      <c r="B3261" s="10"/>
      <c r="C3261" s="10"/>
      <c r="D3261" s="10"/>
      <c r="E3261" s="10"/>
      <c r="F3261" s="10"/>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0"/>
      <c r="AH3261" s="10"/>
      <c r="AI3261" s="10"/>
      <c r="AJ3261" s="10"/>
      <c r="AK3261" s="10"/>
      <c r="AL3261" s="10"/>
    </row>
    <row r="3262" spans="1:38">
      <c r="A3262" s="10"/>
      <c r="B3262" s="10"/>
      <c r="C3262" s="10"/>
      <c r="D3262" s="10"/>
      <c r="E3262" s="10"/>
      <c r="F3262" s="10"/>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0"/>
      <c r="AH3262" s="10"/>
      <c r="AI3262" s="10"/>
      <c r="AJ3262" s="10"/>
      <c r="AK3262" s="10"/>
      <c r="AL3262" s="10"/>
    </row>
    <row r="3263" spans="1:38">
      <c r="A3263" s="10"/>
      <c r="B3263" s="10"/>
      <c r="C3263" s="10"/>
      <c r="D3263" s="10"/>
      <c r="E3263" s="10"/>
      <c r="F3263" s="10"/>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0"/>
      <c r="AH3263" s="10"/>
      <c r="AI3263" s="10"/>
      <c r="AJ3263" s="10"/>
      <c r="AK3263" s="10"/>
      <c r="AL3263" s="10"/>
    </row>
    <row r="3264" spans="1:38">
      <c r="A3264" s="10"/>
      <c r="B3264" s="10"/>
      <c r="C3264" s="10"/>
      <c r="D3264" s="10"/>
      <c r="E3264" s="10"/>
      <c r="F3264" s="10"/>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0"/>
      <c r="AH3264" s="10"/>
      <c r="AI3264" s="10"/>
      <c r="AJ3264" s="10"/>
      <c r="AK3264" s="10"/>
      <c r="AL3264" s="10"/>
    </row>
    <row r="3265" spans="1:38">
      <c r="A3265" s="9"/>
      <c r="B3265" s="9"/>
      <c r="C3265" s="9"/>
      <c r="D3265" s="9"/>
      <c r="E3265" s="9"/>
      <c r="F3265" s="9"/>
      <c r="G3265" s="9"/>
      <c r="H3265" s="9"/>
      <c r="I3265" s="9"/>
      <c r="J3265" s="9"/>
      <c r="K3265" s="9"/>
      <c r="L3265" s="9"/>
      <c r="M3265" s="9"/>
      <c r="N3265" s="9"/>
      <c r="O3265" s="9"/>
      <c r="P3265" s="9"/>
      <c r="Q3265" s="9"/>
      <c r="R3265" s="9"/>
      <c r="S3265" s="9"/>
      <c r="T3265" s="9"/>
      <c r="U3265" s="9"/>
      <c r="V3265" s="9"/>
      <c r="W3265" s="9"/>
      <c r="X3265" s="9"/>
      <c r="Y3265" s="9"/>
      <c r="Z3265" s="9"/>
      <c r="AA3265" s="9"/>
      <c r="AB3265" s="9"/>
      <c r="AC3265" s="9"/>
      <c r="AD3265" s="9"/>
      <c r="AE3265" s="9"/>
      <c r="AF3265" s="9"/>
      <c r="AG3265" s="9"/>
      <c r="AH3265" s="9"/>
      <c r="AI3265" s="9"/>
      <c r="AJ3265" s="9"/>
      <c r="AK3265" s="9"/>
      <c r="AL3265" s="9"/>
    </row>
    <row r="3266" spans="1:38">
      <c r="A3266" s="11"/>
      <c r="B3266" s="11"/>
      <c r="C3266" s="11"/>
      <c r="D3266" s="11"/>
      <c r="E3266" s="11"/>
      <c r="F3266" s="11"/>
      <c r="G3266" s="11"/>
      <c r="H3266" s="11"/>
      <c r="I3266" s="11"/>
      <c r="J3266" s="11"/>
      <c r="K3266" s="11"/>
      <c r="L3266" s="11"/>
      <c r="M3266" s="11"/>
      <c r="N3266" s="11"/>
      <c r="O3266" s="11"/>
      <c r="P3266" s="11"/>
      <c r="Q3266" s="11"/>
      <c r="R3266" s="11"/>
      <c r="S3266" s="11"/>
      <c r="T3266" s="11"/>
      <c r="U3266" s="11"/>
      <c r="V3266" s="11"/>
      <c r="W3266" s="11"/>
      <c r="X3266" s="11"/>
      <c r="Y3266" s="11"/>
      <c r="Z3266" s="11"/>
      <c r="AA3266" s="11"/>
      <c r="AB3266" s="11"/>
      <c r="AC3266" s="11"/>
      <c r="AD3266" s="11"/>
      <c r="AE3266" s="11"/>
      <c r="AF3266" s="11"/>
      <c r="AG3266" s="11"/>
      <c r="AH3266" s="11"/>
      <c r="AI3266" s="11"/>
      <c r="AJ3266" s="11"/>
      <c r="AK3266" s="11"/>
      <c r="AL3266" s="11"/>
    </row>
    <row r="3270" spans="1:38">
      <c r="A3270" s="14"/>
      <c r="B3270" s="14"/>
      <c r="C3270" s="14"/>
      <c r="D3270" s="14"/>
      <c r="E3270" s="14"/>
      <c r="F3270" s="14"/>
      <c r="G3270" s="14"/>
      <c r="H3270" s="14"/>
      <c r="I3270" s="14"/>
      <c r="J3270" s="14"/>
      <c r="K3270" s="14"/>
      <c r="L3270" s="14"/>
      <c r="M3270" s="14"/>
      <c r="N3270" s="14"/>
      <c r="O3270" s="14"/>
      <c r="P3270" s="14"/>
      <c r="Q3270" s="14"/>
      <c r="R3270" s="14"/>
      <c r="S3270" s="14"/>
      <c r="T3270" s="14"/>
      <c r="U3270" s="14"/>
      <c r="V3270" s="14"/>
      <c r="W3270" s="14"/>
      <c r="X3270" s="14"/>
      <c r="Y3270" s="14"/>
      <c r="Z3270" s="14"/>
      <c r="AA3270" s="14"/>
      <c r="AB3270" s="14"/>
      <c r="AC3270" s="14"/>
      <c r="AD3270" s="14"/>
      <c r="AE3270" s="14"/>
      <c r="AF3270" s="14"/>
      <c r="AG3270" s="14"/>
      <c r="AH3270" s="14"/>
      <c r="AI3270" s="14"/>
      <c r="AJ3270" s="14"/>
      <c r="AK3270" s="14"/>
      <c r="AL3270" s="14"/>
    </row>
    <row r="3271" spans="1:38">
      <c r="A3271" s="9"/>
      <c r="B3271" s="9"/>
      <c r="C3271" s="9"/>
      <c r="D3271" s="9"/>
      <c r="E3271" s="9"/>
      <c r="F3271" s="9"/>
      <c r="G3271" s="9"/>
      <c r="H3271" s="9"/>
      <c r="I3271" s="9"/>
      <c r="J3271" s="9"/>
      <c r="K3271" s="9"/>
      <c r="L3271" s="9"/>
      <c r="M3271" s="9"/>
      <c r="N3271" s="9"/>
      <c r="O3271" s="9"/>
      <c r="P3271" s="9"/>
      <c r="Q3271" s="9"/>
      <c r="R3271" s="9"/>
      <c r="S3271" s="9"/>
      <c r="T3271" s="9"/>
      <c r="U3271" s="9"/>
      <c r="V3271" s="9"/>
      <c r="W3271" s="9"/>
      <c r="X3271" s="9"/>
      <c r="Y3271" s="9"/>
      <c r="Z3271" s="9"/>
      <c r="AA3271" s="9"/>
      <c r="AB3271" s="9"/>
      <c r="AC3271" s="9"/>
      <c r="AD3271" s="9"/>
      <c r="AE3271" s="9"/>
      <c r="AF3271" s="9"/>
      <c r="AG3271" s="9"/>
      <c r="AH3271" s="9"/>
      <c r="AI3271" s="9"/>
      <c r="AJ3271" s="9"/>
      <c r="AK3271" s="9"/>
      <c r="AL3271" s="9"/>
    </row>
    <row r="3272" spans="1:38">
      <c r="A3272" s="10"/>
      <c r="B3272" s="10"/>
      <c r="C3272" s="10"/>
      <c r="D3272" s="10"/>
      <c r="E3272" s="10"/>
      <c r="F3272" s="10"/>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0"/>
      <c r="AH3272" s="10"/>
      <c r="AI3272" s="10"/>
      <c r="AJ3272" s="10"/>
      <c r="AK3272" s="10"/>
      <c r="AL3272" s="10"/>
    </row>
    <row r="3273" spans="1:38">
      <c r="A3273" s="10"/>
      <c r="B3273" s="10"/>
      <c r="C3273" s="10"/>
      <c r="D3273" s="10"/>
      <c r="E3273" s="10"/>
      <c r="F3273" s="10"/>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0"/>
      <c r="AH3273" s="10"/>
      <c r="AI3273" s="10"/>
      <c r="AJ3273" s="10"/>
      <c r="AK3273" s="10"/>
      <c r="AL3273" s="10"/>
    </row>
    <row r="3274" spans="1:38">
      <c r="A3274" s="10"/>
      <c r="B3274" s="10"/>
      <c r="C3274" s="10"/>
      <c r="D3274" s="10"/>
      <c r="E3274" s="10"/>
      <c r="F3274" s="10"/>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0"/>
      <c r="AH3274" s="10"/>
      <c r="AI3274" s="10"/>
      <c r="AJ3274" s="10"/>
      <c r="AK3274" s="10"/>
      <c r="AL3274" s="10"/>
    </row>
    <row r="3275" spans="1:38">
      <c r="A3275" s="10"/>
      <c r="B3275" s="10"/>
      <c r="C3275" s="10"/>
      <c r="D3275" s="10"/>
      <c r="E3275" s="10"/>
      <c r="F3275" s="10"/>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0"/>
      <c r="AH3275" s="10"/>
      <c r="AI3275" s="10"/>
      <c r="AJ3275" s="10"/>
      <c r="AK3275" s="10"/>
      <c r="AL3275" s="10"/>
    </row>
    <row r="3276" spans="1:38">
      <c r="A3276" s="10"/>
      <c r="B3276" s="10"/>
      <c r="C3276" s="10"/>
      <c r="D3276" s="10"/>
      <c r="E3276" s="10"/>
      <c r="F3276" s="10"/>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0"/>
      <c r="AH3276" s="10"/>
      <c r="AI3276" s="10"/>
      <c r="AJ3276" s="10"/>
      <c r="AK3276" s="10"/>
      <c r="AL3276" s="10"/>
    </row>
    <row r="3277" spans="1:38">
      <c r="A3277" s="10"/>
      <c r="B3277" s="10"/>
      <c r="C3277" s="10"/>
      <c r="D3277" s="10"/>
      <c r="E3277" s="10"/>
      <c r="F3277" s="10"/>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0"/>
      <c r="AH3277" s="10"/>
      <c r="AI3277" s="10"/>
      <c r="AJ3277" s="10"/>
      <c r="AK3277" s="10"/>
      <c r="AL3277" s="10"/>
    </row>
    <row r="3278" spans="1:38">
      <c r="A3278" s="10"/>
      <c r="B3278" s="10"/>
      <c r="C3278" s="10"/>
      <c r="D3278" s="10"/>
      <c r="E3278" s="10"/>
      <c r="F3278" s="10"/>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0"/>
      <c r="AH3278" s="10"/>
      <c r="AI3278" s="10"/>
      <c r="AJ3278" s="10"/>
      <c r="AK3278" s="10"/>
      <c r="AL3278" s="10"/>
    </row>
    <row r="3279" spans="1:38">
      <c r="A3279" s="10"/>
      <c r="B3279" s="10"/>
      <c r="C3279" s="10"/>
      <c r="D3279" s="10"/>
      <c r="E3279" s="10"/>
      <c r="F3279" s="10"/>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0"/>
      <c r="AH3279" s="10"/>
      <c r="AI3279" s="10"/>
      <c r="AJ3279" s="10"/>
      <c r="AK3279" s="10"/>
      <c r="AL3279" s="10"/>
    </row>
    <row r="3280" spans="1:38">
      <c r="A3280" s="10"/>
      <c r="B3280" s="10"/>
      <c r="C3280" s="10"/>
      <c r="D3280" s="10"/>
      <c r="E3280" s="10"/>
      <c r="F3280" s="10"/>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0"/>
      <c r="AH3280" s="10"/>
      <c r="AI3280" s="10"/>
      <c r="AJ3280" s="10"/>
      <c r="AK3280" s="10"/>
      <c r="AL3280" s="10"/>
    </row>
    <row r="3281" spans="1:38">
      <c r="A3281" s="10"/>
      <c r="B3281" s="10"/>
      <c r="C3281" s="10"/>
      <c r="D3281" s="10"/>
      <c r="E3281" s="10"/>
      <c r="F3281" s="10"/>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0"/>
      <c r="AH3281" s="10"/>
      <c r="AI3281" s="10"/>
      <c r="AJ3281" s="10"/>
      <c r="AK3281" s="10"/>
      <c r="AL3281" s="10"/>
    </row>
    <row r="3282" spans="1:38">
      <c r="A3282" s="9"/>
      <c r="B3282" s="9"/>
      <c r="C3282" s="9"/>
      <c r="D3282" s="9"/>
      <c r="E3282" s="9"/>
      <c r="F3282" s="9"/>
      <c r="G3282" s="9"/>
      <c r="H3282" s="9"/>
      <c r="I3282" s="9"/>
      <c r="J3282" s="9"/>
      <c r="K3282" s="9"/>
      <c r="L3282" s="9"/>
      <c r="M3282" s="9"/>
      <c r="N3282" s="9"/>
      <c r="O3282" s="9"/>
      <c r="P3282" s="9"/>
      <c r="Q3282" s="9"/>
      <c r="R3282" s="9"/>
      <c r="S3282" s="9"/>
      <c r="T3282" s="9"/>
      <c r="U3282" s="9"/>
      <c r="V3282" s="9"/>
      <c r="W3282" s="9"/>
      <c r="X3282" s="9"/>
      <c r="Y3282" s="9"/>
      <c r="Z3282" s="9"/>
      <c r="AA3282" s="9"/>
      <c r="AB3282" s="9"/>
      <c r="AC3282" s="9"/>
      <c r="AD3282" s="9"/>
      <c r="AE3282" s="9"/>
      <c r="AF3282" s="9"/>
      <c r="AG3282" s="9"/>
      <c r="AH3282" s="9"/>
      <c r="AI3282" s="9"/>
      <c r="AJ3282" s="9"/>
      <c r="AK3282" s="9"/>
      <c r="AL3282" s="9"/>
    </row>
    <row r="3283" spans="1:38">
      <c r="A3283" s="11"/>
      <c r="B3283" s="11"/>
      <c r="C3283" s="11"/>
      <c r="D3283" s="11"/>
      <c r="E3283" s="11"/>
      <c r="F3283" s="11"/>
      <c r="G3283" s="11"/>
      <c r="H3283" s="11"/>
      <c r="I3283" s="11"/>
      <c r="J3283" s="11"/>
      <c r="K3283" s="11"/>
      <c r="L3283" s="11"/>
      <c r="M3283" s="11"/>
      <c r="N3283" s="11"/>
      <c r="O3283" s="11"/>
      <c r="P3283" s="11"/>
      <c r="Q3283" s="11"/>
      <c r="R3283" s="11"/>
      <c r="S3283" s="11"/>
      <c r="T3283" s="11"/>
      <c r="U3283" s="11"/>
      <c r="V3283" s="11"/>
      <c r="W3283" s="11"/>
      <c r="X3283" s="11"/>
      <c r="Y3283" s="11"/>
      <c r="Z3283" s="11"/>
      <c r="AA3283" s="11"/>
      <c r="AB3283" s="11"/>
      <c r="AC3283" s="11"/>
      <c r="AD3283" s="11"/>
      <c r="AE3283" s="11"/>
      <c r="AF3283" s="11"/>
      <c r="AG3283" s="11"/>
      <c r="AH3283" s="11"/>
      <c r="AI3283" s="11"/>
      <c r="AJ3283" s="11"/>
      <c r="AK3283" s="11"/>
      <c r="AL3283" s="11"/>
    </row>
    <row r="3285" spans="1:38">
      <c r="A3285" s="14"/>
      <c r="B3285" s="14"/>
      <c r="C3285" s="14"/>
      <c r="D3285" s="14"/>
      <c r="E3285" s="14"/>
      <c r="F3285" s="14"/>
      <c r="G3285" s="14"/>
      <c r="H3285" s="14"/>
      <c r="I3285" s="14"/>
      <c r="J3285" s="14"/>
      <c r="K3285" s="14"/>
      <c r="L3285" s="14"/>
      <c r="M3285" s="14"/>
      <c r="N3285" s="14"/>
      <c r="O3285" s="14"/>
      <c r="P3285" s="14"/>
      <c r="Q3285" s="14"/>
      <c r="R3285" s="14"/>
      <c r="S3285" s="14"/>
      <c r="T3285" s="14"/>
      <c r="U3285" s="14"/>
      <c r="V3285" s="14"/>
      <c r="W3285" s="14"/>
      <c r="X3285" s="14"/>
      <c r="Y3285" s="14"/>
      <c r="Z3285" s="14"/>
      <c r="AA3285" s="14"/>
      <c r="AB3285" s="14"/>
      <c r="AC3285" s="14"/>
      <c r="AD3285" s="14"/>
      <c r="AE3285" s="14"/>
      <c r="AF3285" s="14"/>
      <c r="AG3285" s="14"/>
      <c r="AH3285" s="14"/>
      <c r="AI3285" s="14"/>
      <c r="AJ3285" s="14"/>
      <c r="AK3285" s="14"/>
      <c r="AL3285" s="14"/>
    </row>
    <row r="3286" spans="1:38">
      <c r="A3286" s="9"/>
      <c r="B3286" s="9"/>
      <c r="C3286" s="9"/>
      <c r="D3286" s="9"/>
      <c r="E3286" s="9"/>
      <c r="F3286" s="9"/>
      <c r="G3286" s="9"/>
      <c r="H3286" s="9"/>
      <c r="I3286" s="9"/>
      <c r="J3286" s="9"/>
      <c r="K3286" s="9"/>
      <c r="L3286" s="9"/>
      <c r="M3286" s="9"/>
      <c r="N3286" s="9"/>
      <c r="O3286" s="9"/>
      <c r="P3286" s="9"/>
      <c r="Q3286" s="9"/>
      <c r="R3286" s="9"/>
      <c r="S3286" s="9"/>
      <c r="T3286" s="9"/>
      <c r="U3286" s="9"/>
      <c r="V3286" s="9"/>
      <c r="W3286" s="9"/>
      <c r="X3286" s="9"/>
      <c r="Y3286" s="9"/>
      <c r="Z3286" s="9"/>
      <c r="AA3286" s="9"/>
      <c r="AB3286" s="9"/>
      <c r="AC3286" s="9"/>
      <c r="AD3286" s="9"/>
      <c r="AE3286" s="9"/>
      <c r="AF3286" s="9"/>
      <c r="AG3286" s="9"/>
      <c r="AH3286" s="9"/>
      <c r="AI3286" s="9"/>
      <c r="AJ3286" s="9"/>
      <c r="AK3286" s="9"/>
      <c r="AL3286" s="9"/>
    </row>
    <row r="3287" spans="1:38">
      <c r="A3287" s="10"/>
      <c r="B3287" s="10"/>
      <c r="C3287" s="10"/>
      <c r="D3287" s="10"/>
      <c r="E3287" s="10"/>
      <c r="F3287" s="10"/>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0"/>
      <c r="AH3287" s="10"/>
      <c r="AI3287" s="10"/>
      <c r="AJ3287" s="10"/>
      <c r="AK3287" s="10"/>
      <c r="AL3287" s="10"/>
    </row>
    <row r="3288" spans="1:38">
      <c r="A3288" s="10"/>
      <c r="B3288" s="10"/>
      <c r="C3288" s="10"/>
      <c r="D3288" s="10"/>
      <c r="E3288" s="10"/>
      <c r="F3288" s="10"/>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0"/>
      <c r="AH3288" s="10"/>
      <c r="AI3288" s="10"/>
      <c r="AJ3288" s="10"/>
      <c r="AK3288" s="10"/>
      <c r="AL3288" s="10"/>
    </row>
    <row r="3289" spans="1:38">
      <c r="A3289" s="10"/>
      <c r="B3289" s="10"/>
      <c r="C3289" s="10"/>
      <c r="D3289" s="10"/>
      <c r="E3289" s="10"/>
      <c r="F3289" s="10"/>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0"/>
      <c r="AH3289" s="10"/>
      <c r="AI3289" s="10"/>
      <c r="AJ3289" s="10"/>
      <c r="AK3289" s="10"/>
      <c r="AL3289" s="10"/>
    </row>
    <row r="3290" spans="1:38">
      <c r="A3290" s="10"/>
      <c r="B3290" s="10"/>
      <c r="C3290" s="10"/>
      <c r="D3290" s="10"/>
      <c r="E3290" s="10"/>
      <c r="F3290" s="10"/>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0"/>
      <c r="AH3290" s="10"/>
      <c r="AI3290" s="10"/>
      <c r="AJ3290" s="10"/>
      <c r="AK3290" s="10"/>
      <c r="AL3290" s="10"/>
    </row>
    <row r="3291" spans="1:38">
      <c r="A3291" s="10"/>
      <c r="B3291" s="10"/>
      <c r="C3291" s="10"/>
      <c r="D3291" s="10"/>
      <c r="E3291" s="10"/>
      <c r="F3291" s="10"/>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0"/>
      <c r="AH3291" s="10"/>
      <c r="AI3291" s="10"/>
      <c r="AJ3291" s="10"/>
      <c r="AK3291" s="10"/>
      <c r="AL3291" s="10"/>
    </row>
    <row r="3292" spans="1:38">
      <c r="A3292" s="10"/>
      <c r="B3292" s="10"/>
      <c r="C3292" s="10"/>
      <c r="D3292" s="10"/>
      <c r="E3292" s="10"/>
      <c r="F3292" s="10"/>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0"/>
      <c r="AH3292" s="10"/>
      <c r="AI3292" s="10"/>
      <c r="AJ3292" s="10"/>
      <c r="AK3292" s="10"/>
      <c r="AL3292" s="10"/>
    </row>
    <row r="3293" spans="1:38">
      <c r="A3293" s="10"/>
      <c r="B3293" s="10"/>
      <c r="C3293" s="10"/>
      <c r="D3293" s="10"/>
      <c r="E3293" s="10"/>
      <c r="F3293" s="10"/>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0"/>
      <c r="AH3293" s="10"/>
      <c r="AI3293" s="10"/>
      <c r="AJ3293" s="10"/>
      <c r="AK3293" s="10"/>
      <c r="AL3293" s="10"/>
    </row>
    <row r="3294" spans="1:38">
      <c r="A3294" s="10"/>
      <c r="B3294" s="10"/>
      <c r="C3294" s="10"/>
      <c r="D3294" s="10"/>
      <c r="E3294" s="10"/>
      <c r="F3294" s="10"/>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0"/>
      <c r="AH3294" s="10"/>
      <c r="AI3294" s="10"/>
      <c r="AJ3294" s="10"/>
      <c r="AK3294" s="10"/>
      <c r="AL3294" s="10"/>
    </row>
    <row r="3295" spans="1:38">
      <c r="A3295" s="10"/>
      <c r="B3295" s="10"/>
      <c r="C3295" s="10"/>
      <c r="D3295" s="10"/>
      <c r="E3295" s="10"/>
      <c r="F3295" s="10"/>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0"/>
      <c r="AH3295" s="10"/>
      <c r="AI3295" s="10"/>
      <c r="AJ3295" s="10"/>
      <c r="AK3295" s="10"/>
      <c r="AL3295" s="10"/>
    </row>
    <row r="3296" spans="1:38">
      <c r="A3296" s="10"/>
      <c r="B3296" s="10"/>
      <c r="C3296" s="10"/>
      <c r="D3296" s="10"/>
      <c r="E3296" s="10"/>
      <c r="F3296" s="10"/>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0"/>
      <c r="AH3296" s="10"/>
      <c r="AI3296" s="10"/>
      <c r="AJ3296" s="10"/>
      <c r="AK3296" s="10"/>
      <c r="AL3296" s="10"/>
    </row>
    <row r="3298" spans="1:38">
      <c r="A3298" s="11"/>
      <c r="B3298" s="11"/>
      <c r="C3298" s="11"/>
      <c r="D3298" s="11"/>
      <c r="E3298" s="11"/>
      <c r="F3298" s="11"/>
      <c r="G3298" s="11"/>
      <c r="H3298" s="11"/>
      <c r="I3298" s="11"/>
      <c r="J3298" s="11"/>
      <c r="K3298" s="11"/>
      <c r="L3298" s="11"/>
      <c r="M3298" s="11"/>
      <c r="N3298" s="11"/>
      <c r="O3298" s="11"/>
      <c r="P3298" s="11"/>
      <c r="Q3298" s="11"/>
      <c r="R3298" s="11"/>
      <c r="S3298" s="11"/>
      <c r="T3298" s="11"/>
      <c r="U3298" s="11"/>
      <c r="V3298" s="11"/>
      <c r="W3298" s="11"/>
      <c r="X3298" s="11"/>
      <c r="Y3298" s="11"/>
      <c r="Z3298" s="11"/>
      <c r="AA3298" s="11"/>
      <c r="AB3298" s="11"/>
      <c r="AC3298" s="11"/>
      <c r="AD3298" s="11"/>
      <c r="AE3298" s="11"/>
      <c r="AF3298" s="11"/>
      <c r="AG3298" s="11"/>
      <c r="AH3298" s="11"/>
      <c r="AI3298" s="11"/>
      <c r="AJ3298" s="11"/>
      <c r="AK3298" s="11"/>
      <c r="AL3298" s="11"/>
    </row>
    <row r="3303" spans="1:38">
      <c r="A3303" s="14"/>
      <c r="B3303" s="14"/>
      <c r="C3303" s="14"/>
      <c r="D3303" s="14"/>
      <c r="E3303" s="14"/>
      <c r="F3303" s="14"/>
      <c r="G3303" s="14"/>
      <c r="H3303" s="14"/>
      <c r="I3303" s="14"/>
      <c r="J3303" s="14"/>
      <c r="K3303" s="14"/>
      <c r="L3303" s="14"/>
      <c r="M3303" s="14"/>
      <c r="N3303" s="14"/>
      <c r="O3303" s="14"/>
      <c r="P3303" s="14"/>
      <c r="Q3303" s="14"/>
      <c r="R3303" s="14"/>
      <c r="S3303" s="14"/>
      <c r="T3303" s="14"/>
      <c r="U3303" s="14"/>
      <c r="V3303" s="14"/>
      <c r="W3303" s="14"/>
      <c r="X3303" s="14"/>
      <c r="Y3303" s="14"/>
      <c r="Z3303" s="14"/>
      <c r="AA3303" s="14"/>
      <c r="AB3303" s="14"/>
      <c r="AC3303" s="14"/>
      <c r="AD3303" s="14"/>
      <c r="AE3303" s="14"/>
      <c r="AF3303" s="14"/>
      <c r="AG3303" s="14"/>
      <c r="AH3303" s="14"/>
      <c r="AI3303" s="14"/>
      <c r="AJ3303" s="14"/>
      <c r="AK3303" s="14"/>
      <c r="AL3303" s="14"/>
    </row>
    <row r="3304" spans="1:38">
      <c r="A3304" s="9"/>
      <c r="B3304" s="9"/>
      <c r="C3304" s="9"/>
      <c r="D3304" s="9"/>
      <c r="E3304" s="9"/>
      <c r="F3304" s="9"/>
      <c r="G3304" s="9"/>
      <c r="H3304" s="9"/>
      <c r="I3304" s="9"/>
      <c r="J3304" s="9"/>
      <c r="K3304" s="9"/>
      <c r="L3304" s="9"/>
      <c r="M3304" s="9"/>
      <c r="N3304" s="9"/>
      <c r="O3304" s="9"/>
      <c r="P3304" s="9"/>
      <c r="Q3304" s="9"/>
      <c r="R3304" s="9"/>
      <c r="S3304" s="9"/>
      <c r="T3304" s="9"/>
      <c r="U3304" s="9"/>
      <c r="V3304" s="9"/>
      <c r="W3304" s="9"/>
      <c r="X3304" s="9"/>
      <c r="Y3304" s="9"/>
      <c r="Z3304" s="9"/>
      <c r="AA3304" s="9"/>
      <c r="AB3304" s="9"/>
      <c r="AC3304" s="9"/>
      <c r="AD3304" s="9"/>
      <c r="AE3304" s="9"/>
      <c r="AF3304" s="9"/>
      <c r="AG3304" s="9"/>
      <c r="AH3304" s="9"/>
      <c r="AI3304" s="9"/>
      <c r="AJ3304" s="9"/>
      <c r="AK3304" s="9"/>
      <c r="AL3304" s="9"/>
    </row>
    <row r="3305" spans="1:38">
      <c r="A3305" s="10"/>
      <c r="B3305" s="10"/>
      <c r="C3305" s="10"/>
      <c r="D3305" s="10"/>
      <c r="E3305" s="10"/>
      <c r="F3305" s="10"/>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0"/>
      <c r="AH3305" s="10"/>
      <c r="AI3305" s="10"/>
      <c r="AJ3305" s="10"/>
      <c r="AK3305" s="10"/>
      <c r="AL3305" s="10"/>
    </row>
    <row r="3306" spans="1:38">
      <c r="A3306" s="10"/>
      <c r="B3306" s="10"/>
      <c r="C3306" s="10"/>
      <c r="D3306" s="10"/>
      <c r="E3306" s="10"/>
      <c r="F3306" s="10"/>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0"/>
      <c r="AH3306" s="10"/>
      <c r="AI3306" s="10"/>
      <c r="AJ3306" s="10"/>
      <c r="AK3306" s="10"/>
      <c r="AL3306" s="10"/>
    </row>
    <row r="3307" spans="1:38">
      <c r="A3307" s="10"/>
      <c r="B3307" s="10"/>
      <c r="C3307" s="10"/>
      <c r="D3307" s="10"/>
      <c r="E3307" s="10"/>
      <c r="F3307" s="10"/>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0"/>
      <c r="AH3307" s="10"/>
      <c r="AI3307" s="10"/>
      <c r="AJ3307" s="10"/>
      <c r="AK3307" s="10"/>
      <c r="AL3307" s="10"/>
    </row>
    <row r="3308" spans="1:38">
      <c r="A3308" s="10"/>
      <c r="B3308" s="10"/>
      <c r="C3308" s="10"/>
      <c r="D3308" s="10"/>
      <c r="E3308" s="10"/>
      <c r="F3308" s="10"/>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0"/>
      <c r="AH3308" s="10"/>
      <c r="AI3308" s="10"/>
      <c r="AJ3308" s="10"/>
      <c r="AK3308" s="10"/>
      <c r="AL3308" s="10"/>
    </row>
    <row r="3309" spans="1:38">
      <c r="A3309" s="10"/>
      <c r="B3309" s="10"/>
      <c r="C3309" s="10"/>
      <c r="D3309" s="10"/>
      <c r="E3309" s="10"/>
      <c r="F3309" s="10"/>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0"/>
      <c r="AH3309" s="10"/>
      <c r="AI3309" s="10"/>
      <c r="AJ3309" s="10"/>
      <c r="AK3309" s="10"/>
      <c r="AL3309" s="10"/>
    </row>
    <row r="3310" spans="1:38">
      <c r="A3310" s="10"/>
      <c r="B3310" s="10"/>
      <c r="C3310" s="10"/>
      <c r="D3310" s="10"/>
      <c r="E3310" s="10"/>
      <c r="F3310" s="10"/>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0"/>
      <c r="AH3310" s="10"/>
      <c r="AI3310" s="10"/>
      <c r="AJ3310" s="10"/>
      <c r="AK3310" s="10"/>
      <c r="AL3310" s="10"/>
    </row>
    <row r="3311" spans="1:38">
      <c r="A3311" s="10"/>
      <c r="B3311" s="10"/>
      <c r="C3311" s="10"/>
      <c r="D3311" s="10"/>
      <c r="E3311" s="10"/>
      <c r="F3311" s="10"/>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0"/>
      <c r="AH3311" s="10"/>
      <c r="AI3311" s="10"/>
      <c r="AJ3311" s="10"/>
      <c r="AK3311" s="10"/>
      <c r="AL3311" s="10"/>
    </row>
    <row r="3312" spans="1:38">
      <c r="A3312" s="10"/>
      <c r="B3312" s="10"/>
      <c r="C3312" s="10"/>
      <c r="D3312" s="10"/>
      <c r="E3312" s="10"/>
      <c r="F3312" s="10"/>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0"/>
      <c r="AH3312" s="10"/>
      <c r="AI3312" s="10"/>
      <c r="AJ3312" s="10"/>
      <c r="AK3312" s="10"/>
      <c r="AL3312" s="10"/>
    </row>
    <row r="3313" spans="1:38">
      <c r="A3313" s="10"/>
      <c r="B3313" s="10"/>
      <c r="C3313" s="10"/>
      <c r="D3313" s="10"/>
      <c r="E3313" s="10"/>
      <c r="F3313" s="10"/>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0"/>
      <c r="AH3313" s="10"/>
      <c r="AI3313" s="10"/>
      <c r="AJ3313" s="10"/>
      <c r="AK3313" s="10"/>
      <c r="AL3313" s="10"/>
    </row>
    <row r="3314" spans="1:38">
      <c r="A3314" s="10"/>
      <c r="B3314" s="10"/>
      <c r="C3314" s="10"/>
      <c r="D3314" s="10"/>
      <c r="E3314" s="10"/>
      <c r="F3314" s="10"/>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0"/>
      <c r="AH3314" s="10"/>
      <c r="AI3314" s="10"/>
      <c r="AJ3314" s="10"/>
      <c r="AK3314" s="10"/>
      <c r="AL3314" s="10"/>
    </row>
    <row r="3316" spans="1:38">
      <c r="A3316" s="11"/>
      <c r="B3316" s="11"/>
      <c r="C3316" s="11"/>
      <c r="D3316" s="11"/>
      <c r="E3316" s="11"/>
      <c r="F3316" s="11"/>
      <c r="G3316" s="11"/>
      <c r="H3316" s="11"/>
      <c r="I3316" s="11"/>
      <c r="J3316" s="11"/>
      <c r="K3316" s="11"/>
      <c r="L3316" s="11"/>
      <c r="M3316" s="11"/>
      <c r="N3316" s="11"/>
      <c r="O3316" s="11"/>
      <c r="P3316" s="11"/>
      <c r="Q3316" s="11"/>
      <c r="R3316" s="11"/>
      <c r="S3316" s="11"/>
      <c r="T3316" s="11"/>
      <c r="U3316" s="11"/>
      <c r="V3316" s="11"/>
      <c r="W3316" s="11"/>
      <c r="X3316" s="11"/>
      <c r="Y3316" s="11"/>
      <c r="Z3316" s="11"/>
      <c r="AA3316" s="11"/>
      <c r="AB3316" s="11"/>
      <c r="AC3316" s="11"/>
      <c r="AD3316" s="11"/>
      <c r="AE3316" s="11"/>
      <c r="AF3316" s="11"/>
      <c r="AG3316" s="11"/>
      <c r="AH3316" s="11"/>
      <c r="AI3316" s="11"/>
      <c r="AJ3316" s="11"/>
      <c r="AK3316" s="11"/>
      <c r="AL3316" s="11"/>
    </row>
    <row r="3317" spans="1:38">
      <c r="A3317" s="9"/>
      <c r="B3317" s="9"/>
      <c r="C3317" s="9"/>
      <c r="D3317" s="9"/>
      <c r="E3317" s="9"/>
      <c r="F3317" s="9"/>
      <c r="G3317" s="9"/>
      <c r="H3317" s="9"/>
      <c r="I3317" s="9"/>
      <c r="J3317" s="9"/>
      <c r="K3317" s="9"/>
      <c r="L3317" s="9"/>
      <c r="M3317" s="9"/>
      <c r="N3317" s="9"/>
      <c r="O3317" s="9"/>
      <c r="P3317" s="9"/>
      <c r="Q3317" s="9"/>
      <c r="R3317" s="9"/>
      <c r="S3317" s="9"/>
      <c r="T3317" s="9"/>
      <c r="U3317" s="9"/>
      <c r="V3317" s="9"/>
      <c r="W3317" s="9"/>
      <c r="X3317" s="9"/>
      <c r="Y3317" s="9"/>
      <c r="Z3317" s="9"/>
      <c r="AA3317" s="9"/>
      <c r="AB3317" s="9"/>
      <c r="AC3317" s="9"/>
      <c r="AD3317" s="9"/>
      <c r="AE3317" s="9"/>
      <c r="AF3317" s="9"/>
      <c r="AG3317" s="9"/>
      <c r="AH3317" s="9"/>
      <c r="AI3317" s="9"/>
      <c r="AJ3317" s="9"/>
      <c r="AK3317" s="9"/>
      <c r="AL3317" s="9"/>
    </row>
    <row r="3318" spans="1:38">
      <c r="A3318" s="9"/>
      <c r="B3318" s="9"/>
      <c r="C3318" s="9"/>
      <c r="D3318" s="9"/>
      <c r="E3318" s="9"/>
      <c r="F3318" s="9"/>
      <c r="G3318" s="9"/>
      <c r="H3318" s="9"/>
      <c r="I3318" s="9"/>
      <c r="J3318" s="9"/>
      <c r="K3318" s="9"/>
      <c r="L3318" s="9"/>
      <c r="M3318" s="9"/>
      <c r="N3318" s="9"/>
      <c r="O3318" s="9"/>
      <c r="P3318" s="9"/>
      <c r="Q3318" s="9"/>
      <c r="R3318" s="9"/>
      <c r="S3318" s="9"/>
      <c r="T3318" s="9"/>
      <c r="U3318" s="9"/>
      <c r="V3318" s="9"/>
      <c r="W3318" s="9"/>
      <c r="X3318" s="9"/>
      <c r="Y3318" s="9"/>
      <c r="Z3318" s="9"/>
      <c r="AA3318" s="9"/>
      <c r="AB3318" s="9"/>
      <c r="AC3318" s="9"/>
      <c r="AD3318" s="9"/>
      <c r="AE3318" s="9"/>
      <c r="AF3318" s="9"/>
      <c r="AG3318" s="9"/>
      <c r="AH3318" s="9"/>
      <c r="AI3318" s="9"/>
      <c r="AJ3318" s="9"/>
      <c r="AK3318" s="9"/>
      <c r="AL3318" s="9"/>
    </row>
    <row r="3319" spans="1:38">
      <c r="A3319" s="17"/>
      <c r="B3319" s="17"/>
      <c r="C3319" s="17"/>
      <c r="D3319" s="17"/>
      <c r="E3319" s="17"/>
      <c r="F3319" s="17"/>
      <c r="G3319" s="17"/>
      <c r="H3319" s="17"/>
      <c r="I3319" s="17"/>
      <c r="J3319" s="17"/>
      <c r="K3319" s="17"/>
      <c r="L3319" s="17"/>
      <c r="M3319" s="17"/>
      <c r="N3319" s="17"/>
      <c r="O3319" s="17"/>
      <c r="P3319" s="17"/>
      <c r="Q3319" s="17"/>
      <c r="R3319" s="17"/>
      <c r="S3319" s="17"/>
      <c r="T3319" s="17"/>
      <c r="U3319" s="17"/>
      <c r="V3319" s="17"/>
      <c r="W3319" s="17"/>
      <c r="X3319" s="17"/>
      <c r="Y3319" s="17"/>
      <c r="Z3319" s="17"/>
      <c r="AA3319" s="17"/>
      <c r="AB3319" s="17"/>
      <c r="AC3319" s="17"/>
      <c r="AD3319" s="17"/>
      <c r="AE3319" s="17"/>
      <c r="AF3319" s="17"/>
      <c r="AG3319" s="17"/>
      <c r="AH3319" s="17"/>
      <c r="AI3319" s="17"/>
      <c r="AJ3319" s="17"/>
      <c r="AK3319" s="17"/>
      <c r="AL3319" s="17"/>
    </row>
    <row r="3320" spans="1:38">
      <c r="A3320" s="9"/>
      <c r="B3320" s="9"/>
      <c r="C3320" s="9"/>
      <c r="D3320" s="9"/>
      <c r="E3320" s="9"/>
      <c r="F3320" s="9"/>
      <c r="G3320" s="9"/>
      <c r="H3320" s="9"/>
      <c r="I3320" s="9"/>
      <c r="J3320" s="9"/>
      <c r="K3320" s="9"/>
      <c r="L3320" s="9"/>
      <c r="M3320" s="9"/>
      <c r="N3320" s="9"/>
      <c r="O3320" s="9"/>
      <c r="P3320" s="9"/>
      <c r="Q3320" s="9"/>
      <c r="R3320" s="9"/>
      <c r="S3320" s="9"/>
      <c r="T3320" s="9"/>
      <c r="U3320" s="9"/>
      <c r="V3320" s="9"/>
      <c r="W3320" s="9"/>
      <c r="X3320" s="9"/>
      <c r="Y3320" s="9"/>
      <c r="Z3320" s="9"/>
      <c r="AA3320" s="9"/>
      <c r="AB3320" s="9"/>
      <c r="AC3320" s="9"/>
      <c r="AD3320" s="9"/>
      <c r="AE3320" s="9"/>
      <c r="AF3320" s="9"/>
      <c r="AG3320" s="9"/>
      <c r="AH3320" s="9"/>
      <c r="AI3320" s="9"/>
      <c r="AJ3320" s="9"/>
      <c r="AK3320" s="9"/>
      <c r="AL3320" s="9"/>
    </row>
    <row r="3321" spans="1:38">
      <c r="A3321" s="19"/>
      <c r="B3321" s="19"/>
      <c r="C3321" s="19"/>
      <c r="D3321" s="19"/>
      <c r="E3321" s="19"/>
      <c r="F3321" s="19"/>
      <c r="G3321" s="19"/>
      <c r="H3321" s="19"/>
      <c r="I3321" s="19"/>
      <c r="J3321" s="19"/>
      <c r="K3321" s="19"/>
      <c r="L3321" s="19"/>
      <c r="M3321" s="19"/>
      <c r="N3321" s="19"/>
      <c r="O3321" s="19"/>
      <c r="P3321" s="19"/>
      <c r="Q3321" s="19"/>
      <c r="R3321" s="19"/>
      <c r="S3321" s="19"/>
      <c r="T3321" s="19"/>
      <c r="U3321" s="19"/>
      <c r="V3321" s="19"/>
      <c r="W3321" s="19"/>
      <c r="X3321" s="19"/>
      <c r="Y3321" s="19"/>
      <c r="Z3321" s="19"/>
      <c r="AA3321" s="19"/>
      <c r="AB3321" s="19"/>
      <c r="AC3321" s="19"/>
      <c r="AD3321" s="19"/>
      <c r="AE3321" s="19"/>
      <c r="AF3321" s="19"/>
      <c r="AG3321" s="19"/>
      <c r="AH3321" s="19"/>
      <c r="AI3321" s="19"/>
      <c r="AJ3321" s="19"/>
      <c r="AK3321" s="19"/>
      <c r="AL3321" s="19"/>
    </row>
    <row r="3322" spans="1:38">
      <c r="A3322" s="19"/>
      <c r="B3322" s="19"/>
      <c r="C3322" s="19"/>
      <c r="D3322" s="19"/>
      <c r="E3322" s="19"/>
      <c r="F3322" s="19"/>
      <c r="G3322" s="19"/>
      <c r="H3322" s="19"/>
      <c r="I3322" s="19"/>
      <c r="J3322" s="19"/>
      <c r="K3322" s="19"/>
      <c r="L3322" s="19"/>
      <c r="M3322" s="19"/>
      <c r="N3322" s="19"/>
      <c r="O3322" s="19"/>
      <c r="P3322" s="19"/>
      <c r="Q3322" s="19"/>
      <c r="R3322" s="19"/>
      <c r="S3322" s="19"/>
      <c r="T3322" s="19"/>
      <c r="U3322" s="19"/>
      <c r="V3322" s="19"/>
      <c r="W3322" s="19"/>
      <c r="X3322" s="19"/>
      <c r="Y3322" s="19"/>
      <c r="Z3322" s="19"/>
      <c r="AA3322" s="19"/>
      <c r="AB3322" s="19"/>
      <c r="AC3322" s="19"/>
      <c r="AD3322" s="19"/>
      <c r="AE3322" s="19"/>
      <c r="AF3322" s="19"/>
      <c r="AG3322" s="19"/>
      <c r="AH3322" s="19"/>
      <c r="AI3322" s="19"/>
      <c r="AJ3322" s="19"/>
      <c r="AK3322" s="19"/>
      <c r="AL3322" s="19"/>
    </row>
    <row r="3323" spans="1:38">
      <c r="A3323" s="19"/>
      <c r="B3323" s="19"/>
      <c r="C3323" s="19"/>
      <c r="D3323" s="19"/>
      <c r="E3323" s="19"/>
      <c r="F3323" s="19"/>
      <c r="G3323" s="19"/>
      <c r="H3323" s="19"/>
      <c r="I3323" s="19"/>
      <c r="J3323" s="19"/>
      <c r="K3323" s="19"/>
      <c r="L3323" s="19"/>
      <c r="M3323" s="19"/>
      <c r="N3323" s="19"/>
      <c r="O3323" s="19"/>
      <c r="P3323" s="19"/>
      <c r="Q3323" s="19"/>
      <c r="R3323" s="19"/>
      <c r="S3323" s="19"/>
      <c r="T3323" s="19"/>
      <c r="U3323" s="19"/>
      <c r="V3323" s="19"/>
      <c r="W3323" s="19"/>
      <c r="X3323" s="19"/>
      <c r="Y3323" s="19"/>
      <c r="Z3323" s="19"/>
      <c r="AA3323" s="19"/>
      <c r="AB3323" s="19"/>
      <c r="AC3323" s="19"/>
      <c r="AD3323" s="19"/>
      <c r="AE3323" s="19"/>
      <c r="AF3323" s="19"/>
      <c r="AG3323" s="19"/>
      <c r="AH3323" s="19"/>
      <c r="AI3323" s="19"/>
      <c r="AJ3323" s="19"/>
      <c r="AK3323" s="19"/>
      <c r="AL3323" s="19"/>
    </row>
    <row r="3324" spans="1:38">
      <c r="A3324" s="19"/>
      <c r="B3324" s="19"/>
      <c r="C3324" s="19"/>
      <c r="D3324" s="19"/>
      <c r="E3324" s="19"/>
      <c r="F3324" s="19"/>
      <c r="G3324" s="19"/>
      <c r="H3324" s="19"/>
      <c r="I3324" s="19"/>
      <c r="J3324" s="19"/>
      <c r="K3324" s="19"/>
      <c r="L3324" s="19"/>
      <c r="M3324" s="19"/>
      <c r="N3324" s="19"/>
      <c r="O3324" s="19"/>
      <c r="P3324" s="19"/>
      <c r="Q3324" s="19"/>
      <c r="R3324" s="19"/>
      <c r="S3324" s="19"/>
      <c r="T3324" s="19"/>
      <c r="U3324" s="19"/>
      <c r="V3324" s="19"/>
      <c r="W3324" s="19"/>
      <c r="X3324" s="19"/>
      <c r="Y3324" s="19"/>
      <c r="Z3324" s="19"/>
      <c r="AA3324" s="19"/>
      <c r="AB3324" s="19"/>
      <c r="AC3324" s="19"/>
      <c r="AD3324" s="19"/>
      <c r="AE3324" s="19"/>
      <c r="AF3324" s="19"/>
      <c r="AG3324" s="19"/>
      <c r="AH3324" s="19"/>
      <c r="AI3324" s="19"/>
      <c r="AJ3324" s="19"/>
      <c r="AK3324" s="19"/>
      <c r="AL3324" s="19"/>
    </row>
    <row r="3325" spans="1:38">
      <c r="A3325" s="19"/>
      <c r="B3325" s="19"/>
      <c r="C3325" s="19"/>
      <c r="D3325" s="19"/>
      <c r="E3325" s="19"/>
      <c r="F3325" s="19"/>
      <c r="G3325" s="19"/>
      <c r="H3325" s="19"/>
      <c r="I3325" s="19"/>
      <c r="J3325" s="19"/>
      <c r="K3325" s="19"/>
      <c r="L3325" s="19"/>
      <c r="M3325" s="19"/>
      <c r="N3325" s="19"/>
      <c r="O3325" s="19"/>
      <c r="P3325" s="19"/>
      <c r="Q3325" s="19"/>
      <c r="R3325" s="19"/>
      <c r="S3325" s="19"/>
      <c r="T3325" s="19"/>
      <c r="U3325" s="19"/>
      <c r="V3325" s="19"/>
      <c r="W3325" s="19"/>
      <c r="X3325" s="19"/>
      <c r="Y3325" s="19"/>
      <c r="Z3325" s="19"/>
      <c r="AA3325" s="19"/>
      <c r="AB3325" s="19"/>
      <c r="AC3325" s="19"/>
      <c r="AD3325" s="19"/>
      <c r="AE3325" s="19"/>
      <c r="AF3325" s="19"/>
      <c r="AG3325" s="19"/>
      <c r="AH3325" s="19"/>
      <c r="AI3325" s="19"/>
      <c r="AJ3325" s="19"/>
      <c r="AK3325" s="19"/>
      <c r="AL3325" s="19"/>
    </row>
    <row r="3326" spans="1:38">
      <c r="A3326" s="19"/>
      <c r="B3326" s="19"/>
      <c r="C3326" s="19"/>
      <c r="D3326" s="19"/>
      <c r="E3326" s="19"/>
      <c r="F3326" s="19"/>
      <c r="G3326" s="19"/>
      <c r="H3326" s="19"/>
      <c r="I3326" s="19"/>
      <c r="J3326" s="19"/>
      <c r="K3326" s="19"/>
      <c r="L3326" s="19"/>
      <c r="M3326" s="19"/>
      <c r="N3326" s="19"/>
      <c r="O3326" s="19"/>
      <c r="P3326" s="19"/>
      <c r="Q3326" s="19"/>
      <c r="R3326" s="19"/>
      <c r="S3326" s="19"/>
      <c r="T3326" s="19"/>
      <c r="U3326" s="19"/>
      <c r="V3326" s="19"/>
      <c r="W3326" s="19"/>
      <c r="X3326" s="19"/>
      <c r="Y3326" s="19"/>
      <c r="Z3326" s="19"/>
      <c r="AA3326" s="19"/>
      <c r="AB3326" s="19"/>
      <c r="AC3326" s="19"/>
      <c r="AD3326" s="19"/>
      <c r="AE3326" s="19"/>
      <c r="AF3326" s="19"/>
      <c r="AG3326" s="19"/>
      <c r="AH3326" s="19"/>
      <c r="AI3326" s="19"/>
      <c r="AJ3326" s="19"/>
      <c r="AK3326" s="19"/>
      <c r="AL3326" s="19"/>
    </row>
    <row r="3327" spans="1:38">
      <c r="A3327" s="19"/>
      <c r="B3327" s="19"/>
      <c r="C3327" s="19"/>
      <c r="D3327" s="19"/>
      <c r="E3327" s="19"/>
      <c r="F3327" s="19"/>
      <c r="G3327" s="19"/>
      <c r="H3327" s="19"/>
      <c r="I3327" s="19"/>
      <c r="J3327" s="19"/>
      <c r="K3327" s="19"/>
      <c r="L3327" s="19"/>
      <c r="M3327" s="19"/>
      <c r="N3327" s="19"/>
      <c r="O3327" s="19"/>
      <c r="P3327" s="19"/>
      <c r="Q3327" s="19"/>
      <c r="R3327" s="19"/>
      <c r="S3327" s="19"/>
      <c r="T3327" s="19"/>
      <c r="U3327" s="19"/>
      <c r="V3327" s="19"/>
      <c r="W3327" s="19"/>
      <c r="X3327" s="19"/>
      <c r="Y3327" s="19"/>
      <c r="Z3327" s="19"/>
      <c r="AA3327" s="19"/>
      <c r="AB3327" s="19"/>
      <c r="AC3327" s="19"/>
      <c r="AD3327" s="19"/>
      <c r="AE3327" s="19"/>
      <c r="AF3327" s="19"/>
      <c r="AG3327" s="19"/>
      <c r="AH3327" s="19"/>
      <c r="AI3327" s="19"/>
      <c r="AJ3327" s="19"/>
      <c r="AK3327" s="19"/>
      <c r="AL3327" s="19"/>
    </row>
    <row r="3328" spans="1:38">
      <c r="A3328" s="19"/>
      <c r="B3328" s="19"/>
      <c r="C3328" s="19"/>
      <c r="D3328" s="19"/>
      <c r="E3328" s="19"/>
      <c r="F3328" s="19"/>
      <c r="G3328" s="19"/>
      <c r="H3328" s="19"/>
      <c r="I3328" s="19"/>
      <c r="J3328" s="19"/>
      <c r="K3328" s="19"/>
      <c r="L3328" s="19"/>
      <c r="M3328" s="19"/>
      <c r="N3328" s="19"/>
      <c r="O3328" s="19"/>
      <c r="P3328" s="19"/>
      <c r="Q3328" s="19"/>
      <c r="R3328" s="19"/>
      <c r="S3328" s="19"/>
      <c r="T3328" s="19"/>
      <c r="U3328" s="19"/>
      <c r="V3328" s="19"/>
      <c r="W3328" s="19"/>
      <c r="X3328" s="19"/>
      <c r="Y3328" s="19"/>
      <c r="Z3328" s="19"/>
      <c r="AA3328" s="19"/>
      <c r="AB3328" s="19"/>
      <c r="AC3328" s="19"/>
      <c r="AD3328" s="19"/>
      <c r="AE3328" s="19"/>
      <c r="AF3328" s="19"/>
      <c r="AG3328" s="19"/>
      <c r="AH3328" s="19"/>
      <c r="AI3328" s="19"/>
      <c r="AJ3328" s="19"/>
      <c r="AK3328" s="19"/>
      <c r="AL3328" s="19"/>
    </row>
    <row r="3329" spans="1:38">
      <c r="A3329" s="19"/>
      <c r="B3329" s="19"/>
      <c r="C3329" s="19"/>
      <c r="D3329" s="19"/>
      <c r="E3329" s="19"/>
      <c r="F3329" s="19"/>
      <c r="G3329" s="19"/>
      <c r="H3329" s="19"/>
      <c r="I3329" s="19"/>
      <c r="J3329" s="19"/>
      <c r="K3329" s="19"/>
      <c r="L3329" s="19"/>
      <c r="M3329" s="19"/>
      <c r="N3329" s="19"/>
      <c r="O3329" s="19"/>
      <c r="P3329" s="19"/>
      <c r="Q3329" s="19"/>
      <c r="R3329" s="19"/>
      <c r="S3329" s="19"/>
      <c r="T3329" s="19"/>
      <c r="U3329" s="19"/>
      <c r="V3329" s="19"/>
      <c r="W3329" s="19"/>
      <c r="X3329" s="19"/>
      <c r="Y3329" s="19"/>
      <c r="Z3329" s="19"/>
      <c r="AA3329" s="19"/>
      <c r="AB3329" s="19"/>
      <c r="AC3329" s="19"/>
      <c r="AD3329" s="19"/>
      <c r="AE3329" s="19"/>
      <c r="AF3329" s="19"/>
      <c r="AG3329" s="19"/>
      <c r="AH3329" s="19"/>
      <c r="AI3329" s="19"/>
      <c r="AJ3329" s="19"/>
      <c r="AK3329" s="19"/>
      <c r="AL3329" s="19"/>
    </row>
    <row r="3330" spans="1:38">
      <c r="A3330" s="19"/>
      <c r="B3330" s="19"/>
      <c r="C3330" s="19"/>
      <c r="D3330" s="19"/>
      <c r="E3330" s="19"/>
      <c r="F3330" s="19"/>
      <c r="G3330" s="19"/>
      <c r="H3330" s="19"/>
      <c r="I3330" s="19"/>
      <c r="J3330" s="19"/>
      <c r="K3330" s="19"/>
      <c r="L3330" s="19"/>
      <c r="M3330" s="19"/>
      <c r="N3330" s="19"/>
      <c r="O3330" s="19"/>
      <c r="P3330" s="19"/>
      <c r="Q3330" s="19"/>
      <c r="R3330" s="19"/>
      <c r="S3330" s="19"/>
      <c r="T3330" s="19"/>
      <c r="U3330" s="19"/>
      <c r="V3330" s="19"/>
      <c r="W3330" s="19"/>
      <c r="X3330" s="19"/>
      <c r="Y3330" s="19"/>
      <c r="Z3330" s="19"/>
      <c r="AA3330" s="19"/>
      <c r="AB3330" s="19"/>
      <c r="AC3330" s="19"/>
      <c r="AD3330" s="19"/>
      <c r="AE3330" s="19"/>
      <c r="AF3330" s="19"/>
      <c r="AG3330" s="19"/>
      <c r="AH3330" s="19"/>
      <c r="AI3330" s="19"/>
      <c r="AJ3330" s="19"/>
      <c r="AK3330" s="19"/>
      <c r="AL3330" s="19"/>
    </row>
    <row r="3332" spans="1:38">
      <c r="A3332" s="11"/>
      <c r="B3332" s="11"/>
      <c r="C3332" s="11"/>
      <c r="D3332" s="11"/>
      <c r="E3332" s="11"/>
      <c r="F3332" s="11"/>
      <c r="G3332" s="11"/>
      <c r="H3332" s="11"/>
      <c r="I3332" s="11"/>
      <c r="J3332" s="11"/>
      <c r="K3332" s="11"/>
      <c r="L3332" s="11"/>
      <c r="M3332" s="11"/>
      <c r="N3332" s="11"/>
      <c r="O3332" s="11"/>
      <c r="P3332" s="11"/>
      <c r="Q3332" s="11"/>
      <c r="R3332" s="11"/>
      <c r="S3332" s="11"/>
      <c r="T3332" s="11"/>
      <c r="U3332" s="11"/>
      <c r="V3332" s="11"/>
      <c r="W3332" s="11"/>
      <c r="X3332" s="11"/>
      <c r="Y3332" s="11"/>
      <c r="Z3332" s="11"/>
      <c r="AA3332" s="11"/>
      <c r="AB3332" s="11"/>
      <c r="AC3332" s="11"/>
      <c r="AD3332" s="11"/>
      <c r="AE3332" s="11"/>
      <c r="AF3332" s="11"/>
      <c r="AG3332" s="11"/>
      <c r="AH3332" s="11"/>
      <c r="AI3332" s="11"/>
      <c r="AJ3332" s="11"/>
      <c r="AK3332" s="11"/>
      <c r="AL3332" s="11"/>
    </row>
    <row r="3337" spans="1:38">
      <c r="A3337" s="14"/>
      <c r="B3337" s="14"/>
      <c r="C3337" s="14"/>
      <c r="D3337" s="14"/>
      <c r="E3337" s="14"/>
      <c r="F3337" s="14"/>
      <c r="G3337" s="14"/>
      <c r="H3337" s="14"/>
      <c r="I3337" s="14"/>
      <c r="J3337" s="14"/>
      <c r="K3337" s="14"/>
      <c r="L3337" s="14"/>
      <c r="M3337" s="14"/>
      <c r="N3337" s="14"/>
      <c r="O3337" s="14"/>
      <c r="P3337" s="14"/>
      <c r="Q3337" s="14"/>
      <c r="R3337" s="14"/>
      <c r="S3337" s="14"/>
      <c r="T3337" s="14"/>
      <c r="U3337" s="14"/>
      <c r="V3337" s="14"/>
      <c r="W3337" s="14"/>
      <c r="X3337" s="14"/>
      <c r="Y3337" s="14"/>
      <c r="Z3337" s="14"/>
      <c r="AA3337" s="14"/>
      <c r="AB3337" s="14"/>
      <c r="AC3337" s="14"/>
      <c r="AD3337" s="14"/>
      <c r="AE3337" s="14"/>
      <c r="AF3337" s="14"/>
      <c r="AG3337" s="14"/>
      <c r="AH3337" s="14"/>
      <c r="AI3337" s="14"/>
      <c r="AJ3337" s="14"/>
      <c r="AK3337" s="14"/>
      <c r="AL3337" s="14"/>
    </row>
    <row r="3338" spans="1:38">
      <c r="A3338" s="9"/>
      <c r="B3338" s="9"/>
      <c r="C3338" s="9"/>
      <c r="D3338" s="9"/>
      <c r="E3338" s="9"/>
      <c r="F3338" s="9"/>
      <c r="G3338" s="9"/>
      <c r="H3338" s="9"/>
      <c r="I3338" s="9"/>
      <c r="J3338" s="9"/>
      <c r="K3338" s="9"/>
      <c r="L3338" s="9"/>
      <c r="M3338" s="9"/>
      <c r="N3338" s="9"/>
      <c r="O3338" s="9"/>
      <c r="P3338" s="9"/>
      <c r="Q3338" s="9"/>
      <c r="R3338" s="9"/>
      <c r="S3338" s="9"/>
      <c r="T3338" s="9"/>
      <c r="U3338" s="9"/>
      <c r="V3338" s="9"/>
      <c r="W3338" s="9"/>
      <c r="X3338" s="9"/>
      <c r="Y3338" s="9"/>
      <c r="Z3338" s="9"/>
      <c r="AA3338" s="9"/>
      <c r="AB3338" s="9"/>
      <c r="AC3338" s="9"/>
      <c r="AD3338" s="9"/>
      <c r="AE3338" s="9"/>
      <c r="AF3338" s="9"/>
      <c r="AG3338" s="9"/>
      <c r="AH3338" s="9"/>
      <c r="AI3338" s="9"/>
      <c r="AJ3338" s="9"/>
      <c r="AK3338" s="9"/>
      <c r="AL3338" s="9"/>
    </row>
    <row r="3339" spans="1:38">
      <c r="A3339" s="10"/>
      <c r="B3339" s="10"/>
      <c r="C3339" s="10"/>
      <c r="D3339" s="10"/>
      <c r="E3339" s="10"/>
      <c r="F3339" s="10"/>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0"/>
      <c r="AH3339" s="10"/>
      <c r="AI3339" s="10"/>
      <c r="AJ3339" s="10"/>
      <c r="AK3339" s="10"/>
      <c r="AL3339" s="10"/>
    </row>
    <row r="3340" spans="1:38">
      <c r="A3340" s="10"/>
      <c r="B3340" s="10"/>
      <c r="C3340" s="10"/>
      <c r="D3340" s="10"/>
      <c r="E3340" s="10"/>
      <c r="F3340" s="10"/>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0"/>
      <c r="AH3340" s="10"/>
      <c r="AI3340" s="10"/>
      <c r="AJ3340" s="10"/>
      <c r="AK3340" s="10"/>
      <c r="AL3340" s="10"/>
    </row>
    <row r="3341" spans="1:38">
      <c r="A3341" s="10"/>
      <c r="B3341" s="10"/>
      <c r="C3341" s="10"/>
      <c r="D3341" s="10"/>
      <c r="E3341" s="10"/>
      <c r="F3341" s="10"/>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0"/>
      <c r="AH3341" s="10"/>
      <c r="AI3341" s="10"/>
      <c r="AJ3341" s="10"/>
      <c r="AK3341" s="10"/>
      <c r="AL3341" s="10"/>
    </row>
    <row r="3342" spans="1:38">
      <c r="A3342" s="10"/>
      <c r="B3342" s="10"/>
      <c r="C3342" s="10"/>
      <c r="D3342" s="10"/>
      <c r="E3342" s="10"/>
      <c r="F3342" s="10"/>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0"/>
      <c r="AH3342" s="10"/>
      <c r="AI3342" s="10"/>
      <c r="AJ3342" s="10"/>
      <c r="AK3342" s="10"/>
      <c r="AL3342" s="10"/>
    </row>
    <row r="3343" spans="1:38">
      <c r="A3343" s="10"/>
      <c r="B3343" s="10"/>
      <c r="C3343" s="10"/>
      <c r="D3343" s="10"/>
      <c r="E3343" s="10"/>
      <c r="F3343" s="10"/>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0"/>
      <c r="AH3343" s="10"/>
      <c r="AI3343" s="10"/>
      <c r="AJ3343" s="10"/>
      <c r="AK3343" s="10"/>
      <c r="AL3343" s="10"/>
    </row>
    <row r="3344" spans="1:38">
      <c r="A3344" s="10"/>
      <c r="B3344" s="10"/>
      <c r="C3344" s="10"/>
      <c r="D3344" s="10"/>
      <c r="E3344" s="10"/>
      <c r="F3344" s="10"/>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0"/>
      <c r="AH3344" s="10"/>
      <c r="AI3344" s="10"/>
      <c r="AJ3344" s="10"/>
      <c r="AK3344" s="10"/>
      <c r="AL3344" s="10"/>
    </row>
    <row r="3345" spans="1:38">
      <c r="A3345" s="10"/>
      <c r="B3345" s="10"/>
      <c r="C3345" s="10"/>
      <c r="D3345" s="10"/>
      <c r="E3345" s="10"/>
      <c r="F3345" s="10"/>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0"/>
      <c r="AH3345" s="10"/>
      <c r="AI3345" s="10"/>
      <c r="AJ3345" s="10"/>
      <c r="AK3345" s="10"/>
      <c r="AL3345" s="10"/>
    </row>
    <row r="3346" spans="1:38">
      <c r="A3346" s="10"/>
      <c r="B3346" s="10"/>
      <c r="C3346" s="10"/>
      <c r="D3346" s="10"/>
      <c r="E3346" s="10"/>
      <c r="F3346" s="10"/>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0"/>
      <c r="AH3346" s="10"/>
      <c r="AI3346" s="10"/>
      <c r="AJ3346" s="10"/>
      <c r="AK3346" s="10"/>
      <c r="AL3346" s="10"/>
    </row>
    <row r="3347" spans="1:38">
      <c r="A3347" s="10"/>
      <c r="B3347" s="10"/>
      <c r="C3347" s="10"/>
      <c r="D3347" s="10"/>
      <c r="E3347" s="10"/>
      <c r="F3347" s="10"/>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0"/>
      <c r="AH3347" s="10"/>
      <c r="AI3347" s="10"/>
      <c r="AJ3347" s="10"/>
      <c r="AK3347" s="10"/>
      <c r="AL3347" s="10"/>
    </row>
    <row r="3348" spans="1:38">
      <c r="A3348" s="10"/>
      <c r="B3348" s="10"/>
      <c r="C3348" s="10"/>
      <c r="D3348" s="10"/>
      <c r="E3348" s="10"/>
      <c r="F3348" s="10"/>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0"/>
      <c r="AH3348" s="10"/>
      <c r="AI3348" s="10"/>
      <c r="AJ3348" s="10"/>
      <c r="AK3348" s="10"/>
      <c r="AL3348" s="10"/>
    </row>
    <row r="3350" spans="1:38">
      <c r="A3350" s="11"/>
      <c r="B3350" s="11"/>
      <c r="C3350" s="11"/>
      <c r="D3350" s="11"/>
      <c r="E3350" s="11"/>
      <c r="F3350" s="11"/>
      <c r="G3350" s="11"/>
      <c r="H3350" s="11"/>
      <c r="I3350" s="11"/>
      <c r="J3350" s="11"/>
      <c r="K3350" s="11"/>
      <c r="L3350" s="11"/>
      <c r="M3350" s="11"/>
      <c r="N3350" s="11"/>
      <c r="O3350" s="11"/>
      <c r="P3350" s="11"/>
      <c r="Q3350" s="11"/>
      <c r="R3350" s="11"/>
      <c r="S3350" s="11"/>
      <c r="T3350" s="11"/>
      <c r="U3350" s="11"/>
      <c r="V3350" s="11"/>
      <c r="W3350" s="11"/>
      <c r="X3350" s="11"/>
      <c r="Y3350" s="11"/>
      <c r="Z3350" s="11"/>
      <c r="AA3350" s="11"/>
      <c r="AB3350" s="11"/>
      <c r="AC3350" s="11"/>
      <c r="AD3350" s="11"/>
      <c r="AE3350" s="11"/>
      <c r="AF3350" s="11"/>
      <c r="AG3350" s="11"/>
      <c r="AH3350" s="11"/>
      <c r="AI3350" s="11"/>
      <c r="AJ3350" s="11"/>
      <c r="AK3350" s="11"/>
      <c r="AL3350" s="11"/>
    </row>
    <row r="3354" spans="1:38">
      <c r="A3354" s="14"/>
      <c r="B3354" s="14"/>
      <c r="C3354" s="14"/>
      <c r="D3354" s="14"/>
      <c r="E3354" s="14"/>
      <c r="F3354" s="14"/>
      <c r="G3354" s="14"/>
      <c r="H3354" s="14"/>
      <c r="I3354" s="14"/>
      <c r="J3354" s="14"/>
      <c r="K3354" s="14"/>
      <c r="L3354" s="14"/>
      <c r="M3354" s="14"/>
      <c r="N3354" s="14"/>
      <c r="O3354" s="14"/>
      <c r="P3354" s="14"/>
      <c r="Q3354" s="14"/>
      <c r="R3354" s="14"/>
      <c r="S3354" s="14"/>
      <c r="T3354" s="14"/>
      <c r="U3354" s="14"/>
      <c r="V3354" s="14"/>
      <c r="W3354" s="14"/>
      <c r="X3354" s="14"/>
      <c r="Y3354" s="14"/>
      <c r="Z3354" s="14"/>
      <c r="AA3354" s="14"/>
      <c r="AB3354" s="14"/>
      <c r="AC3354" s="14"/>
      <c r="AD3354" s="14"/>
      <c r="AE3354" s="14"/>
      <c r="AF3354" s="14"/>
      <c r="AG3354" s="14"/>
      <c r="AH3354" s="14"/>
      <c r="AI3354" s="14"/>
      <c r="AJ3354" s="14"/>
      <c r="AK3354" s="14"/>
      <c r="AL3354" s="14"/>
    </row>
    <row r="3355" spans="1:38">
      <c r="A3355" s="9"/>
      <c r="B3355" s="9"/>
      <c r="C3355" s="9"/>
      <c r="D3355" s="9"/>
      <c r="E3355" s="9"/>
      <c r="F3355" s="9"/>
      <c r="G3355" s="9"/>
      <c r="H3355" s="9"/>
      <c r="I3355" s="9"/>
      <c r="J3355" s="9"/>
      <c r="K3355" s="9"/>
      <c r="L3355" s="9"/>
      <c r="M3355" s="9"/>
      <c r="N3355" s="9"/>
      <c r="O3355" s="9"/>
      <c r="P3355" s="9"/>
      <c r="Q3355" s="9"/>
      <c r="R3355" s="9"/>
      <c r="S3355" s="9"/>
      <c r="T3355" s="9"/>
      <c r="U3355" s="9"/>
      <c r="V3355" s="9"/>
      <c r="W3355" s="9"/>
      <c r="X3355" s="9"/>
      <c r="Y3355" s="9"/>
      <c r="Z3355" s="9"/>
      <c r="AA3355" s="9"/>
      <c r="AB3355" s="9"/>
      <c r="AC3355" s="9"/>
      <c r="AD3355" s="9"/>
      <c r="AE3355" s="9"/>
      <c r="AF3355" s="9"/>
      <c r="AG3355" s="9"/>
      <c r="AH3355" s="9"/>
      <c r="AI3355" s="9"/>
      <c r="AJ3355" s="9"/>
      <c r="AK3355" s="9"/>
      <c r="AL3355" s="9"/>
    </row>
    <row r="3356" spans="1:38">
      <c r="A3356" s="10"/>
      <c r="B3356" s="10"/>
      <c r="C3356" s="10"/>
      <c r="D3356" s="10"/>
      <c r="E3356" s="10"/>
      <c r="F3356" s="10"/>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0"/>
      <c r="AH3356" s="10"/>
      <c r="AI3356" s="10"/>
      <c r="AJ3356" s="10"/>
      <c r="AK3356" s="10"/>
      <c r="AL3356" s="10"/>
    </row>
    <row r="3357" spans="1:38">
      <c r="A3357" s="10"/>
      <c r="B3357" s="10"/>
      <c r="C3357" s="10"/>
      <c r="D3357" s="10"/>
      <c r="E3357" s="10"/>
      <c r="F3357" s="10"/>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0"/>
      <c r="AH3357" s="10"/>
      <c r="AI3357" s="10"/>
      <c r="AJ3357" s="10"/>
      <c r="AK3357" s="10"/>
      <c r="AL3357" s="10"/>
    </row>
    <row r="3358" spans="1:38">
      <c r="A3358" s="10"/>
      <c r="B3358" s="10"/>
      <c r="C3358" s="10"/>
      <c r="D3358" s="10"/>
      <c r="E3358" s="10"/>
      <c r="F3358" s="10"/>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0"/>
      <c r="AH3358" s="10"/>
      <c r="AI3358" s="10"/>
      <c r="AJ3358" s="10"/>
      <c r="AK3358" s="10"/>
      <c r="AL3358" s="10"/>
    </row>
    <row r="3359" spans="1:38">
      <c r="A3359" s="10"/>
      <c r="B3359" s="10"/>
      <c r="C3359" s="10"/>
      <c r="D3359" s="10"/>
      <c r="E3359" s="10"/>
      <c r="F3359" s="10"/>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0"/>
      <c r="AH3359" s="10"/>
      <c r="AI3359" s="10"/>
      <c r="AJ3359" s="10"/>
      <c r="AK3359" s="10"/>
      <c r="AL3359" s="10"/>
    </row>
    <row r="3360" spans="1:38">
      <c r="A3360" s="10"/>
      <c r="B3360" s="10"/>
      <c r="C3360" s="10"/>
      <c r="D3360" s="10"/>
      <c r="E3360" s="10"/>
      <c r="F3360" s="10"/>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0"/>
      <c r="AH3360" s="10"/>
      <c r="AI3360" s="10"/>
      <c r="AJ3360" s="10"/>
      <c r="AK3360" s="10"/>
      <c r="AL3360" s="10"/>
    </row>
    <row r="3361" spans="1:38">
      <c r="A3361" s="10"/>
      <c r="B3361" s="10"/>
      <c r="C3361" s="10"/>
      <c r="D3361" s="10"/>
      <c r="E3361" s="10"/>
      <c r="F3361" s="10"/>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0"/>
      <c r="AH3361" s="10"/>
      <c r="AI3361" s="10"/>
      <c r="AJ3361" s="10"/>
      <c r="AK3361" s="10"/>
      <c r="AL3361" s="10"/>
    </row>
    <row r="3362" spans="1:38">
      <c r="A3362" s="10"/>
      <c r="B3362" s="10"/>
      <c r="C3362" s="10"/>
      <c r="D3362" s="10"/>
      <c r="E3362" s="10"/>
      <c r="F3362" s="10"/>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0"/>
      <c r="AH3362" s="10"/>
      <c r="AI3362" s="10"/>
      <c r="AJ3362" s="10"/>
      <c r="AK3362" s="10"/>
      <c r="AL3362" s="10"/>
    </row>
    <row r="3363" spans="1:38">
      <c r="A3363" s="10"/>
      <c r="B3363" s="10"/>
      <c r="C3363" s="10"/>
      <c r="D3363" s="10"/>
      <c r="E3363" s="10"/>
      <c r="F3363" s="10"/>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0"/>
      <c r="AH3363" s="10"/>
      <c r="AI3363" s="10"/>
      <c r="AJ3363" s="10"/>
      <c r="AK3363" s="10"/>
      <c r="AL3363" s="10"/>
    </row>
    <row r="3364" spans="1:38">
      <c r="A3364" s="10"/>
      <c r="B3364" s="10"/>
      <c r="C3364" s="10"/>
      <c r="D3364" s="10"/>
      <c r="E3364" s="10"/>
      <c r="F3364" s="10"/>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0"/>
      <c r="AH3364" s="10"/>
      <c r="AI3364" s="10"/>
      <c r="AJ3364" s="10"/>
      <c r="AK3364" s="10"/>
      <c r="AL3364" s="10"/>
    </row>
    <row r="3365" spans="1:38">
      <c r="A3365" s="10"/>
      <c r="B3365" s="10"/>
      <c r="C3365" s="10"/>
      <c r="D3365" s="10"/>
      <c r="E3365" s="10"/>
      <c r="F3365" s="10"/>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0"/>
      <c r="AH3365" s="10"/>
      <c r="AI3365" s="10"/>
      <c r="AJ3365" s="10"/>
      <c r="AK3365" s="10"/>
      <c r="AL3365" s="10"/>
    </row>
    <row r="3367" spans="1:38">
      <c r="A3367" s="11"/>
      <c r="B3367" s="11"/>
      <c r="C3367" s="11"/>
      <c r="D3367" s="11"/>
      <c r="E3367" s="11"/>
      <c r="F3367" s="11"/>
      <c r="G3367" s="11"/>
      <c r="H3367" s="11"/>
      <c r="I3367" s="11"/>
      <c r="J3367" s="11"/>
      <c r="K3367" s="11"/>
      <c r="L3367" s="11"/>
      <c r="M3367" s="11"/>
      <c r="N3367" s="11"/>
      <c r="O3367" s="11"/>
      <c r="P3367" s="11"/>
      <c r="Q3367" s="11"/>
      <c r="R3367" s="11"/>
      <c r="S3367" s="11"/>
      <c r="T3367" s="11"/>
      <c r="U3367" s="11"/>
      <c r="V3367" s="11"/>
      <c r="W3367" s="11"/>
      <c r="X3367" s="11"/>
      <c r="Y3367" s="11"/>
      <c r="Z3367" s="11"/>
      <c r="AA3367" s="11"/>
      <c r="AB3367" s="11"/>
      <c r="AC3367" s="11"/>
      <c r="AD3367" s="11"/>
      <c r="AE3367" s="11"/>
      <c r="AF3367" s="11"/>
      <c r="AG3367" s="11"/>
      <c r="AH3367" s="11"/>
      <c r="AI3367" s="11"/>
      <c r="AJ3367" s="11"/>
      <c r="AK3367" s="11"/>
      <c r="AL3367" s="11"/>
    </row>
    <row r="3371" spans="1:38">
      <c r="A3371" s="14"/>
      <c r="B3371" s="14"/>
      <c r="C3371" s="14"/>
      <c r="D3371" s="14"/>
      <c r="E3371" s="14"/>
      <c r="F3371" s="14"/>
      <c r="G3371" s="14"/>
      <c r="H3371" s="14"/>
      <c r="I3371" s="14"/>
      <c r="J3371" s="14"/>
      <c r="K3371" s="14"/>
      <c r="L3371" s="14"/>
      <c r="M3371" s="14"/>
      <c r="N3371" s="14"/>
      <c r="O3371" s="14"/>
      <c r="P3371" s="14"/>
      <c r="Q3371" s="14"/>
      <c r="R3371" s="14"/>
      <c r="S3371" s="14"/>
      <c r="T3371" s="14"/>
      <c r="U3371" s="14"/>
      <c r="V3371" s="14"/>
      <c r="W3371" s="14"/>
      <c r="X3371" s="14"/>
      <c r="Y3371" s="14"/>
      <c r="Z3371" s="14"/>
      <c r="AA3371" s="14"/>
      <c r="AB3371" s="14"/>
      <c r="AC3371" s="14"/>
      <c r="AD3371" s="14"/>
      <c r="AE3371" s="14"/>
      <c r="AF3371" s="14"/>
      <c r="AG3371" s="14"/>
      <c r="AH3371" s="14"/>
      <c r="AI3371" s="14"/>
      <c r="AJ3371" s="14"/>
      <c r="AK3371" s="14"/>
      <c r="AL3371" s="14"/>
    </row>
    <row r="3372" spans="1:38">
      <c r="A3372" s="9"/>
      <c r="B3372" s="9"/>
      <c r="C3372" s="9"/>
      <c r="D3372" s="9"/>
      <c r="E3372" s="9"/>
      <c r="F3372" s="9"/>
      <c r="G3372" s="9"/>
      <c r="H3372" s="9"/>
      <c r="I3372" s="9"/>
      <c r="J3372" s="9"/>
      <c r="K3372" s="9"/>
      <c r="L3372" s="9"/>
      <c r="M3372" s="9"/>
      <c r="N3372" s="9"/>
      <c r="O3372" s="9"/>
      <c r="P3372" s="9"/>
      <c r="Q3372" s="9"/>
      <c r="R3372" s="9"/>
      <c r="S3372" s="9"/>
      <c r="T3372" s="9"/>
      <c r="U3372" s="9"/>
      <c r="V3372" s="9"/>
      <c r="W3372" s="9"/>
      <c r="X3372" s="9"/>
      <c r="Y3372" s="9"/>
      <c r="Z3372" s="9"/>
      <c r="AA3372" s="9"/>
      <c r="AB3372" s="9"/>
      <c r="AC3372" s="9"/>
      <c r="AD3372" s="9"/>
      <c r="AE3372" s="9"/>
      <c r="AF3372" s="9"/>
      <c r="AG3372" s="9"/>
      <c r="AH3372" s="9"/>
      <c r="AI3372" s="9"/>
      <c r="AJ3372" s="9"/>
      <c r="AK3372" s="9"/>
      <c r="AL3372" s="9"/>
    </row>
    <row r="3373" spans="1:38">
      <c r="A3373" s="10"/>
      <c r="B3373" s="10"/>
      <c r="C3373" s="10"/>
      <c r="D3373" s="10"/>
      <c r="E3373" s="10"/>
      <c r="F3373" s="10"/>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0"/>
      <c r="AH3373" s="10"/>
      <c r="AI3373" s="10"/>
      <c r="AJ3373" s="10"/>
      <c r="AK3373" s="10"/>
      <c r="AL3373" s="10"/>
    </row>
    <row r="3374" spans="1:38">
      <c r="A3374" s="10"/>
      <c r="B3374" s="10"/>
      <c r="C3374" s="10"/>
      <c r="D3374" s="10"/>
      <c r="E3374" s="10"/>
      <c r="F3374" s="10"/>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0"/>
      <c r="AH3374" s="10"/>
      <c r="AI3374" s="10"/>
      <c r="AJ3374" s="10"/>
      <c r="AK3374" s="10"/>
      <c r="AL3374" s="10"/>
    </row>
    <row r="3375" spans="1:38">
      <c r="A3375" s="10"/>
      <c r="B3375" s="10"/>
      <c r="C3375" s="10"/>
      <c r="D3375" s="10"/>
      <c r="E3375" s="10"/>
      <c r="F3375" s="10"/>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0"/>
      <c r="AH3375" s="10"/>
      <c r="AI3375" s="10"/>
      <c r="AJ3375" s="10"/>
      <c r="AK3375" s="10"/>
      <c r="AL3375" s="10"/>
    </row>
    <row r="3376" spans="1:38">
      <c r="A3376" s="10"/>
      <c r="B3376" s="10"/>
      <c r="C3376" s="10"/>
      <c r="D3376" s="10"/>
      <c r="E3376" s="10"/>
      <c r="F3376" s="10"/>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0"/>
      <c r="AH3376" s="10"/>
      <c r="AI3376" s="10"/>
      <c r="AJ3376" s="10"/>
      <c r="AK3376" s="10"/>
      <c r="AL3376" s="10"/>
    </row>
    <row r="3377" spans="1:38">
      <c r="A3377" s="10"/>
      <c r="B3377" s="10"/>
      <c r="C3377" s="10"/>
      <c r="D3377" s="10"/>
      <c r="E3377" s="10"/>
      <c r="F3377" s="10"/>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0"/>
      <c r="AH3377" s="10"/>
      <c r="AI3377" s="10"/>
      <c r="AJ3377" s="10"/>
      <c r="AK3377" s="10"/>
      <c r="AL3377" s="10"/>
    </row>
    <row r="3378" spans="1:38">
      <c r="A3378" s="10"/>
      <c r="B3378" s="10"/>
      <c r="C3378" s="10"/>
      <c r="D3378" s="10"/>
      <c r="E3378" s="10"/>
      <c r="F3378" s="10"/>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0"/>
      <c r="AH3378" s="10"/>
      <c r="AI3378" s="10"/>
      <c r="AJ3378" s="10"/>
      <c r="AK3378" s="10"/>
      <c r="AL3378" s="10"/>
    </row>
    <row r="3379" spans="1:38">
      <c r="A3379" s="10"/>
      <c r="B3379" s="10"/>
      <c r="C3379" s="10"/>
      <c r="D3379" s="10"/>
      <c r="E3379" s="10"/>
      <c r="F3379" s="10"/>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0"/>
      <c r="AH3379" s="10"/>
      <c r="AI3379" s="10"/>
      <c r="AJ3379" s="10"/>
      <c r="AK3379" s="10"/>
      <c r="AL3379" s="10"/>
    </row>
    <row r="3380" spans="1:38">
      <c r="A3380" s="10"/>
      <c r="B3380" s="10"/>
      <c r="C3380" s="10"/>
      <c r="D3380" s="10"/>
      <c r="E3380" s="10"/>
      <c r="F3380" s="10"/>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0"/>
      <c r="AH3380" s="10"/>
      <c r="AI3380" s="10"/>
      <c r="AJ3380" s="10"/>
      <c r="AK3380" s="10"/>
      <c r="AL3380" s="10"/>
    </row>
    <row r="3381" spans="1:38">
      <c r="A3381" s="10"/>
      <c r="B3381" s="10"/>
      <c r="C3381" s="10"/>
      <c r="D3381" s="10"/>
      <c r="E3381" s="10"/>
      <c r="F3381" s="10"/>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0"/>
      <c r="AH3381" s="10"/>
      <c r="AI3381" s="10"/>
      <c r="AJ3381" s="10"/>
      <c r="AK3381" s="10"/>
      <c r="AL3381" s="10"/>
    </row>
    <row r="3382" spans="1:38">
      <c r="A3382" s="10"/>
      <c r="B3382" s="10"/>
      <c r="C3382" s="10"/>
      <c r="D3382" s="10"/>
      <c r="E3382" s="10"/>
      <c r="F3382" s="10"/>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0"/>
      <c r="AH3382" s="10"/>
      <c r="AI3382" s="10"/>
      <c r="AJ3382" s="10"/>
      <c r="AK3382" s="10"/>
      <c r="AL3382" s="10"/>
    </row>
    <row r="3384" spans="1:38">
      <c r="A3384" s="11"/>
      <c r="B3384" s="11"/>
      <c r="C3384" s="11"/>
      <c r="D3384" s="11"/>
      <c r="E3384" s="11"/>
      <c r="F3384" s="11"/>
      <c r="G3384" s="11"/>
      <c r="H3384" s="11"/>
      <c r="I3384" s="11"/>
      <c r="J3384" s="11"/>
      <c r="K3384" s="11"/>
      <c r="L3384" s="11"/>
      <c r="M3384" s="11"/>
      <c r="N3384" s="11"/>
      <c r="O3384" s="11"/>
      <c r="P3384" s="11"/>
      <c r="Q3384" s="11"/>
      <c r="R3384" s="11"/>
      <c r="S3384" s="11"/>
      <c r="T3384" s="11"/>
      <c r="U3384" s="11"/>
      <c r="V3384" s="11"/>
      <c r="W3384" s="11"/>
      <c r="X3384" s="11"/>
      <c r="Y3384" s="11"/>
      <c r="Z3384" s="11"/>
      <c r="AA3384" s="11"/>
      <c r="AB3384" s="11"/>
      <c r="AC3384" s="11"/>
      <c r="AD3384" s="11"/>
      <c r="AE3384" s="11"/>
      <c r="AF3384" s="11"/>
      <c r="AG3384" s="11"/>
      <c r="AH3384" s="11"/>
      <c r="AI3384" s="11"/>
      <c r="AJ3384" s="11"/>
      <c r="AK3384" s="11"/>
      <c r="AL3384" s="11"/>
    </row>
    <row r="3388" spans="1:38">
      <c r="A3388" s="14"/>
      <c r="B3388" s="14"/>
      <c r="C3388" s="14"/>
      <c r="D3388" s="14"/>
      <c r="E3388" s="14"/>
      <c r="F3388" s="14"/>
      <c r="G3388" s="14"/>
      <c r="H3388" s="14"/>
      <c r="I3388" s="14"/>
      <c r="J3388" s="14"/>
      <c r="K3388" s="14"/>
      <c r="L3388" s="14"/>
      <c r="M3388" s="14"/>
      <c r="N3388" s="14"/>
      <c r="O3388" s="14"/>
      <c r="P3388" s="14"/>
      <c r="Q3388" s="14"/>
      <c r="R3388" s="14"/>
      <c r="S3388" s="14"/>
      <c r="T3388" s="14"/>
      <c r="U3388" s="14"/>
      <c r="V3388" s="14"/>
      <c r="W3388" s="14"/>
      <c r="X3388" s="14"/>
      <c r="Y3388" s="14"/>
      <c r="Z3388" s="14"/>
      <c r="AA3388" s="14"/>
      <c r="AB3388" s="14"/>
      <c r="AC3388" s="14"/>
      <c r="AD3388" s="14"/>
      <c r="AE3388" s="14"/>
      <c r="AF3388" s="14"/>
      <c r="AG3388" s="14"/>
      <c r="AH3388" s="14"/>
      <c r="AI3388" s="14"/>
      <c r="AJ3388" s="14"/>
      <c r="AK3388" s="14"/>
      <c r="AL3388" s="14"/>
    </row>
    <row r="3389" spans="1:38">
      <c r="A3389" s="9"/>
      <c r="B3389" s="9"/>
      <c r="C3389" s="9"/>
      <c r="D3389" s="9"/>
      <c r="E3389" s="9"/>
      <c r="F3389" s="9"/>
      <c r="G3389" s="9"/>
      <c r="H3389" s="9"/>
      <c r="I3389" s="9"/>
      <c r="J3389" s="9"/>
      <c r="K3389" s="9"/>
      <c r="L3389" s="9"/>
      <c r="M3389" s="9"/>
      <c r="N3389" s="9"/>
      <c r="O3389" s="9"/>
      <c r="P3389" s="9"/>
      <c r="Q3389" s="9"/>
      <c r="R3389" s="9"/>
      <c r="S3389" s="9"/>
      <c r="T3389" s="9"/>
      <c r="U3389" s="9"/>
      <c r="V3389" s="9"/>
      <c r="W3389" s="9"/>
      <c r="X3389" s="9"/>
      <c r="Y3389" s="9"/>
      <c r="Z3389" s="9"/>
      <c r="AA3389" s="9"/>
      <c r="AB3389" s="9"/>
      <c r="AC3389" s="9"/>
      <c r="AD3389" s="9"/>
      <c r="AE3389" s="9"/>
      <c r="AF3389" s="9"/>
      <c r="AG3389" s="9"/>
      <c r="AH3389" s="9"/>
      <c r="AI3389" s="9"/>
      <c r="AJ3389" s="9"/>
      <c r="AK3389" s="9"/>
      <c r="AL3389" s="9"/>
    </row>
    <row r="3390" spans="1:38">
      <c r="A3390" s="10"/>
      <c r="B3390" s="10"/>
      <c r="C3390" s="10"/>
      <c r="D3390" s="10"/>
      <c r="E3390" s="10"/>
      <c r="F3390" s="10"/>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0"/>
      <c r="AH3390" s="10"/>
      <c r="AI3390" s="10"/>
      <c r="AJ3390" s="10"/>
      <c r="AK3390" s="10"/>
      <c r="AL3390" s="10"/>
    </row>
    <row r="3391" spans="1:38">
      <c r="A3391" s="10"/>
      <c r="B3391" s="10"/>
      <c r="C3391" s="10"/>
      <c r="D3391" s="10"/>
      <c r="E3391" s="10"/>
      <c r="F3391" s="10"/>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0"/>
      <c r="AH3391" s="10"/>
      <c r="AI3391" s="10"/>
      <c r="AJ3391" s="10"/>
      <c r="AK3391" s="10"/>
      <c r="AL3391" s="10"/>
    </row>
    <row r="3392" spans="1:38">
      <c r="A3392" s="10"/>
      <c r="B3392" s="10"/>
      <c r="C3392" s="10"/>
      <c r="D3392" s="10"/>
      <c r="E3392" s="10"/>
      <c r="F3392" s="10"/>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0"/>
      <c r="AH3392" s="10"/>
      <c r="AI3392" s="10"/>
      <c r="AJ3392" s="10"/>
      <c r="AK3392" s="10"/>
      <c r="AL3392" s="10"/>
    </row>
    <row r="3393" spans="1:38">
      <c r="A3393" s="10"/>
      <c r="B3393" s="10"/>
      <c r="C3393" s="10"/>
      <c r="D3393" s="10"/>
      <c r="E3393" s="10"/>
      <c r="F3393" s="10"/>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0"/>
      <c r="AH3393" s="10"/>
      <c r="AI3393" s="10"/>
      <c r="AJ3393" s="10"/>
      <c r="AK3393" s="10"/>
      <c r="AL3393" s="10"/>
    </row>
    <row r="3394" spans="1:38">
      <c r="A3394" s="10"/>
      <c r="B3394" s="10"/>
      <c r="C3394" s="10"/>
      <c r="D3394" s="10"/>
      <c r="E3394" s="10"/>
      <c r="F3394" s="10"/>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0"/>
      <c r="AH3394" s="10"/>
      <c r="AI3394" s="10"/>
      <c r="AJ3394" s="10"/>
      <c r="AK3394" s="10"/>
      <c r="AL3394" s="10"/>
    </row>
    <row r="3395" spans="1:38">
      <c r="A3395" s="10"/>
      <c r="B3395" s="10"/>
      <c r="C3395" s="10"/>
      <c r="D3395" s="10"/>
      <c r="E3395" s="10"/>
      <c r="F3395" s="10"/>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0"/>
      <c r="AH3395" s="10"/>
      <c r="AI3395" s="10"/>
      <c r="AJ3395" s="10"/>
      <c r="AK3395" s="10"/>
      <c r="AL3395" s="10"/>
    </row>
    <row r="3396" spans="1:38">
      <c r="A3396" s="10"/>
      <c r="B3396" s="10"/>
      <c r="C3396" s="10"/>
      <c r="D3396" s="10"/>
      <c r="E3396" s="10"/>
      <c r="F3396" s="10"/>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0"/>
      <c r="AH3396" s="10"/>
      <c r="AI3396" s="10"/>
      <c r="AJ3396" s="10"/>
      <c r="AK3396" s="10"/>
      <c r="AL3396" s="10"/>
    </row>
    <row r="3397" spans="1:38">
      <c r="A3397" s="10"/>
      <c r="B3397" s="10"/>
      <c r="C3397" s="10"/>
      <c r="D3397" s="10"/>
      <c r="E3397" s="10"/>
      <c r="F3397" s="10"/>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0"/>
      <c r="AH3397" s="10"/>
      <c r="AI3397" s="10"/>
      <c r="AJ3397" s="10"/>
      <c r="AK3397" s="10"/>
      <c r="AL3397" s="10"/>
    </row>
    <row r="3398" spans="1:38">
      <c r="A3398" s="10"/>
      <c r="B3398" s="10"/>
      <c r="C3398" s="10"/>
      <c r="D3398" s="10"/>
      <c r="E3398" s="10"/>
      <c r="F3398" s="10"/>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0"/>
      <c r="AH3398" s="10"/>
      <c r="AI3398" s="10"/>
      <c r="AJ3398" s="10"/>
      <c r="AK3398" s="10"/>
      <c r="AL3398" s="10"/>
    </row>
    <row r="3399" spans="1:38">
      <c r="A3399" s="10"/>
      <c r="B3399" s="10"/>
      <c r="C3399" s="10"/>
      <c r="D3399" s="10"/>
      <c r="E3399" s="10"/>
      <c r="F3399" s="10"/>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0"/>
      <c r="AH3399" s="10"/>
      <c r="AI3399" s="10"/>
      <c r="AJ3399" s="10"/>
      <c r="AK3399" s="10"/>
      <c r="AL3399" s="10"/>
    </row>
    <row r="3401" spans="1:38">
      <c r="A3401" s="11"/>
      <c r="B3401" s="11"/>
      <c r="C3401" s="11"/>
      <c r="D3401" s="11"/>
      <c r="E3401" s="11"/>
      <c r="F3401" s="11"/>
      <c r="G3401" s="11"/>
      <c r="H3401" s="11"/>
      <c r="I3401" s="11"/>
      <c r="J3401" s="11"/>
      <c r="K3401" s="11"/>
      <c r="L3401" s="11"/>
      <c r="M3401" s="11"/>
      <c r="N3401" s="11"/>
      <c r="O3401" s="11"/>
      <c r="P3401" s="11"/>
      <c r="Q3401" s="11"/>
      <c r="R3401" s="11"/>
      <c r="S3401" s="11"/>
      <c r="T3401" s="11"/>
      <c r="U3401" s="11"/>
      <c r="V3401" s="11"/>
      <c r="W3401" s="11"/>
      <c r="X3401" s="11"/>
      <c r="Y3401" s="11"/>
      <c r="Z3401" s="11"/>
      <c r="AA3401" s="11"/>
      <c r="AB3401" s="11"/>
      <c r="AC3401" s="11"/>
      <c r="AD3401" s="11"/>
      <c r="AE3401" s="11"/>
      <c r="AF3401" s="11"/>
      <c r="AG3401" s="11"/>
      <c r="AH3401" s="11"/>
      <c r="AI3401" s="11"/>
      <c r="AJ3401" s="11"/>
      <c r="AK3401" s="11"/>
      <c r="AL3401" s="11"/>
    </row>
    <row r="3416" spans="1:38">
      <c r="A3416" s="14"/>
      <c r="B3416" s="14"/>
      <c r="C3416" s="14"/>
      <c r="D3416" s="14"/>
      <c r="E3416" s="14"/>
      <c r="F3416" s="14"/>
      <c r="G3416" s="14"/>
      <c r="H3416" s="14"/>
      <c r="I3416" s="14"/>
      <c r="J3416" s="14"/>
      <c r="K3416" s="14"/>
      <c r="L3416" s="14"/>
      <c r="M3416" s="14"/>
      <c r="N3416" s="14"/>
      <c r="O3416" s="14"/>
      <c r="P3416" s="14"/>
      <c r="Q3416" s="14"/>
      <c r="R3416" s="14"/>
      <c r="S3416" s="14"/>
      <c r="T3416" s="14"/>
      <c r="U3416" s="14"/>
      <c r="V3416" s="14"/>
      <c r="W3416" s="14"/>
      <c r="X3416" s="14"/>
      <c r="Y3416" s="14"/>
      <c r="Z3416" s="14"/>
      <c r="AA3416" s="14"/>
      <c r="AB3416" s="14"/>
      <c r="AC3416" s="14"/>
      <c r="AD3416" s="14"/>
      <c r="AE3416" s="14"/>
      <c r="AF3416" s="14"/>
      <c r="AG3416" s="14"/>
      <c r="AH3416" s="14"/>
      <c r="AI3416" s="14"/>
      <c r="AJ3416" s="14"/>
      <c r="AK3416" s="14"/>
      <c r="AL3416" s="14"/>
    </row>
    <row r="3417" spans="1:38">
      <c r="A3417" s="9"/>
      <c r="B3417" s="9"/>
      <c r="C3417" s="9"/>
      <c r="D3417" s="9"/>
      <c r="E3417" s="9"/>
      <c r="F3417" s="9"/>
      <c r="G3417" s="9"/>
      <c r="H3417" s="9"/>
      <c r="I3417" s="9"/>
      <c r="J3417" s="9"/>
      <c r="K3417" s="9"/>
      <c r="L3417" s="9"/>
      <c r="M3417" s="9"/>
      <c r="N3417" s="9"/>
      <c r="O3417" s="9"/>
      <c r="P3417" s="9"/>
      <c r="Q3417" s="9"/>
      <c r="R3417" s="9"/>
      <c r="S3417" s="9"/>
      <c r="T3417" s="9"/>
      <c r="U3417" s="9"/>
      <c r="V3417" s="9"/>
      <c r="W3417" s="9"/>
      <c r="X3417" s="9"/>
      <c r="Y3417" s="9"/>
      <c r="Z3417" s="9"/>
      <c r="AA3417" s="9"/>
      <c r="AB3417" s="9"/>
      <c r="AC3417" s="9"/>
      <c r="AD3417" s="9"/>
      <c r="AE3417" s="9"/>
      <c r="AF3417" s="9"/>
      <c r="AG3417" s="9"/>
      <c r="AH3417" s="9"/>
      <c r="AI3417" s="9"/>
      <c r="AJ3417" s="9"/>
      <c r="AK3417" s="9"/>
      <c r="AL3417" s="9"/>
    </row>
    <row r="3418" spans="1:38">
      <c r="A3418" s="10"/>
      <c r="B3418" s="10"/>
      <c r="C3418" s="10"/>
      <c r="D3418" s="10"/>
      <c r="E3418" s="10"/>
      <c r="F3418" s="10"/>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0"/>
      <c r="AH3418" s="10"/>
      <c r="AI3418" s="10"/>
      <c r="AJ3418" s="10"/>
      <c r="AK3418" s="10"/>
      <c r="AL3418" s="10"/>
    </row>
    <row r="3419" spans="1:38">
      <c r="A3419" s="10"/>
      <c r="B3419" s="10"/>
      <c r="C3419" s="10"/>
      <c r="D3419" s="10"/>
      <c r="E3419" s="10"/>
      <c r="F3419" s="10"/>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0"/>
      <c r="AH3419" s="10"/>
      <c r="AI3419" s="10"/>
      <c r="AJ3419" s="10"/>
      <c r="AK3419" s="10"/>
      <c r="AL3419" s="10"/>
    </row>
    <row r="3420" spans="1:38">
      <c r="A3420" s="10"/>
      <c r="B3420" s="10"/>
      <c r="C3420" s="10"/>
      <c r="D3420" s="10"/>
      <c r="E3420" s="10"/>
      <c r="F3420" s="10"/>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0"/>
      <c r="AH3420" s="10"/>
      <c r="AI3420" s="10"/>
      <c r="AJ3420" s="10"/>
      <c r="AK3420" s="10"/>
      <c r="AL3420" s="10"/>
    </row>
    <row r="3421" spans="1:38">
      <c r="A3421" s="10"/>
      <c r="B3421" s="10"/>
      <c r="C3421" s="10"/>
      <c r="D3421" s="10"/>
      <c r="E3421" s="10"/>
      <c r="F3421" s="10"/>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0"/>
      <c r="AH3421" s="10"/>
      <c r="AI3421" s="10"/>
      <c r="AJ3421" s="10"/>
      <c r="AK3421" s="10"/>
      <c r="AL3421" s="10"/>
    </row>
    <row r="3422" spans="1:38">
      <c r="A3422" s="10"/>
      <c r="B3422" s="10"/>
      <c r="C3422" s="10"/>
      <c r="D3422" s="10"/>
      <c r="E3422" s="10"/>
      <c r="F3422" s="10"/>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0"/>
      <c r="AH3422" s="10"/>
      <c r="AI3422" s="10"/>
      <c r="AJ3422" s="10"/>
      <c r="AK3422" s="10"/>
      <c r="AL3422" s="10"/>
    </row>
    <row r="3423" spans="1:38">
      <c r="A3423" s="10"/>
      <c r="B3423" s="10"/>
      <c r="C3423" s="10"/>
      <c r="D3423" s="10"/>
      <c r="E3423" s="10"/>
      <c r="F3423" s="10"/>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0"/>
      <c r="AH3423" s="10"/>
      <c r="AI3423" s="10"/>
      <c r="AJ3423" s="10"/>
      <c r="AK3423" s="10"/>
      <c r="AL3423" s="10"/>
    </row>
    <row r="3424" spans="1:38">
      <c r="A3424" s="10"/>
      <c r="B3424" s="10"/>
      <c r="C3424" s="10"/>
      <c r="D3424" s="10"/>
      <c r="E3424" s="10"/>
      <c r="F3424" s="10"/>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0"/>
      <c r="AH3424" s="10"/>
      <c r="AI3424" s="10"/>
      <c r="AJ3424" s="10"/>
      <c r="AK3424" s="10"/>
      <c r="AL3424" s="10"/>
    </row>
    <row r="3425" spans="1:38">
      <c r="A3425" s="10"/>
      <c r="B3425" s="10"/>
      <c r="C3425" s="10"/>
      <c r="D3425" s="10"/>
      <c r="E3425" s="10"/>
      <c r="F3425" s="10"/>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0"/>
      <c r="AH3425" s="10"/>
      <c r="AI3425" s="10"/>
      <c r="AJ3425" s="10"/>
      <c r="AK3425" s="10"/>
      <c r="AL3425" s="10"/>
    </row>
    <row r="3426" spans="1:38">
      <c r="A3426" s="10"/>
      <c r="B3426" s="10"/>
      <c r="C3426" s="10"/>
      <c r="D3426" s="10"/>
      <c r="E3426" s="10"/>
      <c r="F3426" s="10"/>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0"/>
      <c r="AH3426" s="10"/>
      <c r="AI3426" s="10"/>
      <c r="AJ3426" s="10"/>
      <c r="AK3426" s="10"/>
      <c r="AL3426" s="10"/>
    </row>
    <row r="3427" spans="1:38">
      <c r="A3427" s="10"/>
      <c r="B3427" s="10"/>
      <c r="C3427" s="10"/>
      <c r="D3427" s="10"/>
      <c r="E3427" s="10"/>
      <c r="F3427" s="10"/>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0"/>
      <c r="AH3427" s="10"/>
      <c r="AI3427" s="10"/>
      <c r="AJ3427" s="10"/>
      <c r="AK3427" s="10"/>
      <c r="AL3427" s="10"/>
    </row>
    <row r="3428" spans="1:38">
      <c r="A3428" s="10"/>
      <c r="B3428" s="10"/>
      <c r="C3428" s="10"/>
      <c r="D3428" s="10"/>
      <c r="E3428" s="10"/>
      <c r="F3428" s="10"/>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0"/>
      <c r="AH3428" s="10"/>
      <c r="AI3428" s="10"/>
      <c r="AJ3428" s="10"/>
      <c r="AK3428" s="10"/>
      <c r="AL3428" s="10"/>
    </row>
    <row r="3429" spans="1:38">
      <c r="A3429" s="11"/>
      <c r="B3429" s="11"/>
      <c r="C3429" s="11"/>
      <c r="D3429" s="11"/>
      <c r="E3429" s="11"/>
      <c r="F3429" s="11"/>
      <c r="G3429" s="11"/>
      <c r="H3429" s="11"/>
      <c r="I3429" s="11"/>
      <c r="J3429" s="11"/>
      <c r="K3429" s="11"/>
      <c r="L3429" s="11"/>
      <c r="M3429" s="11"/>
      <c r="N3429" s="11"/>
      <c r="O3429" s="11"/>
      <c r="P3429" s="11"/>
      <c r="Q3429" s="11"/>
      <c r="R3429" s="11"/>
      <c r="S3429" s="11"/>
      <c r="T3429" s="11"/>
      <c r="U3429" s="11"/>
      <c r="V3429" s="11"/>
      <c r="W3429" s="11"/>
      <c r="X3429" s="11"/>
      <c r="Y3429" s="11"/>
      <c r="Z3429" s="11"/>
      <c r="AA3429" s="11"/>
      <c r="AB3429" s="11"/>
      <c r="AC3429" s="11"/>
      <c r="AD3429" s="11"/>
      <c r="AE3429" s="11"/>
      <c r="AF3429" s="11"/>
      <c r="AG3429" s="11"/>
      <c r="AH3429" s="11"/>
      <c r="AI3429" s="11"/>
      <c r="AJ3429" s="11"/>
      <c r="AK3429" s="11"/>
      <c r="AL3429" s="11"/>
    </row>
    <row r="3448" spans="1:38">
      <c r="A3448" s="14"/>
      <c r="B3448" s="14"/>
      <c r="C3448" s="14"/>
      <c r="D3448" s="14"/>
      <c r="E3448" s="14"/>
      <c r="F3448" s="14"/>
      <c r="G3448" s="14"/>
      <c r="H3448" s="14"/>
      <c r="I3448" s="14"/>
      <c r="J3448" s="14"/>
      <c r="K3448" s="14"/>
      <c r="L3448" s="14"/>
      <c r="M3448" s="14"/>
      <c r="N3448" s="14"/>
      <c r="O3448" s="14"/>
      <c r="P3448" s="14"/>
      <c r="Q3448" s="14"/>
      <c r="R3448" s="14"/>
      <c r="S3448" s="14"/>
      <c r="T3448" s="14"/>
      <c r="U3448" s="14"/>
      <c r="V3448" s="14"/>
      <c r="W3448" s="14"/>
      <c r="X3448" s="14"/>
      <c r="Y3448" s="14"/>
      <c r="Z3448" s="14"/>
      <c r="AA3448" s="14"/>
      <c r="AB3448" s="14"/>
      <c r="AC3448" s="14"/>
      <c r="AD3448" s="14"/>
      <c r="AE3448" s="14"/>
      <c r="AF3448" s="14"/>
      <c r="AG3448" s="14"/>
      <c r="AH3448" s="14"/>
      <c r="AI3448" s="14"/>
      <c r="AJ3448" s="14"/>
      <c r="AK3448" s="14"/>
      <c r="AL3448" s="14"/>
    </row>
    <row r="3449" spans="1:38">
      <c r="A3449" s="9"/>
      <c r="B3449" s="9"/>
      <c r="C3449" s="9"/>
      <c r="D3449" s="9"/>
      <c r="E3449" s="9"/>
      <c r="F3449" s="9"/>
      <c r="G3449" s="9"/>
      <c r="H3449" s="9"/>
      <c r="I3449" s="9"/>
      <c r="J3449" s="9"/>
      <c r="K3449" s="9"/>
      <c r="L3449" s="9"/>
      <c r="M3449" s="9"/>
      <c r="N3449" s="9"/>
      <c r="O3449" s="9"/>
      <c r="P3449" s="9"/>
      <c r="Q3449" s="9"/>
      <c r="R3449" s="9"/>
      <c r="S3449" s="9"/>
      <c r="T3449" s="9"/>
      <c r="U3449" s="9"/>
      <c r="V3449" s="9"/>
      <c r="W3449" s="9"/>
      <c r="X3449" s="9"/>
      <c r="Y3449" s="9"/>
      <c r="Z3449" s="9"/>
      <c r="AA3449" s="9"/>
      <c r="AB3449" s="9"/>
      <c r="AC3449" s="9"/>
      <c r="AD3449" s="9"/>
      <c r="AE3449" s="9"/>
      <c r="AF3449" s="9"/>
      <c r="AG3449" s="9"/>
      <c r="AH3449" s="9"/>
      <c r="AI3449" s="9"/>
      <c r="AJ3449" s="9"/>
      <c r="AK3449" s="9"/>
      <c r="AL3449" s="9"/>
    </row>
    <row r="3450" spans="1:38">
      <c r="A3450" s="10"/>
      <c r="B3450" s="10"/>
      <c r="C3450" s="10"/>
      <c r="D3450" s="10"/>
      <c r="E3450" s="10"/>
      <c r="F3450" s="10"/>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0"/>
      <c r="AH3450" s="10"/>
      <c r="AI3450" s="10"/>
      <c r="AJ3450" s="10"/>
      <c r="AK3450" s="10"/>
      <c r="AL3450" s="10"/>
    </row>
    <row r="3451" spans="1:38">
      <c r="A3451" s="10"/>
      <c r="B3451" s="10"/>
      <c r="C3451" s="10"/>
      <c r="D3451" s="10"/>
      <c r="E3451" s="10"/>
      <c r="F3451" s="10"/>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0"/>
      <c r="AH3451" s="10"/>
      <c r="AI3451" s="10"/>
      <c r="AJ3451" s="10"/>
      <c r="AK3451" s="10"/>
      <c r="AL3451" s="10"/>
    </row>
    <row r="3452" spans="1:38">
      <c r="A3452" s="10"/>
      <c r="B3452" s="10"/>
      <c r="C3452" s="10"/>
      <c r="D3452" s="10"/>
      <c r="E3452" s="10"/>
      <c r="F3452" s="10"/>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0"/>
      <c r="AH3452" s="10"/>
      <c r="AI3452" s="10"/>
      <c r="AJ3452" s="10"/>
      <c r="AK3452" s="10"/>
      <c r="AL3452" s="10"/>
    </row>
    <row r="3453" spans="1:38">
      <c r="A3453" s="10"/>
      <c r="B3453" s="10"/>
      <c r="C3453" s="10"/>
      <c r="D3453" s="10"/>
      <c r="E3453" s="10"/>
      <c r="F3453" s="10"/>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0"/>
      <c r="AH3453" s="10"/>
      <c r="AI3453" s="10"/>
      <c r="AJ3453" s="10"/>
      <c r="AK3453" s="10"/>
      <c r="AL3453" s="10"/>
    </row>
    <row r="3454" spans="1:38">
      <c r="A3454" s="10"/>
      <c r="B3454" s="10"/>
      <c r="C3454" s="10"/>
      <c r="D3454" s="10"/>
      <c r="E3454" s="10"/>
      <c r="F3454" s="10"/>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0"/>
      <c r="AH3454" s="10"/>
      <c r="AI3454" s="10"/>
      <c r="AJ3454" s="10"/>
      <c r="AK3454" s="10"/>
      <c r="AL3454" s="10"/>
    </row>
    <row r="3455" spans="1:38">
      <c r="A3455" s="10"/>
      <c r="B3455" s="10"/>
      <c r="C3455" s="10"/>
      <c r="D3455" s="10"/>
      <c r="E3455" s="10"/>
      <c r="F3455" s="10"/>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0"/>
      <c r="AH3455" s="10"/>
      <c r="AI3455" s="10"/>
      <c r="AJ3455" s="10"/>
      <c r="AK3455" s="10"/>
      <c r="AL3455" s="10"/>
    </row>
    <row r="3456" spans="1:38">
      <c r="A3456" s="10"/>
      <c r="B3456" s="10"/>
      <c r="C3456" s="10"/>
      <c r="D3456" s="10"/>
      <c r="E3456" s="10"/>
      <c r="F3456" s="10"/>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0"/>
      <c r="AH3456" s="10"/>
      <c r="AI3456" s="10"/>
      <c r="AJ3456" s="10"/>
      <c r="AK3456" s="10"/>
      <c r="AL3456" s="10"/>
    </row>
    <row r="3457" spans="1:38">
      <c r="A3457" s="10"/>
      <c r="B3457" s="10"/>
      <c r="C3457" s="10"/>
      <c r="D3457" s="10"/>
      <c r="E3457" s="10"/>
      <c r="F3457" s="10"/>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0"/>
      <c r="AH3457" s="10"/>
      <c r="AI3457" s="10"/>
      <c r="AJ3457" s="10"/>
      <c r="AK3457" s="10"/>
      <c r="AL3457" s="10"/>
    </row>
    <row r="3458" spans="1:38">
      <c r="A3458" s="10"/>
      <c r="B3458" s="10"/>
      <c r="C3458" s="10"/>
      <c r="D3458" s="10"/>
      <c r="E3458" s="10"/>
      <c r="F3458" s="10"/>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0"/>
      <c r="AH3458" s="10"/>
      <c r="AI3458" s="10"/>
      <c r="AJ3458" s="10"/>
      <c r="AK3458" s="10"/>
      <c r="AL3458" s="10"/>
    </row>
    <row r="3459" spans="1:38">
      <c r="A3459" s="10"/>
      <c r="B3459" s="10"/>
      <c r="C3459" s="10"/>
      <c r="D3459" s="10"/>
      <c r="E3459" s="10"/>
      <c r="F3459" s="10"/>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0"/>
      <c r="AH3459" s="10"/>
      <c r="AI3459" s="10"/>
      <c r="AJ3459" s="10"/>
      <c r="AK3459" s="10"/>
      <c r="AL3459" s="10"/>
    </row>
    <row r="3460" spans="1:38">
      <c r="A3460" s="11"/>
      <c r="B3460" s="11"/>
      <c r="C3460" s="11"/>
      <c r="D3460" s="11"/>
      <c r="E3460" s="11"/>
      <c r="F3460" s="11"/>
      <c r="G3460" s="11"/>
      <c r="H3460" s="11"/>
      <c r="I3460" s="11"/>
      <c r="J3460" s="11"/>
      <c r="K3460" s="11"/>
      <c r="L3460" s="11"/>
      <c r="M3460" s="11"/>
      <c r="N3460" s="11"/>
      <c r="O3460" s="11"/>
      <c r="P3460" s="11"/>
      <c r="Q3460" s="11"/>
      <c r="R3460" s="11"/>
      <c r="S3460" s="11"/>
      <c r="T3460" s="11"/>
      <c r="U3460" s="11"/>
      <c r="V3460" s="11"/>
      <c r="W3460" s="11"/>
      <c r="X3460" s="11"/>
      <c r="Y3460" s="11"/>
      <c r="Z3460" s="11"/>
      <c r="AA3460" s="11"/>
      <c r="AB3460" s="11"/>
      <c r="AC3460" s="11"/>
      <c r="AD3460" s="11"/>
      <c r="AE3460" s="11"/>
      <c r="AF3460" s="11"/>
      <c r="AG3460" s="11"/>
      <c r="AH3460" s="11"/>
      <c r="AI3460" s="11"/>
      <c r="AJ3460" s="11"/>
      <c r="AK3460" s="11"/>
      <c r="AL3460" s="11"/>
    </row>
    <row r="3476" spans="1:38">
      <c r="A3476" s="14"/>
      <c r="B3476" s="14"/>
      <c r="C3476" s="14"/>
      <c r="D3476" s="14"/>
      <c r="E3476" s="14"/>
      <c r="F3476" s="14"/>
      <c r="G3476" s="14"/>
      <c r="H3476" s="14"/>
      <c r="I3476" s="14"/>
      <c r="J3476" s="14"/>
      <c r="K3476" s="14"/>
      <c r="L3476" s="14"/>
      <c r="M3476" s="14"/>
      <c r="N3476" s="14"/>
      <c r="O3476" s="14"/>
      <c r="P3476" s="14"/>
      <c r="Q3476" s="14"/>
      <c r="R3476" s="14"/>
      <c r="S3476" s="14"/>
      <c r="T3476" s="14"/>
      <c r="U3476" s="14"/>
      <c r="V3476" s="14"/>
      <c r="W3476" s="14"/>
      <c r="X3476" s="14"/>
      <c r="Y3476" s="14"/>
      <c r="Z3476" s="14"/>
      <c r="AA3476" s="14"/>
      <c r="AB3476" s="14"/>
      <c r="AC3476" s="14"/>
      <c r="AD3476" s="14"/>
      <c r="AE3476" s="14"/>
      <c r="AF3476" s="14"/>
      <c r="AG3476" s="14"/>
      <c r="AH3476" s="14"/>
      <c r="AI3476" s="14"/>
      <c r="AJ3476" s="14"/>
      <c r="AK3476" s="14"/>
      <c r="AL3476" s="14"/>
    </row>
    <row r="3477" spans="1:38">
      <c r="A3477" s="9"/>
      <c r="B3477" s="9"/>
      <c r="C3477" s="9"/>
      <c r="D3477" s="9"/>
      <c r="E3477" s="9"/>
      <c r="F3477" s="9"/>
      <c r="G3477" s="9"/>
      <c r="H3477" s="9"/>
      <c r="I3477" s="9"/>
      <c r="J3477" s="9"/>
      <c r="K3477" s="9"/>
      <c r="L3477" s="9"/>
      <c r="M3477" s="9"/>
      <c r="N3477" s="9"/>
      <c r="O3477" s="9"/>
      <c r="P3477" s="9"/>
      <c r="Q3477" s="9"/>
      <c r="R3477" s="9"/>
      <c r="S3477" s="9"/>
      <c r="T3477" s="9"/>
      <c r="U3477" s="9"/>
      <c r="V3477" s="9"/>
      <c r="W3477" s="9"/>
      <c r="X3477" s="9"/>
      <c r="Y3477" s="9"/>
      <c r="Z3477" s="9"/>
      <c r="AA3477" s="9"/>
      <c r="AB3477" s="9"/>
      <c r="AC3477" s="9"/>
      <c r="AD3477" s="9"/>
      <c r="AE3477" s="9"/>
      <c r="AF3477" s="9"/>
      <c r="AG3477" s="9"/>
      <c r="AH3477" s="9"/>
      <c r="AI3477" s="9"/>
      <c r="AJ3477" s="9"/>
      <c r="AK3477" s="9"/>
      <c r="AL3477" s="9"/>
    </row>
    <row r="3478" spans="1:38">
      <c r="A3478" s="10"/>
      <c r="B3478" s="10"/>
      <c r="C3478" s="10"/>
      <c r="D3478" s="10"/>
      <c r="E3478" s="10"/>
      <c r="F3478" s="10"/>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0"/>
      <c r="AH3478" s="10"/>
      <c r="AI3478" s="10"/>
      <c r="AJ3478" s="10"/>
      <c r="AK3478" s="10"/>
      <c r="AL3478" s="10"/>
    </row>
    <row r="3479" spans="1:38">
      <c r="A3479" s="10"/>
      <c r="B3479" s="10"/>
      <c r="C3479" s="10"/>
      <c r="D3479" s="10"/>
      <c r="E3479" s="10"/>
      <c r="F3479" s="10"/>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0"/>
      <c r="AH3479" s="10"/>
      <c r="AI3479" s="10"/>
      <c r="AJ3479" s="10"/>
      <c r="AK3479" s="10"/>
      <c r="AL3479" s="10"/>
    </row>
    <row r="3480" spans="1:38">
      <c r="A3480" s="10"/>
      <c r="B3480" s="10"/>
      <c r="C3480" s="10"/>
      <c r="D3480" s="10"/>
      <c r="E3480" s="10"/>
      <c r="F3480" s="10"/>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0"/>
      <c r="AH3480" s="10"/>
      <c r="AI3480" s="10"/>
      <c r="AJ3480" s="10"/>
      <c r="AK3480" s="10"/>
      <c r="AL3480" s="10"/>
    </row>
    <row r="3481" spans="1:38">
      <c r="A3481" s="10"/>
      <c r="B3481" s="10"/>
      <c r="C3481" s="10"/>
      <c r="D3481" s="10"/>
      <c r="E3481" s="10"/>
      <c r="F3481" s="10"/>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0"/>
      <c r="AH3481" s="10"/>
      <c r="AI3481" s="10"/>
      <c r="AJ3481" s="10"/>
      <c r="AK3481" s="10"/>
      <c r="AL3481" s="10"/>
    </row>
    <row r="3482" spans="1:38">
      <c r="A3482" s="10"/>
      <c r="B3482" s="10"/>
      <c r="C3482" s="10"/>
      <c r="D3482" s="10"/>
      <c r="E3482" s="10"/>
      <c r="F3482" s="10"/>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0"/>
      <c r="AH3482" s="10"/>
      <c r="AI3482" s="10"/>
      <c r="AJ3482" s="10"/>
      <c r="AK3482" s="10"/>
      <c r="AL3482" s="10"/>
    </row>
    <row r="3483" spans="1:38">
      <c r="A3483" s="10"/>
      <c r="B3483" s="10"/>
      <c r="C3483" s="10"/>
      <c r="D3483" s="10"/>
      <c r="E3483" s="10"/>
      <c r="F3483" s="10"/>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0"/>
      <c r="AH3483" s="10"/>
      <c r="AI3483" s="10"/>
      <c r="AJ3483" s="10"/>
      <c r="AK3483" s="10"/>
      <c r="AL3483" s="10"/>
    </row>
    <row r="3484" spans="1:38">
      <c r="A3484" s="10"/>
      <c r="B3484" s="10"/>
      <c r="C3484" s="10"/>
      <c r="D3484" s="10"/>
      <c r="E3484" s="10"/>
      <c r="F3484" s="10"/>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0"/>
      <c r="AH3484" s="10"/>
      <c r="AI3484" s="10"/>
      <c r="AJ3484" s="10"/>
      <c r="AK3484" s="10"/>
      <c r="AL3484" s="10"/>
    </row>
    <row r="3485" spans="1:38">
      <c r="A3485" s="10"/>
      <c r="B3485" s="10"/>
      <c r="C3485" s="10"/>
      <c r="D3485" s="10"/>
      <c r="E3485" s="10"/>
      <c r="F3485" s="10"/>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0"/>
      <c r="AH3485" s="10"/>
      <c r="AI3485" s="10"/>
      <c r="AJ3485" s="10"/>
      <c r="AK3485" s="10"/>
      <c r="AL3485" s="10"/>
    </row>
    <row r="3486" spans="1:38">
      <c r="A3486" s="10"/>
      <c r="B3486" s="10"/>
      <c r="C3486" s="10"/>
      <c r="D3486" s="10"/>
      <c r="E3486" s="10"/>
      <c r="F3486" s="10"/>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0"/>
      <c r="AH3486" s="10"/>
      <c r="AI3486" s="10"/>
      <c r="AJ3486" s="10"/>
      <c r="AK3486" s="10"/>
      <c r="AL3486" s="10"/>
    </row>
    <row r="3487" spans="1:38">
      <c r="A3487" s="10"/>
      <c r="B3487" s="10"/>
      <c r="C3487" s="10"/>
      <c r="D3487" s="10"/>
      <c r="E3487" s="10"/>
      <c r="F3487" s="10"/>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0"/>
      <c r="AH3487" s="10"/>
      <c r="AI3487" s="10"/>
      <c r="AJ3487" s="10"/>
      <c r="AK3487" s="10"/>
      <c r="AL3487" s="10"/>
    </row>
    <row r="3488" spans="1:38">
      <c r="A3488" s="10"/>
      <c r="B3488" s="10"/>
      <c r="C3488" s="10"/>
      <c r="D3488" s="10"/>
      <c r="E3488" s="10"/>
      <c r="F3488" s="10"/>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0"/>
      <c r="AH3488" s="10"/>
      <c r="AI3488" s="10"/>
      <c r="AJ3488" s="10"/>
      <c r="AK3488" s="10"/>
      <c r="AL3488" s="10"/>
    </row>
    <row r="3489" spans="1:38">
      <c r="A3489" s="11"/>
      <c r="B3489" s="11"/>
      <c r="C3489" s="11"/>
      <c r="D3489" s="11"/>
      <c r="E3489" s="11"/>
      <c r="F3489" s="11"/>
      <c r="G3489" s="11"/>
      <c r="H3489" s="11"/>
      <c r="I3489" s="11"/>
      <c r="J3489" s="11"/>
      <c r="K3489" s="11"/>
      <c r="L3489" s="11"/>
      <c r="M3489" s="11"/>
      <c r="N3489" s="11"/>
      <c r="O3489" s="11"/>
      <c r="P3489" s="11"/>
      <c r="Q3489" s="11"/>
      <c r="R3489" s="11"/>
      <c r="S3489" s="11"/>
      <c r="T3489" s="11"/>
      <c r="U3489" s="11"/>
      <c r="V3489" s="11"/>
      <c r="W3489" s="11"/>
      <c r="X3489" s="11"/>
      <c r="Y3489" s="11"/>
      <c r="Z3489" s="11"/>
      <c r="AA3489" s="11"/>
      <c r="AB3489" s="11"/>
      <c r="AC3489" s="11"/>
      <c r="AD3489" s="11"/>
      <c r="AE3489" s="11"/>
      <c r="AF3489" s="11"/>
      <c r="AG3489" s="11"/>
      <c r="AH3489" s="11"/>
      <c r="AI3489" s="11"/>
      <c r="AJ3489" s="11"/>
      <c r="AK3489" s="11"/>
      <c r="AL3489" s="11"/>
    </row>
    <row r="3495" spans="1:38">
      <c r="A3495" s="14"/>
      <c r="B3495" s="14"/>
      <c r="C3495" s="14"/>
      <c r="D3495" s="14"/>
      <c r="E3495" s="14"/>
      <c r="F3495" s="14"/>
      <c r="G3495" s="14"/>
      <c r="H3495" s="14"/>
      <c r="I3495" s="14"/>
      <c r="J3495" s="14"/>
      <c r="K3495" s="14"/>
      <c r="L3495" s="14"/>
      <c r="M3495" s="14"/>
      <c r="N3495" s="14"/>
      <c r="O3495" s="14"/>
      <c r="P3495" s="14"/>
      <c r="Q3495" s="14"/>
      <c r="R3495" s="14"/>
      <c r="S3495" s="14"/>
      <c r="T3495" s="14"/>
      <c r="U3495" s="14"/>
      <c r="V3495" s="14"/>
      <c r="W3495" s="14"/>
      <c r="X3495" s="14"/>
      <c r="Y3495" s="14"/>
      <c r="Z3495" s="14"/>
      <c r="AA3495" s="14"/>
      <c r="AB3495" s="14"/>
      <c r="AC3495" s="14"/>
      <c r="AD3495" s="14"/>
      <c r="AE3495" s="14"/>
      <c r="AF3495" s="14"/>
      <c r="AG3495" s="14"/>
      <c r="AH3495" s="14"/>
      <c r="AI3495" s="14"/>
      <c r="AJ3495" s="14"/>
      <c r="AK3495" s="14"/>
      <c r="AL3495" s="14"/>
    </row>
    <row r="3496" spans="1:38">
      <c r="A3496" s="9"/>
      <c r="B3496" s="9"/>
      <c r="C3496" s="9"/>
      <c r="D3496" s="9"/>
      <c r="E3496" s="9"/>
      <c r="F3496" s="9"/>
      <c r="G3496" s="9"/>
      <c r="H3496" s="9"/>
      <c r="I3496" s="9"/>
      <c r="J3496" s="9"/>
      <c r="K3496" s="9"/>
      <c r="L3496" s="9"/>
      <c r="M3496" s="9"/>
      <c r="N3496" s="9"/>
      <c r="O3496" s="9"/>
      <c r="P3496" s="9"/>
      <c r="Q3496" s="9"/>
      <c r="R3496" s="9"/>
      <c r="S3496" s="9"/>
      <c r="T3496" s="9"/>
      <c r="U3496" s="9"/>
      <c r="V3496" s="9"/>
      <c r="W3496" s="9"/>
      <c r="X3496" s="9"/>
      <c r="Y3496" s="9"/>
      <c r="Z3496" s="9"/>
      <c r="AA3496" s="9"/>
      <c r="AB3496" s="9"/>
      <c r="AC3496" s="9"/>
      <c r="AD3496" s="9"/>
      <c r="AE3496" s="9"/>
      <c r="AF3496" s="9"/>
      <c r="AG3496" s="9"/>
      <c r="AH3496" s="9"/>
      <c r="AI3496" s="9"/>
      <c r="AJ3496" s="9"/>
      <c r="AK3496" s="9"/>
      <c r="AL3496" s="9"/>
    </row>
    <row r="3497" spans="1:38">
      <c r="A3497" s="10"/>
      <c r="B3497" s="10"/>
      <c r="C3497" s="10"/>
      <c r="D3497" s="10"/>
      <c r="E3497" s="10"/>
      <c r="F3497" s="10"/>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0"/>
      <c r="AH3497" s="10"/>
      <c r="AI3497" s="10"/>
      <c r="AJ3497" s="10"/>
      <c r="AK3497" s="10"/>
      <c r="AL3497" s="10"/>
    </row>
    <row r="3498" spans="1:38">
      <c r="A3498" s="10"/>
      <c r="B3498" s="10"/>
      <c r="C3498" s="10"/>
      <c r="D3498" s="10"/>
      <c r="E3498" s="10"/>
      <c r="F3498" s="10"/>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0"/>
      <c r="AH3498" s="10"/>
      <c r="AI3498" s="10"/>
      <c r="AJ3498" s="10"/>
      <c r="AK3498" s="10"/>
      <c r="AL3498" s="10"/>
    </row>
    <row r="3499" spans="1:38">
      <c r="A3499" s="10"/>
      <c r="B3499" s="10"/>
      <c r="C3499" s="10"/>
      <c r="D3499" s="10"/>
      <c r="E3499" s="10"/>
      <c r="F3499" s="10"/>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0"/>
      <c r="AH3499" s="10"/>
      <c r="AI3499" s="10"/>
      <c r="AJ3499" s="10"/>
      <c r="AK3499" s="10"/>
      <c r="AL3499" s="10"/>
    </row>
    <row r="3500" spans="1:38">
      <c r="A3500" s="10"/>
      <c r="B3500" s="10"/>
      <c r="C3500" s="10"/>
      <c r="D3500" s="10"/>
      <c r="E3500" s="10"/>
      <c r="F3500" s="10"/>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0"/>
      <c r="AH3500" s="10"/>
      <c r="AI3500" s="10"/>
      <c r="AJ3500" s="10"/>
      <c r="AK3500" s="10"/>
      <c r="AL3500" s="10"/>
    </row>
    <row r="3501" spans="1:38">
      <c r="A3501" s="10"/>
      <c r="B3501" s="10"/>
      <c r="C3501" s="10"/>
      <c r="D3501" s="10"/>
      <c r="E3501" s="10"/>
      <c r="F3501" s="10"/>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0"/>
      <c r="AH3501" s="10"/>
      <c r="AI3501" s="10"/>
      <c r="AJ3501" s="10"/>
      <c r="AK3501" s="10"/>
      <c r="AL3501" s="10"/>
    </row>
    <row r="3502" spans="1:38">
      <c r="A3502" s="10"/>
      <c r="B3502" s="10"/>
      <c r="C3502" s="10"/>
      <c r="D3502" s="10"/>
      <c r="E3502" s="10"/>
      <c r="F3502" s="10"/>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0"/>
      <c r="AH3502" s="10"/>
      <c r="AI3502" s="10"/>
      <c r="AJ3502" s="10"/>
      <c r="AK3502" s="10"/>
      <c r="AL3502" s="10"/>
    </row>
    <row r="3503" spans="1:38">
      <c r="A3503" s="10"/>
      <c r="B3503" s="10"/>
      <c r="C3503" s="10"/>
      <c r="D3503" s="10"/>
      <c r="E3503" s="10"/>
      <c r="F3503" s="10"/>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0"/>
      <c r="AH3503" s="10"/>
      <c r="AI3503" s="10"/>
      <c r="AJ3503" s="10"/>
      <c r="AK3503" s="10"/>
      <c r="AL3503" s="10"/>
    </row>
    <row r="3504" spans="1:38">
      <c r="A3504" s="10"/>
      <c r="B3504" s="10"/>
      <c r="C3504" s="10"/>
      <c r="D3504" s="10"/>
      <c r="E3504" s="10"/>
      <c r="F3504" s="10"/>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0"/>
      <c r="AH3504" s="10"/>
      <c r="AI3504" s="10"/>
      <c r="AJ3504" s="10"/>
      <c r="AK3504" s="10"/>
      <c r="AL3504" s="10"/>
    </row>
    <row r="3505" spans="1:38">
      <c r="A3505" s="10"/>
      <c r="B3505" s="10"/>
      <c r="C3505" s="10"/>
      <c r="D3505" s="10"/>
      <c r="E3505" s="10"/>
      <c r="F3505" s="10"/>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0"/>
      <c r="AH3505" s="10"/>
      <c r="AI3505" s="10"/>
      <c r="AJ3505" s="10"/>
      <c r="AK3505" s="10"/>
      <c r="AL3505" s="10"/>
    </row>
    <row r="3506" spans="1:38">
      <c r="A3506" s="10"/>
      <c r="B3506" s="10"/>
      <c r="C3506" s="10"/>
      <c r="D3506" s="10"/>
      <c r="E3506" s="10"/>
      <c r="F3506" s="10"/>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0"/>
      <c r="AH3506" s="10"/>
      <c r="AI3506" s="10"/>
      <c r="AJ3506" s="10"/>
      <c r="AK3506" s="10"/>
      <c r="AL3506" s="10"/>
    </row>
    <row r="3507" spans="1:38">
      <c r="A3507" s="10"/>
      <c r="B3507" s="10"/>
      <c r="C3507" s="10"/>
      <c r="D3507" s="10"/>
      <c r="E3507" s="10"/>
      <c r="F3507" s="10"/>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0"/>
      <c r="AH3507" s="10"/>
      <c r="AI3507" s="10"/>
      <c r="AJ3507" s="10"/>
      <c r="AK3507" s="10"/>
      <c r="AL3507" s="10"/>
    </row>
    <row r="3508" spans="1:38">
      <c r="A3508" s="11"/>
      <c r="B3508" s="11"/>
      <c r="C3508" s="11"/>
      <c r="D3508" s="11"/>
      <c r="E3508" s="11"/>
      <c r="F3508" s="11"/>
      <c r="G3508" s="11"/>
      <c r="H3508" s="11"/>
      <c r="I3508" s="11"/>
      <c r="J3508" s="11"/>
      <c r="K3508" s="11"/>
      <c r="L3508" s="11"/>
      <c r="M3508" s="11"/>
      <c r="N3508" s="11"/>
      <c r="O3508" s="11"/>
      <c r="P3508" s="11"/>
      <c r="Q3508" s="11"/>
      <c r="R3508" s="11"/>
      <c r="S3508" s="11"/>
      <c r="T3508" s="11"/>
      <c r="U3508" s="11"/>
      <c r="V3508" s="11"/>
      <c r="W3508" s="11"/>
      <c r="X3508" s="11"/>
      <c r="Y3508" s="11"/>
      <c r="Z3508" s="11"/>
      <c r="AA3508" s="11"/>
      <c r="AB3508" s="11"/>
      <c r="AC3508" s="11"/>
      <c r="AD3508" s="11"/>
      <c r="AE3508" s="11"/>
      <c r="AF3508" s="11"/>
      <c r="AG3508" s="11"/>
      <c r="AH3508" s="11"/>
      <c r="AI3508" s="11"/>
      <c r="AJ3508" s="11"/>
      <c r="AK3508" s="11"/>
      <c r="AL3508" s="11"/>
    </row>
    <row r="3519" spans="1:38">
      <c r="A3519" s="14"/>
      <c r="B3519" s="14"/>
      <c r="C3519" s="14"/>
      <c r="D3519" s="14"/>
      <c r="E3519" s="14"/>
      <c r="F3519" s="14"/>
      <c r="G3519" s="14"/>
      <c r="H3519" s="14"/>
      <c r="I3519" s="14"/>
      <c r="J3519" s="14"/>
      <c r="K3519" s="14"/>
      <c r="L3519" s="14"/>
      <c r="M3519" s="14"/>
      <c r="N3519" s="14"/>
      <c r="O3519" s="14"/>
      <c r="P3519" s="14"/>
      <c r="Q3519" s="14"/>
      <c r="R3519" s="14"/>
      <c r="S3519" s="14"/>
      <c r="T3519" s="14"/>
      <c r="U3519" s="14"/>
      <c r="V3519" s="14"/>
      <c r="W3519" s="14"/>
      <c r="X3519" s="14"/>
      <c r="Y3519" s="14"/>
      <c r="Z3519" s="14"/>
      <c r="AA3519" s="14"/>
      <c r="AB3519" s="14"/>
      <c r="AC3519" s="14"/>
      <c r="AD3519" s="14"/>
      <c r="AE3519" s="14"/>
      <c r="AF3519" s="14"/>
      <c r="AG3519" s="14"/>
      <c r="AH3519" s="14"/>
      <c r="AI3519" s="14"/>
      <c r="AJ3519" s="14"/>
      <c r="AK3519" s="14"/>
      <c r="AL3519" s="14"/>
    </row>
    <row r="3520" spans="1:38">
      <c r="A3520" s="9"/>
      <c r="B3520" s="9"/>
      <c r="C3520" s="9"/>
      <c r="D3520" s="9"/>
      <c r="E3520" s="9"/>
      <c r="F3520" s="9"/>
      <c r="G3520" s="9"/>
      <c r="H3520" s="9"/>
      <c r="I3520" s="9"/>
      <c r="J3520" s="9"/>
      <c r="K3520" s="9"/>
      <c r="L3520" s="9"/>
      <c r="M3520" s="9"/>
      <c r="N3520" s="9"/>
      <c r="O3520" s="9"/>
      <c r="P3520" s="9"/>
      <c r="Q3520" s="9"/>
      <c r="R3520" s="9"/>
      <c r="S3520" s="9"/>
      <c r="T3520" s="9"/>
      <c r="U3520" s="9"/>
      <c r="V3520" s="9"/>
      <c r="W3520" s="9"/>
      <c r="X3520" s="9"/>
      <c r="Y3520" s="9"/>
      <c r="Z3520" s="9"/>
      <c r="AA3520" s="9"/>
      <c r="AB3520" s="9"/>
      <c r="AC3520" s="9"/>
      <c r="AD3520" s="9"/>
      <c r="AE3520" s="9"/>
      <c r="AF3520" s="9"/>
      <c r="AG3520" s="9"/>
      <c r="AH3520" s="9"/>
      <c r="AI3520" s="9"/>
      <c r="AJ3520" s="9"/>
      <c r="AK3520" s="9"/>
      <c r="AL3520" s="9"/>
    </row>
    <row r="3521" spans="1:38">
      <c r="A3521" s="10"/>
      <c r="B3521" s="10"/>
      <c r="C3521" s="10"/>
      <c r="D3521" s="10"/>
      <c r="E3521" s="10"/>
      <c r="F3521" s="10"/>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0"/>
      <c r="AH3521" s="10"/>
      <c r="AI3521" s="10"/>
      <c r="AJ3521" s="10"/>
      <c r="AK3521" s="10"/>
      <c r="AL3521" s="10"/>
    </row>
    <row r="3522" spans="1:38">
      <c r="A3522" s="10"/>
      <c r="B3522" s="10"/>
      <c r="C3522" s="10"/>
      <c r="D3522" s="10"/>
      <c r="E3522" s="10"/>
      <c r="F3522" s="10"/>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0"/>
      <c r="AH3522" s="10"/>
      <c r="AI3522" s="10"/>
      <c r="AJ3522" s="10"/>
      <c r="AK3522" s="10"/>
      <c r="AL3522" s="10"/>
    </row>
    <row r="3523" spans="1:38">
      <c r="A3523" s="10"/>
      <c r="B3523" s="10"/>
      <c r="C3523" s="10"/>
      <c r="D3523" s="10"/>
      <c r="E3523" s="10"/>
      <c r="F3523" s="10"/>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0"/>
      <c r="AH3523" s="10"/>
      <c r="AI3523" s="10"/>
      <c r="AJ3523" s="10"/>
      <c r="AK3523" s="10"/>
      <c r="AL3523" s="10"/>
    </row>
    <row r="3524" spans="1:38">
      <c r="A3524" s="10"/>
      <c r="B3524" s="10"/>
      <c r="C3524" s="10"/>
      <c r="D3524" s="10"/>
      <c r="E3524" s="10"/>
      <c r="F3524" s="10"/>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0"/>
      <c r="AH3524" s="10"/>
      <c r="AI3524" s="10"/>
      <c r="AJ3524" s="10"/>
      <c r="AK3524" s="10"/>
      <c r="AL3524" s="10"/>
    </row>
    <row r="3525" spans="1:38">
      <c r="A3525" s="10"/>
      <c r="B3525" s="10"/>
      <c r="C3525" s="10"/>
      <c r="D3525" s="10"/>
      <c r="E3525" s="10"/>
      <c r="F3525" s="10"/>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0"/>
      <c r="AH3525" s="10"/>
      <c r="AI3525" s="10"/>
      <c r="AJ3525" s="10"/>
      <c r="AK3525" s="10"/>
      <c r="AL3525" s="10"/>
    </row>
    <row r="3526" spans="1:38">
      <c r="A3526" s="10"/>
      <c r="B3526" s="10"/>
      <c r="C3526" s="10"/>
      <c r="D3526" s="10"/>
      <c r="E3526" s="10"/>
      <c r="F3526" s="10"/>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0"/>
      <c r="AH3526" s="10"/>
      <c r="AI3526" s="10"/>
      <c r="AJ3526" s="10"/>
      <c r="AK3526" s="10"/>
      <c r="AL3526" s="10"/>
    </row>
    <row r="3527" spans="1:38">
      <c r="A3527" s="10"/>
      <c r="B3527" s="10"/>
      <c r="C3527" s="10"/>
      <c r="D3527" s="10"/>
      <c r="E3527" s="10"/>
      <c r="F3527" s="10"/>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0"/>
      <c r="AH3527" s="10"/>
      <c r="AI3527" s="10"/>
      <c r="AJ3527" s="10"/>
      <c r="AK3527" s="10"/>
      <c r="AL3527" s="10"/>
    </row>
    <row r="3528" spans="1:38">
      <c r="A3528" s="10"/>
      <c r="B3528" s="10"/>
      <c r="C3528" s="10"/>
      <c r="D3528" s="10"/>
      <c r="E3528" s="10"/>
      <c r="F3528" s="10"/>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0"/>
      <c r="AH3528" s="10"/>
      <c r="AI3528" s="10"/>
      <c r="AJ3528" s="10"/>
      <c r="AK3528" s="10"/>
      <c r="AL3528" s="10"/>
    </row>
    <row r="3529" spans="1:38">
      <c r="A3529" s="10"/>
      <c r="B3529" s="10"/>
      <c r="C3529" s="10"/>
      <c r="D3529" s="10"/>
      <c r="E3529" s="10"/>
      <c r="F3529" s="10"/>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0"/>
      <c r="AH3529" s="10"/>
      <c r="AI3529" s="10"/>
      <c r="AJ3529" s="10"/>
      <c r="AK3529" s="10"/>
      <c r="AL3529" s="10"/>
    </row>
    <row r="3530" spans="1:38">
      <c r="A3530" s="10"/>
      <c r="B3530" s="10"/>
      <c r="C3530" s="10"/>
      <c r="D3530" s="10"/>
      <c r="E3530" s="10"/>
      <c r="F3530" s="10"/>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0"/>
      <c r="AH3530" s="10"/>
      <c r="AI3530" s="10"/>
      <c r="AJ3530" s="10"/>
      <c r="AK3530" s="10"/>
      <c r="AL3530" s="10"/>
    </row>
    <row r="3531" spans="1:38">
      <c r="A3531" s="10"/>
      <c r="B3531" s="10"/>
      <c r="C3531" s="10"/>
      <c r="D3531" s="10"/>
      <c r="E3531" s="10"/>
      <c r="F3531" s="10"/>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0"/>
      <c r="AH3531" s="10"/>
      <c r="AI3531" s="10"/>
      <c r="AJ3531" s="10"/>
      <c r="AK3531" s="10"/>
      <c r="AL3531" s="10"/>
    </row>
    <row r="3532" spans="1:38">
      <c r="A3532" s="11"/>
      <c r="B3532" s="11"/>
      <c r="C3532" s="11"/>
      <c r="D3532" s="11"/>
      <c r="E3532" s="11"/>
      <c r="F3532" s="11"/>
      <c r="G3532" s="11"/>
      <c r="H3532" s="11"/>
      <c r="I3532" s="11"/>
      <c r="J3532" s="11"/>
      <c r="K3532" s="11"/>
      <c r="L3532" s="11"/>
      <c r="M3532" s="11"/>
      <c r="N3532" s="11"/>
      <c r="O3532" s="11"/>
      <c r="P3532" s="11"/>
      <c r="Q3532" s="11"/>
      <c r="R3532" s="11"/>
      <c r="S3532" s="11"/>
      <c r="T3532" s="11"/>
      <c r="U3532" s="11"/>
      <c r="V3532" s="11"/>
      <c r="W3532" s="11"/>
      <c r="X3532" s="11"/>
      <c r="Y3532" s="11"/>
      <c r="Z3532" s="11"/>
      <c r="AA3532" s="11"/>
      <c r="AB3532" s="11"/>
      <c r="AC3532" s="11"/>
      <c r="AD3532" s="11"/>
      <c r="AE3532" s="11"/>
      <c r="AF3532" s="11"/>
      <c r="AG3532" s="11"/>
      <c r="AH3532" s="11"/>
      <c r="AI3532" s="11"/>
      <c r="AJ3532" s="11"/>
      <c r="AK3532" s="11"/>
      <c r="AL3532" s="11"/>
    </row>
    <row r="3542" spans="1:38">
      <c r="A3542" s="14"/>
      <c r="B3542" s="14"/>
      <c r="C3542" s="14"/>
      <c r="D3542" s="14"/>
      <c r="E3542" s="14"/>
      <c r="F3542" s="14"/>
      <c r="G3542" s="14"/>
      <c r="H3542" s="14"/>
      <c r="I3542" s="14"/>
      <c r="J3542" s="14"/>
      <c r="K3542" s="14"/>
      <c r="L3542" s="14"/>
      <c r="M3542" s="14"/>
      <c r="N3542" s="14"/>
      <c r="O3542" s="14"/>
      <c r="P3542" s="14"/>
      <c r="Q3542" s="14"/>
      <c r="R3542" s="14"/>
      <c r="S3542" s="14"/>
      <c r="T3542" s="14"/>
      <c r="U3542" s="14"/>
      <c r="V3542" s="14"/>
      <c r="W3542" s="14"/>
      <c r="X3542" s="14"/>
      <c r="Y3542" s="14"/>
      <c r="Z3542" s="14"/>
      <c r="AA3542" s="14"/>
      <c r="AB3542" s="14"/>
      <c r="AC3542" s="14"/>
      <c r="AD3542" s="14"/>
      <c r="AE3542" s="14"/>
      <c r="AF3542" s="14"/>
      <c r="AG3542" s="14"/>
      <c r="AH3542" s="14"/>
      <c r="AI3542" s="14"/>
      <c r="AJ3542" s="14"/>
      <c r="AK3542" s="14"/>
      <c r="AL3542" s="14"/>
    </row>
    <row r="3543" spans="1:38">
      <c r="A3543" s="9"/>
      <c r="B3543" s="9"/>
      <c r="C3543" s="9"/>
      <c r="D3543" s="9"/>
      <c r="E3543" s="9"/>
      <c r="F3543" s="9"/>
      <c r="G3543" s="9"/>
      <c r="H3543" s="9"/>
      <c r="I3543" s="9"/>
      <c r="J3543" s="9"/>
      <c r="K3543" s="9"/>
      <c r="L3543" s="9"/>
      <c r="M3543" s="9"/>
      <c r="N3543" s="9"/>
      <c r="O3543" s="9"/>
      <c r="P3543" s="9"/>
      <c r="Q3543" s="9"/>
      <c r="R3543" s="9"/>
      <c r="S3543" s="9"/>
      <c r="T3543" s="9"/>
      <c r="U3543" s="9"/>
      <c r="V3543" s="9"/>
      <c r="W3543" s="9"/>
      <c r="X3543" s="9"/>
      <c r="Y3543" s="9"/>
      <c r="Z3543" s="9"/>
      <c r="AA3543" s="9"/>
      <c r="AB3543" s="9"/>
      <c r="AC3543" s="9"/>
      <c r="AD3543" s="9"/>
      <c r="AE3543" s="9"/>
      <c r="AF3543" s="9"/>
      <c r="AG3543" s="9"/>
      <c r="AH3543" s="9"/>
      <c r="AI3543" s="9"/>
      <c r="AJ3543" s="9"/>
      <c r="AK3543" s="9"/>
      <c r="AL3543" s="9"/>
    </row>
    <row r="3544" spans="1:38">
      <c r="A3544" s="10"/>
      <c r="B3544" s="10"/>
      <c r="C3544" s="10"/>
      <c r="D3544" s="10"/>
      <c r="E3544" s="10"/>
      <c r="F3544" s="10"/>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0"/>
      <c r="AH3544" s="10"/>
      <c r="AI3544" s="10"/>
      <c r="AJ3544" s="10"/>
      <c r="AK3544" s="10"/>
      <c r="AL3544" s="10"/>
    </row>
    <row r="3545" spans="1:38">
      <c r="A3545" s="10"/>
      <c r="B3545" s="10"/>
      <c r="C3545" s="10"/>
      <c r="D3545" s="10"/>
      <c r="E3545" s="10"/>
      <c r="F3545" s="10"/>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0"/>
      <c r="AH3545" s="10"/>
      <c r="AI3545" s="10"/>
      <c r="AJ3545" s="10"/>
      <c r="AK3545" s="10"/>
      <c r="AL3545" s="10"/>
    </row>
    <row r="3546" spans="1:38">
      <c r="A3546" s="10"/>
      <c r="B3546" s="10"/>
      <c r="C3546" s="10"/>
      <c r="D3546" s="10"/>
      <c r="E3546" s="10"/>
      <c r="F3546" s="10"/>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0"/>
      <c r="AH3546" s="10"/>
      <c r="AI3546" s="10"/>
      <c r="AJ3546" s="10"/>
      <c r="AK3546" s="10"/>
      <c r="AL3546" s="10"/>
    </row>
    <row r="3547" spans="1:38">
      <c r="A3547" s="10"/>
      <c r="B3547" s="10"/>
      <c r="C3547" s="10"/>
      <c r="D3547" s="10"/>
      <c r="E3547" s="10"/>
      <c r="F3547" s="10"/>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0"/>
      <c r="AH3547" s="10"/>
      <c r="AI3547" s="10"/>
      <c r="AJ3547" s="10"/>
      <c r="AK3547" s="10"/>
      <c r="AL3547" s="10"/>
    </row>
    <row r="3548" spans="1:38">
      <c r="A3548" s="10"/>
      <c r="B3548" s="10"/>
      <c r="C3548" s="10"/>
      <c r="D3548" s="10"/>
      <c r="E3548" s="10"/>
      <c r="F3548" s="10"/>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0"/>
      <c r="AH3548" s="10"/>
      <c r="AI3548" s="10"/>
      <c r="AJ3548" s="10"/>
      <c r="AK3548" s="10"/>
      <c r="AL3548" s="10"/>
    </row>
    <row r="3549" spans="1:38">
      <c r="A3549" s="10"/>
      <c r="B3549" s="10"/>
      <c r="C3549" s="10"/>
      <c r="D3549" s="10"/>
      <c r="E3549" s="10"/>
      <c r="F3549" s="10"/>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0"/>
      <c r="AH3549" s="10"/>
      <c r="AI3549" s="10"/>
      <c r="AJ3549" s="10"/>
      <c r="AK3549" s="10"/>
      <c r="AL3549" s="10"/>
    </row>
    <row r="3550" spans="1:38">
      <c r="A3550" s="10"/>
      <c r="B3550" s="10"/>
      <c r="C3550" s="10"/>
      <c r="D3550" s="10"/>
      <c r="E3550" s="10"/>
      <c r="F3550" s="10"/>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0"/>
      <c r="AH3550" s="10"/>
      <c r="AI3550" s="10"/>
      <c r="AJ3550" s="10"/>
      <c r="AK3550" s="10"/>
      <c r="AL3550" s="10"/>
    </row>
    <row r="3551" spans="1:38">
      <c r="A3551" s="10"/>
      <c r="B3551" s="10"/>
      <c r="C3551" s="10"/>
      <c r="D3551" s="10"/>
      <c r="E3551" s="10"/>
      <c r="F3551" s="10"/>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0"/>
      <c r="AH3551" s="10"/>
      <c r="AI3551" s="10"/>
      <c r="AJ3551" s="10"/>
      <c r="AK3551" s="10"/>
      <c r="AL3551" s="10"/>
    </row>
    <row r="3552" spans="1:38">
      <c r="A3552" s="10"/>
      <c r="B3552" s="10"/>
      <c r="C3552" s="10"/>
      <c r="D3552" s="10"/>
      <c r="E3552" s="10"/>
      <c r="F3552" s="10"/>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0"/>
      <c r="AH3552" s="10"/>
      <c r="AI3552" s="10"/>
      <c r="AJ3552" s="10"/>
      <c r="AK3552" s="10"/>
      <c r="AL3552" s="10"/>
    </row>
    <row r="3553" spans="1:38">
      <c r="A3553" s="10"/>
      <c r="B3553" s="10"/>
      <c r="C3553" s="10"/>
      <c r="D3553" s="10"/>
      <c r="E3553" s="10"/>
      <c r="F3553" s="10"/>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0"/>
      <c r="AH3553" s="10"/>
      <c r="AI3553" s="10"/>
      <c r="AJ3553" s="10"/>
      <c r="AK3553" s="10"/>
      <c r="AL3553" s="10"/>
    </row>
    <row r="3554" spans="1:38">
      <c r="A3554" s="10"/>
      <c r="B3554" s="10"/>
      <c r="C3554" s="10"/>
      <c r="D3554" s="10"/>
      <c r="E3554" s="10"/>
      <c r="F3554" s="10"/>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0"/>
      <c r="AH3554" s="10"/>
      <c r="AI3554" s="10"/>
      <c r="AJ3554" s="10"/>
      <c r="AK3554" s="10"/>
      <c r="AL3554" s="10"/>
    </row>
    <row r="3555" spans="1:38">
      <c r="A3555" s="11"/>
      <c r="B3555" s="11"/>
      <c r="C3555" s="11"/>
      <c r="D3555" s="11"/>
      <c r="E3555" s="11"/>
      <c r="F3555" s="11"/>
      <c r="G3555" s="11"/>
      <c r="H3555" s="11"/>
      <c r="I3555" s="11"/>
      <c r="J3555" s="11"/>
      <c r="K3555" s="11"/>
      <c r="L3555" s="11"/>
      <c r="M3555" s="11"/>
      <c r="N3555" s="11"/>
      <c r="O3555" s="11"/>
      <c r="P3555" s="11"/>
      <c r="Q3555" s="11"/>
      <c r="R3555" s="11"/>
      <c r="S3555" s="11"/>
      <c r="T3555" s="11"/>
      <c r="U3555" s="11"/>
      <c r="V3555" s="11"/>
      <c r="W3555" s="11"/>
      <c r="X3555" s="11"/>
      <c r="Y3555" s="11"/>
      <c r="Z3555" s="11"/>
      <c r="AA3555" s="11"/>
      <c r="AB3555" s="11"/>
      <c r="AC3555" s="11"/>
      <c r="AD3555" s="11"/>
      <c r="AE3555" s="11"/>
      <c r="AF3555" s="11"/>
      <c r="AG3555" s="11"/>
      <c r="AH3555" s="11"/>
      <c r="AI3555" s="11"/>
      <c r="AJ3555" s="11"/>
      <c r="AK3555" s="11"/>
      <c r="AL3555" s="11"/>
    </row>
    <row r="3565" spans="1:38">
      <c r="A3565" s="14"/>
      <c r="B3565" s="14"/>
      <c r="C3565" s="14"/>
      <c r="D3565" s="14"/>
      <c r="E3565" s="14"/>
      <c r="F3565" s="14"/>
      <c r="G3565" s="14"/>
      <c r="H3565" s="14"/>
      <c r="I3565" s="14"/>
      <c r="J3565" s="14"/>
      <c r="K3565" s="14"/>
      <c r="L3565" s="14"/>
      <c r="M3565" s="14"/>
      <c r="N3565" s="14"/>
      <c r="O3565" s="14"/>
      <c r="P3565" s="14"/>
      <c r="Q3565" s="14"/>
      <c r="R3565" s="14"/>
      <c r="S3565" s="14"/>
      <c r="T3565" s="14"/>
      <c r="U3565" s="14"/>
      <c r="V3565" s="14"/>
      <c r="W3565" s="14"/>
      <c r="X3565" s="14"/>
      <c r="Y3565" s="14"/>
      <c r="Z3565" s="14"/>
      <c r="AA3565" s="14"/>
      <c r="AB3565" s="14"/>
      <c r="AC3565" s="14"/>
      <c r="AD3565" s="14"/>
      <c r="AE3565" s="14"/>
      <c r="AF3565" s="14"/>
      <c r="AG3565" s="14"/>
      <c r="AH3565" s="14"/>
      <c r="AI3565" s="14"/>
      <c r="AJ3565" s="14"/>
      <c r="AK3565" s="14"/>
      <c r="AL3565" s="14"/>
    </row>
    <row r="3566" spans="1:38">
      <c r="A3566" s="9"/>
      <c r="B3566" s="9"/>
      <c r="C3566" s="9"/>
      <c r="D3566" s="9"/>
      <c r="E3566" s="9"/>
      <c r="F3566" s="9"/>
      <c r="G3566" s="9"/>
      <c r="H3566" s="9"/>
      <c r="I3566" s="9"/>
      <c r="J3566" s="9"/>
      <c r="K3566" s="9"/>
      <c r="L3566" s="9"/>
      <c r="M3566" s="9"/>
      <c r="N3566" s="9"/>
      <c r="O3566" s="9"/>
      <c r="P3566" s="9"/>
      <c r="Q3566" s="9"/>
      <c r="R3566" s="9"/>
      <c r="S3566" s="9"/>
      <c r="T3566" s="9"/>
      <c r="U3566" s="9"/>
      <c r="V3566" s="9"/>
      <c r="W3566" s="9"/>
      <c r="X3566" s="9"/>
      <c r="Y3566" s="9"/>
      <c r="Z3566" s="9"/>
      <c r="AA3566" s="9"/>
      <c r="AB3566" s="9"/>
      <c r="AC3566" s="9"/>
      <c r="AD3566" s="9"/>
      <c r="AE3566" s="9"/>
      <c r="AF3566" s="9"/>
      <c r="AG3566" s="9"/>
      <c r="AH3566" s="9"/>
      <c r="AI3566" s="9"/>
      <c r="AJ3566" s="9"/>
      <c r="AK3566" s="9"/>
      <c r="AL3566" s="9"/>
    </row>
    <row r="3567" spans="1:38">
      <c r="A3567" s="10"/>
      <c r="B3567" s="10"/>
      <c r="C3567" s="10"/>
      <c r="D3567" s="10"/>
      <c r="E3567" s="10"/>
      <c r="F3567" s="10"/>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0"/>
      <c r="AH3567" s="10"/>
      <c r="AI3567" s="10"/>
      <c r="AJ3567" s="10"/>
      <c r="AK3567" s="10"/>
      <c r="AL3567" s="10"/>
    </row>
    <row r="3568" spans="1:38">
      <c r="A3568" s="10"/>
      <c r="B3568" s="10"/>
      <c r="C3568" s="10"/>
      <c r="D3568" s="10"/>
      <c r="E3568" s="10"/>
      <c r="F3568" s="10"/>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0"/>
      <c r="AH3568" s="10"/>
      <c r="AI3568" s="10"/>
      <c r="AJ3568" s="10"/>
      <c r="AK3568" s="10"/>
      <c r="AL3568" s="10"/>
    </row>
    <row r="3569" spans="1:38">
      <c r="A3569" s="10"/>
      <c r="B3569" s="10"/>
      <c r="C3569" s="10"/>
      <c r="D3569" s="10"/>
      <c r="E3569" s="10"/>
      <c r="F3569" s="10"/>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0"/>
      <c r="AH3569" s="10"/>
      <c r="AI3569" s="10"/>
      <c r="AJ3569" s="10"/>
      <c r="AK3569" s="10"/>
      <c r="AL3569" s="10"/>
    </row>
    <row r="3570" spans="1:38">
      <c r="A3570" s="10"/>
      <c r="B3570" s="10"/>
      <c r="C3570" s="10"/>
      <c r="D3570" s="10"/>
      <c r="E3570" s="10"/>
      <c r="F3570" s="10"/>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0"/>
      <c r="AH3570" s="10"/>
      <c r="AI3570" s="10"/>
      <c r="AJ3570" s="10"/>
      <c r="AK3570" s="10"/>
      <c r="AL3570" s="10"/>
    </row>
    <row r="3571" spans="1:38">
      <c r="A3571" s="10"/>
      <c r="B3571" s="10"/>
      <c r="C3571" s="10"/>
      <c r="D3571" s="10"/>
      <c r="E3571" s="10"/>
      <c r="F3571" s="10"/>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0"/>
      <c r="AH3571" s="10"/>
      <c r="AI3571" s="10"/>
      <c r="AJ3571" s="10"/>
      <c r="AK3571" s="10"/>
      <c r="AL3571" s="10"/>
    </row>
    <row r="3572" spans="1:38">
      <c r="A3572" s="10"/>
      <c r="B3572" s="10"/>
      <c r="C3572" s="10"/>
      <c r="D3572" s="10"/>
      <c r="E3572" s="10"/>
      <c r="F3572" s="10"/>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0"/>
      <c r="AH3572" s="10"/>
      <c r="AI3572" s="10"/>
      <c r="AJ3572" s="10"/>
      <c r="AK3572" s="10"/>
      <c r="AL3572" s="10"/>
    </row>
    <row r="3573" spans="1:38">
      <c r="A3573" s="10"/>
      <c r="B3573" s="10"/>
      <c r="C3573" s="10"/>
      <c r="D3573" s="10"/>
      <c r="E3573" s="10"/>
      <c r="F3573" s="10"/>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0"/>
      <c r="AH3573" s="10"/>
      <c r="AI3573" s="10"/>
      <c r="AJ3573" s="10"/>
      <c r="AK3573" s="10"/>
      <c r="AL3573" s="10"/>
    </row>
    <row r="3574" spans="1:38">
      <c r="A3574" s="10"/>
      <c r="B3574" s="10"/>
      <c r="C3574" s="10"/>
      <c r="D3574" s="10"/>
      <c r="E3574" s="10"/>
      <c r="F3574" s="10"/>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0"/>
      <c r="AH3574" s="10"/>
      <c r="AI3574" s="10"/>
      <c r="AJ3574" s="10"/>
      <c r="AK3574" s="10"/>
      <c r="AL3574" s="10"/>
    </row>
    <row r="3575" spans="1:38">
      <c r="A3575" s="10"/>
      <c r="B3575" s="10"/>
      <c r="C3575" s="10"/>
      <c r="D3575" s="10"/>
      <c r="E3575" s="10"/>
      <c r="F3575" s="10"/>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0"/>
      <c r="AH3575" s="10"/>
      <c r="AI3575" s="10"/>
      <c r="AJ3575" s="10"/>
      <c r="AK3575" s="10"/>
      <c r="AL3575" s="10"/>
    </row>
    <row r="3576" spans="1:38">
      <c r="A3576" s="10"/>
      <c r="B3576" s="10"/>
      <c r="C3576" s="10"/>
      <c r="D3576" s="10"/>
      <c r="E3576" s="10"/>
      <c r="F3576" s="10"/>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0"/>
      <c r="AH3576" s="10"/>
      <c r="AI3576" s="10"/>
      <c r="AJ3576" s="10"/>
      <c r="AK3576" s="10"/>
      <c r="AL3576" s="10"/>
    </row>
    <row r="3577" spans="1:38">
      <c r="A3577" s="10"/>
      <c r="B3577" s="10"/>
      <c r="C3577" s="10"/>
      <c r="D3577" s="10"/>
      <c r="E3577" s="10"/>
      <c r="F3577" s="10"/>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0"/>
      <c r="AH3577" s="10"/>
      <c r="AI3577" s="10"/>
      <c r="AJ3577" s="10"/>
      <c r="AK3577" s="10"/>
      <c r="AL3577" s="10"/>
    </row>
    <row r="3578" spans="1:38">
      <c r="A3578" s="11"/>
      <c r="B3578" s="11"/>
      <c r="C3578" s="11"/>
      <c r="D3578" s="11"/>
      <c r="E3578" s="11"/>
      <c r="F3578" s="11"/>
      <c r="G3578" s="11"/>
      <c r="H3578" s="11"/>
      <c r="I3578" s="11"/>
      <c r="J3578" s="11"/>
      <c r="K3578" s="11"/>
      <c r="L3578" s="11"/>
      <c r="M3578" s="11"/>
      <c r="N3578" s="11"/>
      <c r="O3578" s="11"/>
      <c r="P3578" s="11"/>
      <c r="Q3578" s="11"/>
      <c r="R3578" s="11"/>
      <c r="S3578" s="11"/>
      <c r="T3578" s="11"/>
      <c r="U3578" s="11"/>
      <c r="V3578" s="11"/>
      <c r="W3578" s="11"/>
      <c r="X3578" s="11"/>
      <c r="Y3578" s="11"/>
      <c r="Z3578" s="11"/>
      <c r="AA3578" s="11"/>
      <c r="AB3578" s="11"/>
      <c r="AC3578" s="11"/>
      <c r="AD3578" s="11"/>
      <c r="AE3578" s="11"/>
      <c r="AF3578" s="11"/>
      <c r="AG3578" s="11"/>
      <c r="AH3578" s="11"/>
      <c r="AI3578" s="11"/>
      <c r="AJ3578" s="11"/>
      <c r="AK3578" s="11"/>
      <c r="AL3578" s="11"/>
    </row>
    <row r="3584" spans="1:38">
      <c r="A3584" s="14"/>
      <c r="B3584" s="14"/>
      <c r="C3584" s="14"/>
      <c r="D3584" s="14"/>
      <c r="E3584" s="14"/>
      <c r="F3584" s="14"/>
      <c r="G3584" s="14"/>
      <c r="H3584" s="14"/>
      <c r="I3584" s="14"/>
      <c r="J3584" s="14"/>
      <c r="K3584" s="14"/>
      <c r="L3584" s="14"/>
      <c r="M3584" s="14"/>
      <c r="N3584" s="14"/>
      <c r="O3584" s="14"/>
      <c r="P3584" s="14"/>
      <c r="Q3584" s="14"/>
      <c r="R3584" s="14"/>
      <c r="S3584" s="14"/>
      <c r="T3584" s="14"/>
      <c r="U3584" s="14"/>
      <c r="V3584" s="14"/>
      <c r="W3584" s="14"/>
      <c r="X3584" s="14"/>
      <c r="Y3584" s="14"/>
      <c r="Z3584" s="14"/>
      <c r="AA3584" s="14"/>
      <c r="AB3584" s="14"/>
      <c r="AC3584" s="14"/>
      <c r="AD3584" s="14"/>
      <c r="AE3584" s="14"/>
      <c r="AF3584" s="14"/>
      <c r="AG3584" s="14"/>
      <c r="AH3584" s="14"/>
      <c r="AI3584" s="14"/>
      <c r="AJ3584" s="14"/>
      <c r="AK3584" s="14"/>
      <c r="AL3584" s="14"/>
    </row>
    <row r="3585" spans="1:38">
      <c r="A3585" s="9"/>
      <c r="B3585" s="9"/>
      <c r="C3585" s="9"/>
      <c r="D3585" s="9"/>
      <c r="E3585" s="9"/>
      <c r="F3585" s="9"/>
      <c r="G3585" s="9"/>
      <c r="H3585" s="9"/>
      <c r="I3585" s="9"/>
      <c r="J3585" s="9"/>
      <c r="K3585" s="9"/>
      <c r="L3585" s="9"/>
      <c r="M3585" s="9"/>
      <c r="N3585" s="9"/>
      <c r="O3585" s="9"/>
      <c r="P3585" s="9"/>
      <c r="Q3585" s="9"/>
      <c r="R3585" s="9"/>
      <c r="S3585" s="9"/>
      <c r="T3585" s="9"/>
      <c r="U3585" s="9"/>
      <c r="V3585" s="9"/>
      <c r="W3585" s="9"/>
      <c r="X3585" s="9"/>
      <c r="Y3585" s="9"/>
      <c r="Z3585" s="9"/>
      <c r="AA3585" s="9"/>
      <c r="AB3585" s="9"/>
      <c r="AC3585" s="9"/>
      <c r="AD3585" s="9"/>
      <c r="AE3585" s="9"/>
      <c r="AF3585" s="9"/>
      <c r="AG3585" s="9"/>
      <c r="AH3585" s="9"/>
      <c r="AI3585" s="9"/>
      <c r="AJ3585" s="9"/>
      <c r="AK3585" s="9"/>
      <c r="AL3585" s="9"/>
    </row>
    <row r="3586" spans="1:38">
      <c r="A3586" s="10"/>
      <c r="B3586" s="10"/>
      <c r="C3586" s="10"/>
      <c r="D3586" s="10"/>
      <c r="E3586" s="10"/>
      <c r="F3586" s="10"/>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0"/>
      <c r="AH3586" s="10"/>
      <c r="AI3586" s="10"/>
      <c r="AJ3586" s="10"/>
      <c r="AK3586" s="10"/>
      <c r="AL3586" s="10"/>
    </row>
    <row r="3587" spans="1:38">
      <c r="A3587" s="10"/>
      <c r="B3587" s="10"/>
      <c r="C3587" s="10"/>
      <c r="D3587" s="10"/>
      <c r="E3587" s="10"/>
      <c r="F3587" s="10"/>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0"/>
      <c r="AH3587" s="10"/>
      <c r="AI3587" s="10"/>
      <c r="AJ3587" s="10"/>
      <c r="AK3587" s="10"/>
      <c r="AL3587" s="10"/>
    </row>
    <row r="3588" spans="1:38">
      <c r="A3588" s="10"/>
      <c r="B3588" s="10"/>
      <c r="C3588" s="10"/>
      <c r="D3588" s="10"/>
      <c r="E3588" s="10"/>
      <c r="F3588" s="10"/>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0"/>
      <c r="AH3588" s="10"/>
      <c r="AI3588" s="10"/>
      <c r="AJ3588" s="10"/>
      <c r="AK3588" s="10"/>
      <c r="AL3588" s="10"/>
    </row>
    <row r="3589" spans="1:38">
      <c r="A3589" s="10"/>
      <c r="B3589" s="10"/>
      <c r="C3589" s="10"/>
      <c r="D3589" s="10"/>
      <c r="E3589" s="10"/>
      <c r="F3589" s="10"/>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0"/>
      <c r="AH3589" s="10"/>
      <c r="AI3589" s="10"/>
      <c r="AJ3589" s="10"/>
      <c r="AK3589" s="10"/>
      <c r="AL3589" s="10"/>
    </row>
    <row r="3590" spans="1:38">
      <c r="A3590" s="10"/>
      <c r="B3590" s="10"/>
      <c r="C3590" s="10"/>
      <c r="D3590" s="10"/>
      <c r="E3590" s="10"/>
      <c r="F3590" s="10"/>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0"/>
      <c r="AH3590" s="10"/>
      <c r="AI3590" s="10"/>
      <c r="AJ3590" s="10"/>
      <c r="AK3590" s="10"/>
      <c r="AL3590" s="10"/>
    </row>
    <row r="3591" spans="1:38">
      <c r="A3591" s="10"/>
      <c r="B3591" s="10"/>
      <c r="C3591" s="10"/>
      <c r="D3591" s="10"/>
      <c r="E3591" s="10"/>
      <c r="F3591" s="10"/>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0"/>
      <c r="AH3591" s="10"/>
      <c r="AI3591" s="10"/>
      <c r="AJ3591" s="10"/>
      <c r="AK3591" s="10"/>
      <c r="AL3591" s="10"/>
    </row>
    <row r="3592" spans="1:38">
      <c r="A3592" s="10"/>
      <c r="B3592" s="10"/>
      <c r="C3592" s="10"/>
      <c r="D3592" s="10"/>
      <c r="E3592" s="10"/>
      <c r="F3592" s="10"/>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0"/>
      <c r="AH3592" s="10"/>
      <c r="AI3592" s="10"/>
      <c r="AJ3592" s="10"/>
      <c r="AK3592" s="10"/>
      <c r="AL3592" s="10"/>
    </row>
    <row r="3593" spans="1:38">
      <c r="A3593" s="10"/>
      <c r="B3593" s="10"/>
      <c r="C3593" s="10"/>
      <c r="D3593" s="10"/>
      <c r="E3593" s="10"/>
      <c r="F3593" s="10"/>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0"/>
      <c r="AH3593" s="10"/>
      <c r="AI3593" s="10"/>
      <c r="AJ3593" s="10"/>
      <c r="AK3593" s="10"/>
      <c r="AL3593" s="10"/>
    </row>
    <row r="3594" spans="1:38">
      <c r="A3594" s="10"/>
      <c r="B3594" s="10"/>
      <c r="C3594" s="10"/>
      <c r="D3594" s="10"/>
      <c r="E3594" s="10"/>
      <c r="F3594" s="10"/>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0"/>
      <c r="AH3594" s="10"/>
      <c r="AI3594" s="10"/>
      <c r="AJ3594" s="10"/>
      <c r="AK3594" s="10"/>
      <c r="AL3594" s="10"/>
    </row>
    <row r="3595" spans="1:38">
      <c r="A3595" s="10"/>
      <c r="B3595" s="10"/>
      <c r="C3595" s="10"/>
      <c r="D3595" s="10"/>
      <c r="E3595" s="10"/>
      <c r="F3595" s="10"/>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0"/>
      <c r="AH3595" s="10"/>
      <c r="AI3595" s="10"/>
      <c r="AJ3595" s="10"/>
      <c r="AK3595" s="10"/>
      <c r="AL3595" s="10"/>
    </row>
    <row r="3596" spans="1:38">
      <c r="A3596" s="10"/>
      <c r="B3596" s="10"/>
      <c r="C3596" s="10"/>
      <c r="D3596" s="10"/>
      <c r="E3596" s="10"/>
      <c r="F3596" s="10"/>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0"/>
      <c r="AH3596" s="10"/>
      <c r="AI3596" s="10"/>
      <c r="AJ3596" s="10"/>
      <c r="AK3596" s="10"/>
      <c r="AL3596" s="10"/>
    </row>
    <row r="3597" spans="1:38">
      <c r="A3597" s="11"/>
      <c r="B3597" s="11"/>
      <c r="C3597" s="11"/>
      <c r="D3597" s="11"/>
      <c r="E3597" s="11"/>
      <c r="F3597" s="11"/>
      <c r="G3597" s="11"/>
      <c r="H3597" s="11"/>
      <c r="I3597" s="11"/>
      <c r="J3597" s="11"/>
      <c r="K3597" s="11"/>
      <c r="L3597" s="11"/>
      <c r="M3597" s="11"/>
      <c r="N3597" s="11"/>
      <c r="O3597" s="11"/>
      <c r="P3597" s="11"/>
      <c r="Q3597" s="11"/>
      <c r="R3597" s="11"/>
      <c r="S3597" s="11"/>
      <c r="T3597" s="11"/>
      <c r="U3597" s="11"/>
      <c r="V3597" s="11"/>
      <c r="W3597" s="11"/>
      <c r="X3597" s="11"/>
      <c r="Y3597" s="11"/>
      <c r="Z3597" s="11"/>
      <c r="AA3597" s="11"/>
      <c r="AB3597" s="11"/>
      <c r="AC3597" s="11"/>
      <c r="AD3597" s="11"/>
      <c r="AE3597" s="11"/>
      <c r="AF3597" s="11"/>
      <c r="AG3597" s="11"/>
      <c r="AH3597" s="11"/>
      <c r="AI3597" s="11"/>
      <c r="AJ3597" s="11"/>
      <c r="AK3597" s="11"/>
      <c r="AL3597" s="11"/>
    </row>
    <row r="3610" spans="1:38">
      <c r="A3610" s="14"/>
      <c r="B3610" s="14"/>
      <c r="C3610" s="14"/>
      <c r="D3610" s="14"/>
      <c r="E3610" s="14"/>
      <c r="F3610" s="14"/>
      <c r="G3610" s="14"/>
      <c r="H3610" s="14"/>
      <c r="I3610" s="14"/>
      <c r="J3610" s="14"/>
      <c r="K3610" s="14"/>
      <c r="L3610" s="14"/>
      <c r="M3610" s="14"/>
      <c r="N3610" s="14"/>
      <c r="O3610" s="14"/>
      <c r="P3610" s="14"/>
      <c r="Q3610" s="14"/>
      <c r="R3610" s="14"/>
      <c r="S3610" s="14"/>
      <c r="T3610" s="14"/>
      <c r="U3610" s="14"/>
      <c r="V3610" s="14"/>
      <c r="W3610" s="14"/>
      <c r="X3610" s="14"/>
      <c r="Y3610" s="14"/>
      <c r="Z3610" s="14"/>
      <c r="AA3610" s="14"/>
      <c r="AB3610" s="14"/>
      <c r="AC3610" s="14"/>
      <c r="AD3610" s="14"/>
      <c r="AE3610" s="14"/>
      <c r="AF3610" s="14"/>
      <c r="AG3610" s="14"/>
      <c r="AH3610" s="14"/>
      <c r="AI3610" s="14"/>
      <c r="AJ3610" s="14"/>
      <c r="AK3610" s="14"/>
      <c r="AL3610" s="14"/>
    </row>
    <row r="3611" spans="1:38">
      <c r="A3611" s="9"/>
      <c r="B3611" s="9"/>
      <c r="C3611" s="9"/>
      <c r="D3611" s="9"/>
      <c r="E3611" s="9"/>
      <c r="F3611" s="9"/>
      <c r="G3611" s="9"/>
      <c r="H3611" s="9"/>
      <c r="I3611" s="9"/>
      <c r="J3611" s="9"/>
      <c r="K3611" s="9"/>
      <c r="L3611" s="9"/>
      <c r="M3611" s="9"/>
      <c r="N3611" s="9"/>
      <c r="O3611" s="9"/>
      <c r="P3611" s="9"/>
      <c r="Q3611" s="9"/>
      <c r="R3611" s="9"/>
      <c r="S3611" s="9"/>
      <c r="T3611" s="9"/>
      <c r="U3611" s="9"/>
      <c r="V3611" s="9"/>
      <c r="W3611" s="9"/>
      <c r="X3611" s="9"/>
      <c r="Y3611" s="9"/>
      <c r="Z3611" s="9"/>
      <c r="AA3611" s="9"/>
      <c r="AB3611" s="9"/>
      <c r="AC3611" s="9"/>
      <c r="AD3611" s="9"/>
      <c r="AE3611" s="9"/>
      <c r="AF3611" s="9"/>
      <c r="AG3611" s="9"/>
      <c r="AH3611" s="9"/>
      <c r="AI3611" s="9"/>
      <c r="AJ3611" s="9"/>
      <c r="AK3611" s="9"/>
      <c r="AL3611" s="9"/>
    </row>
    <row r="3612" spans="1:38">
      <c r="A3612" s="10"/>
      <c r="B3612" s="10"/>
      <c r="C3612" s="10"/>
      <c r="D3612" s="10"/>
      <c r="E3612" s="10"/>
      <c r="F3612" s="10"/>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0"/>
      <c r="AH3612" s="10"/>
      <c r="AI3612" s="10"/>
      <c r="AJ3612" s="10"/>
      <c r="AK3612" s="10"/>
      <c r="AL3612" s="10"/>
    </row>
    <row r="3613" spans="1:38">
      <c r="A3613" s="10"/>
      <c r="B3613" s="10"/>
      <c r="C3613" s="10"/>
      <c r="D3613" s="10"/>
      <c r="E3613" s="10"/>
      <c r="F3613" s="10"/>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0"/>
      <c r="AH3613" s="10"/>
      <c r="AI3613" s="10"/>
      <c r="AJ3613" s="10"/>
      <c r="AK3613" s="10"/>
      <c r="AL3613" s="10"/>
    </row>
    <row r="3614" spans="1:38">
      <c r="A3614" s="10"/>
      <c r="B3614" s="10"/>
      <c r="C3614" s="10"/>
      <c r="D3614" s="10"/>
      <c r="E3614" s="10"/>
      <c r="F3614" s="10"/>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0"/>
      <c r="AH3614" s="10"/>
      <c r="AI3614" s="10"/>
      <c r="AJ3614" s="10"/>
      <c r="AK3614" s="10"/>
      <c r="AL3614" s="10"/>
    </row>
    <row r="3615" spans="1:38">
      <c r="A3615" s="10"/>
      <c r="B3615" s="10"/>
      <c r="C3615" s="10"/>
      <c r="D3615" s="10"/>
      <c r="E3615" s="10"/>
      <c r="F3615" s="10"/>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0"/>
      <c r="AH3615" s="10"/>
      <c r="AI3615" s="10"/>
      <c r="AJ3615" s="10"/>
      <c r="AK3615" s="10"/>
      <c r="AL3615" s="10"/>
    </row>
    <row r="3616" spans="1:38">
      <c r="A3616" s="10"/>
      <c r="B3616" s="10"/>
      <c r="C3616" s="10"/>
      <c r="D3616" s="10"/>
      <c r="E3616" s="10"/>
      <c r="F3616" s="10"/>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0"/>
      <c r="AH3616" s="10"/>
      <c r="AI3616" s="10"/>
      <c r="AJ3616" s="10"/>
      <c r="AK3616" s="10"/>
      <c r="AL3616" s="10"/>
    </row>
    <row r="3617" spans="1:38">
      <c r="A3617" s="10"/>
      <c r="B3617" s="10"/>
      <c r="C3617" s="10"/>
      <c r="D3617" s="10"/>
      <c r="E3617" s="10"/>
      <c r="F3617" s="10"/>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0"/>
      <c r="AH3617" s="10"/>
      <c r="AI3617" s="10"/>
      <c r="AJ3617" s="10"/>
      <c r="AK3617" s="10"/>
      <c r="AL3617" s="10"/>
    </row>
    <row r="3618" spans="1:38">
      <c r="A3618" s="10"/>
      <c r="B3618" s="10"/>
      <c r="C3618" s="10"/>
      <c r="D3618" s="10"/>
      <c r="E3618" s="10"/>
      <c r="F3618" s="10"/>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0"/>
      <c r="AH3618" s="10"/>
      <c r="AI3618" s="10"/>
      <c r="AJ3618" s="10"/>
      <c r="AK3618" s="10"/>
      <c r="AL3618" s="10"/>
    </row>
    <row r="3619" spans="1:38">
      <c r="A3619" s="10"/>
      <c r="B3619" s="10"/>
      <c r="C3619" s="10"/>
      <c r="D3619" s="10"/>
      <c r="E3619" s="10"/>
      <c r="F3619" s="10"/>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0"/>
      <c r="AH3619" s="10"/>
      <c r="AI3619" s="10"/>
      <c r="AJ3619" s="10"/>
      <c r="AK3619" s="10"/>
      <c r="AL3619" s="10"/>
    </row>
    <row r="3620" spans="1:38">
      <c r="A3620" s="10"/>
      <c r="B3620" s="10"/>
      <c r="C3620" s="10"/>
      <c r="D3620" s="10"/>
      <c r="E3620" s="10"/>
      <c r="F3620" s="10"/>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0"/>
      <c r="AH3620" s="10"/>
      <c r="AI3620" s="10"/>
      <c r="AJ3620" s="10"/>
      <c r="AK3620" s="10"/>
      <c r="AL3620" s="10"/>
    </row>
    <row r="3621" spans="1:38">
      <c r="A3621" s="10"/>
      <c r="B3621" s="10"/>
      <c r="C3621" s="10"/>
      <c r="D3621" s="10"/>
      <c r="E3621" s="10"/>
      <c r="F3621" s="10"/>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0"/>
      <c r="AH3621" s="10"/>
      <c r="AI3621" s="10"/>
      <c r="AJ3621" s="10"/>
      <c r="AK3621" s="10"/>
      <c r="AL3621" s="10"/>
    </row>
    <row r="3623" spans="1:38">
      <c r="A3623" s="11"/>
      <c r="B3623" s="11"/>
      <c r="C3623" s="11"/>
      <c r="D3623" s="11"/>
      <c r="E3623" s="11"/>
      <c r="F3623" s="11"/>
      <c r="G3623" s="11"/>
      <c r="H3623" s="11"/>
      <c r="I3623" s="11"/>
      <c r="J3623" s="11"/>
      <c r="K3623" s="11"/>
      <c r="L3623" s="11"/>
      <c r="M3623" s="11"/>
      <c r="N3623" s="11"/>
      <c r="O3623" s="11"/>
      <c r="P3623" s="11"/>
      <c r="Q3623" s="11"/>
      <c r="R3623" s="11"/>
      <c r="S3623" s="11"/>
      <c r="T3623" s="11"/>
      <c r="U3623" s="11"/>
      <c r="V3623" s="11"/>
      <c r="W3623" s="11"/>
      <c r="X3623" s="11"/>
      <c r="Y3623" s="11"/>
      <c r="Z3623" s="11"/>
      <c r="AA3623" s="11"/>
      <c r="AB3623" s="11"/>
      <c r="AC3623" s="11"/>
      <c r="AD3623" s="11"/>
      <c r="AE3623" s="11"/>
      <c r="AF3623" s="11"/>
      <c r="AG3623" s="11"/>
      <c r="AH3623" s="11"/>
      <c r="AI3623" s="11"/>
      <c r="AJ3623" s="11"/>
      <c r="AK3623" s="11"/>
      <c r="AL3623" s="11"/>
    </row>
    <row r="3635" spans="1:38">
      <c r="A3635" s="14"/>
      <c r="B3635" s="14"/>
      <c r="C3635" s="14"/>
      <c r="D3635" s="14"/>
      <c r="E3635" s="14"/>
      <c r="F3635" s="14"/>
      <c r="G3635" s="14"/>
      <c r="H3635" s="14"/>
      <c r="I3635" s="14"/>
      <c r="J3635" s="14"/>
      <c r="K3635" s="14"/>
      <c r="L3635" s="14"/>
      <c r="M3635" s="14"/>
      <c r="N3635" s="14"/>
      <c r="O3635" s="14"/>
      <c r="P3635" s="14"/>
      <c r="Q3635" s="14"/>
      <c r="R3635" s="14"/>
      <c r="S3635" s="14"/>
      <c r="T3635" s="14"/>
      <c r="U3635" s="14"/>
      <c r="V3635" s="14"/>
      <c r="W3635" s="14"/>
      <c r="X3635" s="14"/>
      <c r="Y3635" s="14"/>
      <c r="Z3635" s="14"/>
      <c r="AA3635" s="14"/>
      <c r="AB3635" s="14"/>
      <c r="AC3635" s="14"/>
      <c r="AD3635" s="14"/>
      <c r="AE3635" s="14"/>
      <c r="AF3635" s="14"/>
      <c r="AG3635" s="14"/>
      <c r="AH3635" s="14"/>
      <c r="AI3635" s="14"/>
      <c r="AJ3635" s="14"/>
      <c r="AK3635" s="14"/>
      <c r="AL3635" s="14"/>
    </row>
    <row r="3636" spans="1:38">
      <c r="A3636" s="9"/>
      <c r="B3636" s="9"/>
      <c r="C3636" s="9"/>
      <c r="D3636" s="9"/>
      <c r="E3636" s="9"/>
      <c r="F3636" s="9"/>
      <c r="G3636" s="9"/>
      <c r="H3636" s="9"/>
      <c r="I3636" s="9"/>
      <c r="J3636" s="9"/>
      <c r="K3636" s="9"/>
      <c r="L3636" s="9"/>
      <c r="M3636" s="9"/>
      <c r="N3636" s="9"/>
      <c r="O3636" s="9"/>
      <c r="P3636" s="9"/>
      <c r="Q3636" s="9"/>
      <c r="R3636" s="9"/>
      <c r="S3636" s="9"/>
      <c r="T3636" s="9"/>
      <c r="U3636" s="9"/>
      <c r="V3636" s="9"/>
      <c r="W3636" s="9"/>
      <c r="X3636" s="9"/>
      <c r="Y3636" s="9"/>
      <c r="Z3636" s="9"/>
      <c r="AA3636" s="9"/>
      <c r="AB3636" s="9"/>
      <c r="AC3636" s="9"/>
      <c r="AD3636" s="9"/>
      <c r="AE3636" s="9"/>
      <c r="AF3636" s="9"/>
      <c r="AG3636" s="9"/>
      <c r="AH3636" s="9"/>
      <c r="AI3636" s="9"/>
      <c r="AJ3636" s="9"/>
      <c r="AK3636" s="9"/>
      <c r="AL3636" s="9"/>
    </row>
    <row r="3637" spans="1:38">
      <c r="A3637" s="10"/>
      <c r="B3637" s="10"/>
      <c r="C3637" s="10"/>
      <c r="D3637" s="10"/>
      <c r="E3637" s="10"/>
      <c r="F3637" s="10"/>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0"/>
      <c r="AH3637" s="10"/>
      <c r="AI3637" s="10"/>
      <c r="AJ3637" s="10"/>
      <c r="AK3637" s="10"/>
      <c r="AL3637" s="10"/>
    </row>
    <row r="3638" spans="1:38">
      <c r="A3638" s="10"/>
      <c r="B3638" s="10"/>
      <c r="C3638" s="10"/>
      <c r="D3638" s="10"/>
      <c r="E3638" s="10"/>
      <c r="F3638" s="10"/>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0"/>
      <c r="AH3638" s="10"/>
      <c r="AI3638" s="10"/>
      <c r="AJ3638" s="10"/>
      <c r="AK3638" s="10"/>
      <c r="AL3638" s="10"/>
    </row>
    <row r="3639" spans="1:38">
      <c r="A3639" s="10"/>
      <c r="B3639" s="10"/>
      <c r="C3639" s="10"/>
      <c r="D3639" s="10"/>
      <c r="E3639" s="10"/>
      <c r="F3639" s="10"/>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0"/>
      <c r="AH3639" s="10"/>
      <c r="AI3639" s="10"/>
      <c r="AJ3639" s="10"/>
      <c r="AK3639" s="10"/>
      <c r="AL3639" s="10"/>
    </row>
    <row r="3640" spans="1:38">
      <c r="A3640" s="10"/>
      <c r="B3640" s="10"/>
      <c r="C3640" s="10"/>
      <c r="D3640" s="10"/>
      <c r="E3640" s="10"/>
      <c r="F3640" s="10"/>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0"/>
      <c r="AH3640" s="10"/>
      <c r="AI3640" s="10"/>
      <c r="AJ3640" s="10"/>
      <c r="AK3640" s="10"/>
      <c r="AL3640" s="10"/>
    </row>
    <row r="3641" spans="1:38">
      <c r="A3641" s="10"/>
      <c r="B3641" s="10"/>
      <c r="C3641" s="10"/>
      <c r="D3641" s="10"/>
      <c r="E3641" s="10"/>
      <c r="F3641" s="10"/>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0"/>
      <c r="AH3641" s="10"/>
      <c r="AI3641" s="10"/>
      <c r="AJ3641" s="10"/>
      <c r="AK3641" s="10"/>
      <c r="AL3641" s="10"/>
    </row>
    <row r="3642" spans="1:38">
      <c r="A3642" s="10"/>
      <c r="B3642" s="10"/>
      <c r="C3642" s="10"/>
      <c r="D3642" s="10"/>
      <c r="E3642" s="10"/>
      <c r="F3642" s="10"/>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0"/>
      <c r="AH3642" s="10"/>
      <c r="AI3642" s="10"/>
      <c r="AJ3642" s="10"/>
      <c r="AK3642" s="10"/>
      <c r="AL3642" s="10"/>
    </row>
    <row r="3643" spans="1:38">
      <c r="A3643" s="10"/>
      <c r="B3643" s="10"/>
      <c r="C3643" s="10"/>
      <c r="D3643" s="10"/>
      <c r="E3643" s="10"/>
      <c r="F3643" s="10"/>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0"/>
      <c r="AH3643" s="10"/>
      <c r="AI3643" s="10"/>
      <c r="AJ3643" s="10"/>
      <c r="AK3643" s="10"/>
      <c r="AL3643" s="10"/>
    </row>
    <row r="3644" spans="1:38">
      <c r="A3644" s="10"/>
      <c r="B3644" s="10"/>
      <c r="C3644" s="10"/>
      <c r="D3644" s="10"/>
      <c r="E3644" s="10"/>
      <c r="F3644" s="10"/>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0"/>
      <c r="AH3644" s="10"/>
      <c r="AI3644" s="10"/>
      <c r="AJ3644" s="10"/>
      <c r="AK3644" s="10"/>
      <c r="AL3644" s="10"/>
    </row>
    <row r="3645" spans="1:38">
      <c r="A3645" s="10"/>
      <c r="B3645" s="10"/>
      <c r="C3645" s="10"/>
      <c r="D3645" s="10"/>
      <c r="E3645" s="10"/>
      <c r="F3645" s="10"/>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0"/>
      <c r="AH3645" s="10"/>
      <c r="AI3645" s="10"/>
      <c r="AJ3645" s="10"/>
      <c r="AK3645" s="10"/>
      <c r="AL3645" s="10"/>
    </row>
    <row r="3646" spans="1:38">
      <c r="A3646" s="10"/>
      <c r="B3646" s="10"/>
      <c r="C3646" s="10"/>
      <c r="D3646" s="10"/>
      <c r="E3646" s="10"/>
      <c r="F3646" s="10"/>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0"/>
      <c r="AH3646" s="10"/>
      <c r="AI3646" s="10"/>
      <c r="AJ3646" s="10"/>
      <c r="AK3646" s="10"/>
      <c r="AL3646" s="10"/>
    </row>
    <row r="3647" spans="1:38">
      <c r="A3647" s="10"/>
      <c r="B3647" s="10"/>
      <c r="C3647" s="10"/>
      <c r="D3647" s="10"/>
      <c r="E3647" s="10"/>
      <c r="F3647" s="10"/>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0"/>
      <c r="AH3647" s="10"/>
      <c r="AI3647" s="10"/>
      <c r="AJ3647" s="10"/>
      <c r="AK3647" s="10"/>
      <c r="AL3647" s="10"/>
    </row>
    <row r="3648" spans="1:38">
      <c r="A3648" s="11"/>
      <c r="B3648" s="11"/>
      <c r="C3648" s="11"/>
      <c r="D3648" s="11"/>
      <c r="E3648" s="11"/>
      <c r="F3648" s="11"/>
      <c r="G3648" s="11"/>
      <c r="H3648" s="11"/>
      <c r="I3648" s="11"/>
      <c r="J3648" s="11"/>
      <c r="K3648" s="11"/>
      <c r="L3648" s="11"/>
      <c r="M3648" s="11"/>
      <c r="N3648" s="11"/>
      <c r="O3648" s="11"/>
      <c r="P3648" s="11"/>
      <c r="Q3648" s="11"/>
      <c r="R3648" s="11"/>
      <c r="S3648" s="11"/>
      <c r="T3648" s="11"/>
      <c r="U3648" s="11"/>
      <c r="V3648" s="11"/>
      <c r="W3648" s="11"/>
      <c r="X3648" s="11"/>
      <c r="Y3648" s="11"/>
      <c r="Z3648" s="11"/>
      <c r="AA3648" s="11"/>
      <c r="AB3648" s="11"/>
      <c r="AC3648" s="11"/>
      <c r="AD3648" s="11"/>
      <c r="AE3648" s="11"/>
      <c r="AF3648" s="11"/>
      <c r="AG3648" s="11"/>
      <c r="AH3648" s="11"/>
      <c r="AI3648" s="11"/>
      <c r="AJ3648" s="11"/>
      <c r="AK3648" s="11"/>
      <c r="AL3648" s="11"/>
    </row>
    <row r="3659" spans="1:38">
      <c r="A3659" s="14"/>
      <c r="B3659" s="14"/>
      <c r="C3659" s="14"/>
      <c r="D3659" s="14"/>
      <c r="E3659" s="14"/>
      <c r="F3659" s="14"/>
      <c r="G3659" s="14"/>
      <c r="H3659" s="14"/>
      <c r="I3659" s="14"/>
      <c r="J3659" s="14"/>
      <c r="K3659" s="14"/>
      <c r="L3659" s="14"/>
      <c r="M3659" s="14"/>
      <c r="N3659" s="14"/>
      <c r="O3659" s="14"/>
      <c r="P3659" s="14"/>
      <c r="Q3659" s="14"/>
      <c r="R3659" s="14"/>
      <c r="S3659" s="14"/>
      <c r="T3659" s="14"/>
      <c r="U3659" s="14"/>
      <c r="V3659" s="14"/>
      <c r="W3659" s="14"/>
      <c r="X3659" s="14"/>
      <c r="Y3659" s="14"/>
      <c r="Z3659" s="14"/>
      <c r="AA3659" s="14"/>
      <c r="AB3659" s="14"/>
      <c r="AC3659" s="14"/>
      <c r="AD3659" s="14"/>
      <c r="AE3659" s="14"/>
      <c r="AF3659" s="14"/>
      <c r="AG3659" s="14"/>
      <c r="AH3659" s="14"/>
      <c r="AI3659" s="14"/>
      <c r="AJ3659" s="14"/>
      <c r="AK3659" s="14"/>
      <c r="AL3659" s="14"/>
    </row>
    <row r="3660" spans="1:38">
      <c r="A3660" s="9"/>
      <c r="B3660" s="9"/>
      <c r="C3660" s="9"/>
      <c r="D3660" s="9"/>
      <c r="E3660" s="9"/>
      <c r="F3660" s="9"/>
      <c r="G3660" s="9"/>
      <c r="H3660" s="9"/>
      <c r="I3660" s="9"/>
      <c r="J3660" s="9"/>
      <c r="K3660" s="9"/>
      <c r="L3660" s="9"/>
      <c r="M3660" s="9"/>
      <c r="N3660" s="9"/>
      <c r="O3660" s="9"/>
      <c r="P3660" s="9"/>
      <c r="Q3660" s="9"/>
      <c r="R3660" s="9"/>
      <c r="S3660" s="9"/>
      <c r="T3660" s="9"/>
      <c r="U3660" s="9"/>
      <c r="V3660" s="9"/>
      <c r="W3660" s="9"/>
      <c r="X3660" s="9"/>
      <c r="Y3660" s="9"/>
      <c r="Z3660" s="9"/>
      <c r="AA3660" s="9"/>
      <c r="AB3660" s="9"/>
      <c r="AC3660" s="9"/>
      <c r="AD3660" s="9"/>
      <c r="AE3660" s="9"/>
      <c r="AF3660" s="9"/>
      <c r="AG3660" s="9"/>
      <c r="AH3660" s="9"/>
      <c r="AI3660" s="9"/>
      <c r="AJ3660" s="9"/>
      <c r="AK3660" s="9"/>
      <c r="AL3660" s="9"/>
    </row>
    <row r="3661" spans="1:38">
      <c r="A3661" s="10"/>
      <c r="B3661" s="10"/>
      <c r="C3661" s="10"/>
      <c r="D3661" s="10"/>
      <c r="E3661" s="10"/>
      <c r="F3661" s="10"/>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0"/>
      <c r="AH3661" s="10"/>
      <c r="AI3661" s="10"/>
      <c r="AJ3661" s="10"/>
      <c r="AK3661" s="10"/>
      <c r="AL3661" s="10"/>
    </row>
    <row r="3662" spans="1:38">
      <c r="A3662" s="10"/>
      <c r="B3662" s="10"/>
      <c r="C3662" s="10"/>
      <c r="D3662" s="10"/>
      <c r="E3662" s="10"/>
      <c r="F3662" s="10"/>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0"/>
      <c r="AH3662" s="10"/>
      <c r="AI3662" s="10"/>
      <c r="AJ3662" s="10"/>
      <c r="AK3662" s="10"/>
      <c r="AL3662" s="10"/>
    </row>
    <row r="3663" spans="1:38">
      <c r="A3663" s="10"/>
      <c r="B3663" s="10"/>
      <c r="C3663" s="10"/>
      <c r="D3663" s="10"/>
      <c r="E3663" s="10"/>
      <c r="F3663" s="10"/>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0"/>
      <c r="AH3663" s="10"/>
      <c r="AI3663" s="10"/>
      <c r="AJ3663" s="10"/>
      <c r="AK3663" s="10"/>
      <c r="AL3663" s="10"/>
    </row>
    <row r="3664" spans="1:38">
      <c r="A3664" s="10"/>
      <c r="B3664" s="10"/>
      <c r="C3664" s="10"/>
      <c r="D3664" s="10"/>
      <c r="E3664" s="10"/>
      <c r="F3664" s="10"/>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0"/>
      <c r="AH3664" s="10"/>
      <c r="AI3664" s="10"/>
      <c r="AJ3664" s="10"/>
      <c r="AK3664" s="10"/>
      <c r="AL3664" s="10"/>
    </row>
    <row r="3665" spans="1:38">
      <c r="A3665" s="10"/>
      <c r="B3665" s="10"/>
      <c r="C3665" s="10"/>
      <c r="D3665" s="10"/>
      <c r="E3665" s="10"/>
      <c r="F3665" s="10"/>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0"/>
      <c r="AH3665" s="10"/>
      <c r="AI3665" s="10"/>
      <c r="AJ3665" s="10"/>
      <c r="AK3665" s="10"/>
      <c r="AL3665" s="10"/>
    </row>
    <row r="3666" spans="1:38">
      <c r="A3666" s="10"/>
      <c r="B3666" s="10"/>
      <c r="C3666" s="10"/>
      <c r="D3666" s="10"/>
      <c r="E3666" s="10"/>
      <c r="F3666" s="10"/>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0"/>
      <c r="AH3666" s="10"/>
      <c r="AI3666" s="10"/>
      <c r="AJ3666" s="10"/>
      <c r="AK3666" s="10"/>
      <c r="AL3666" s="10"/>
    </row>
    <row r="3667" spans="1:38">
      <c r="A3667" s="10"/>
      <c r="B3667" s="10"/>
      <c r="C3667" s="10"/>
      <c r="D3667" s="10"/>
      <c r="E3667" s="10"/>
      <c r="F3667" s="10"/>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0"/>
      <c r="AH3667" s="10"/>
      <c r="AI3667" s="10"/>
      <c r="AJ3667" s="10"/>
      <c r="AK3667" s="10"/>
      <c r="AL3667" s="10"/>
    </row>
    <row r="3668" spans="1:38">
      <c r="A3668" s="10"/>
      <c r="B3668" s="10"/>
      <c r="C3668" s="10"/>
      <c r="D3668" s="10"/>
      <c r="E3668" s="10"/>
      <c r="F3668" s="10"/>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0"/>
      <c r="AH3668" s="10"/>
      <c r="AI3668" s="10"/>
      <c r="AJ3668" s="10"/>
      <c r="AK3668" s="10"/>
      <c r="AL3668" s="10"/>
    </row>
    <row r="3669" spans="1:38">
      <c r="A3669" s="10"/>
      <c r="B3669" s="10"/>
      <c r="C3669" s="10"/>
      <c r="D3669" s="10"/>
      <c r="E3669" s="10"/>
      <c r="F3669" s="10"/>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0"/>
      <c r="AH3669" s="10"/>
      <c r="AI3669" s="10"/>
      <c r="AJ3669" s="10"/>
      <c r="AK3669" s="10"/>
      <c r="AL3669" s="10"/>
    </row>
    <row r="3670" spans="1:38">
      <c r="A3670" s="10"/>
      <c r="B3670" s="10"/>
      <c r="C3670" s="10"/>
      <c r="D3670" s="10"/>
      <c r="E3670" s="10"/>
      <c r="F3670" s="10"/>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0"/>
      <c r="AH3670" s="10"/>
      <c r="AI3670" s="10"/>
      <c r="AJ3670" s="10"/>
      <c r="AK3670" s="10"/>
      <c r="AL3670" s="10"/>
    </row>
    <row r="3671" spans="1:38">
      <c r="A3671" s="10"/>
      <c r="B3671" s="10"/>
      <c r="C3671" s="10"/>
      <c r="D3671" s="10"/>
      <c r="E3671" s="10"/>
      <c r="F3671" s="10"/>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0"/>
      <c r="AH3671" s="10"/>
      <c r="AI3671" s="10"/>
      <c r="AJ3671" s="10"/>
      <c r="AK3671" s="10"/>
      <c r="AL3671" s="10"/>
    </row>
    <row r="3672" spans="1:38">
      <c r="A3672" s="11"/>
      <c r="B3672" s="11"/>
      <c r="C3672" s="11"/>
      <c r="D3672" s="11"/>
      <c r="E3672" s="11"/>
      <c r="F3672" s="11"/>
      <c r="G3672" s="11"/>
      <c r="H3672" s="11"/>
      <c r="I3672" s="11"/>
      <c r="J3672" s="11"/>
      <c r="K3672" s="11"/>
      <c r="L3672" s="11"/>
      <c r="M3672" s="11"/>
      <c r="N3672" s="11"/>
      <c r="O3672" s="11"/>
      <c r="P3672" s="11"/>
      <c r="Q3672" s="11"/>
      <c r="R3672" s="11"/>
      <c r="S3672" s="11"/>
      <c r="T3672" s="11"/>
      <c r="U3672" s="11"/>
      <c r="V3672" s="11"/>
      <c r="W3672" s="11"/>
      <c r="X3672" s="11"/>
      <c r="Y3672" s="11"/>
      <c r="Z3672" s="11"/>
      <c r="AA3672" s="11"/>
      <c r="AB3672" s="11"/>
      <c r="AC3672" s="11"/>
      <c r="AD3672" s="11"/>
      <c r="AE3672" s="11"/>
      <c r="AF3672" s="11"/>
      <c r="AG3672" s="11"/>
      <c r="AH3672" s="11"/>
      <c r="AI3672" s="11"/>
      <c r="AJ3672" s="11"/>
      <c r="AK3672" s="11"/>
      <c r="AL3672" s="11"/>
    </row>
    <row r="3682" spans="1:38">
      <c r="A3682" s="14"/>
      <c r="B3682" s="14"/>
      <c r="C3682" s="14"/>
      <c r="D3682" s="14"/>
      <c r="E3682" s="14"/>
      <c r="F3682" s="14"/>
      <c r="G3682" s="14"/>
      <c r="H3682" s="14"/>
      <c r="I3682" s="14"/>
      <c r="J3682" s="14"/>
      <c r="K3682" s="14"/>
      <c r="L3682" s="14"/>
      <c r="M3682" s="14"/>
      <c r="N3682" s="14"/>
      <c r="O3682" s="14"/>
      <c r="P3682" s="14"/>
      <c r="Q3682" s="14"/>
      <c r="R3682" s="14"/>
      <c r="S3682" s="14"/>
      <c r="T3682" s="14"/>
      <c r="U3682" s="14"/>
      <c r="V3682" s="14"/>
      <c r="W3682" s="14"/>
      <c r="X3682" s="14"/>
      <c r="Y3682" s="14"/>
      <c r="Z3682" s="14"/>
      <c r="AA3682" s="14"/>
      <c r="AB3682" s="14"/>
      <c r="AC3682" s="14"/>
      <c r="AD3682" s="14"/>
      <c r="AE3682" s="14"/>
      <c r="AF3682" s="14"/>
      <c r="AG3682" s="14"/>
      <c r="AH3682" s="14"/>
      <c r="AI3682" s="14"/>
      <c r="AJ3682" s="14"/>
      <c r="AK3682" s="14"/>
      <c r="AL3682" s="14"/>
    </row>
    <row r="3683" spans="1:38">
      <c r="A3683" s="9"/>
      <c r="B3683" s="9"/>
      <c r="C3683" s="9"/>
      <c r="D3683" s="9"/>
      <c r="E3683" s="9"/>
      <c r="F3683" s="9"/>
      <c r="G3683" s="9"/>
      <c r="H3683" s="9"/>
      <c r="I3683" s="9"/>
      <c r="J3683" s="9"/>
      <c r="K3683" s="9"/>
      <c r="L3683" s="9"/>
      <c r="M3683" s="9"/>
      <c r="N3683" s="9"/>
      <c r="O3683" s="9"/>
      <c r="P3683" s="9"/>
      <c r="Q3683" s="9"/>
      <c r="R3683" s="9"/>
      <c r="S3683" s="9"/>
      <c r="T3683" s="9"/>
      <c r="U3683" s="9"/>
      <c r="V3683" s="9"/>
      <c r="W3683" s="9"/>
      <c r="X3683" s="9"/>
      <c r="Y3683" s="9"/>
      <c r="Z3683" s="9"/>
      <c r="AA3683" s="9"/>
      <c r="AB3683" s="9"/>
      <c r="AC3683" s="9"/>
      <c r="AD3683" s="9"/>
      <c r="AE3683" s="9"/>
      <c r="AF3683" s="9"/>
      <c r="AG3683" s="9"/>
      <c r="AH3683" s="9"/>
      <c r="AI3683" s="9"/>
      <c r="AJ3683" s="9"/>
      <c r="AK3683" s="9"/>
      <c r="AL3683" s="9"/>
    </row>
    <row r="3684" spans="1:38">
      <c r="A3684" s="10"/>
      <c r="B3684" s="10"/>
      <c r="C3684" s="10"/>
      <c r="D3684" s="10"/>
      <c r="E3684" s="10"/>
      <c r="F3684" s="10"/>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0"/>
      <c r="AH3684" s="10"/>
      <c r="AI3684" s="10"/>
      <c r="AJ3684" s="10"/>
      <c r="AK3684" s="10"/>
      <c r="AL3684" s="10"/>
    </row>
    <row r="3685" spans="1:38">
      <c r="A3685" s="10"/>
      <c r="B3685" s="10"/>
      <c r="C3685" s="10"/>
      <c r="D3685" s="10"/>
      <c r="E3685" s="10"/>
      <c r="F3685" s="10"/>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0"/>
      <c r="AH3685" s="10"/>
      <c r="AI3685" s="10"/>
      <c r="AJ3685" s="10"/>
      <c r="AK3685" s="10"/>
      <c r="AL3685" s="10"/>
    </row>
    <row r="3686" spans="1:38">
      <c r="A3686" s="10"/>
      <c r="B3686" s="10"/>
      <c r="C3686" s="10"/>
      <c r="D3686" s="10"/>
      <c r="E3686" s="10"/>
      <c r="F3686" s="10"/>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0"/>
      <c r="AH3686" s="10"/>
      <c r="AI3686" s="10"/>
      <c r="AJ3686" s="10"/>
      <c r="AK3686" s="10"/>
      <c r="AL3686" s="10"/>
    </row>
    <row r="3687" spans="1:38">
      <c r="A3687" s="10"/>
      <c r="B3687" s="10"/>
      <c r="C3687" s="10"/>
      <c r="D3687" s="10"/>
      <c r="E3687" s="10"/>
      <c r="F3687" s="10"/>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0"/>
      <c r="AH3687" s="10"/>
      <c r="AI3687" s="10"/>
      <c r="AJ3687" s="10"/>
      <c r="AK3687" s="10"/>
      <c r="AL3687" s="10"/>
    </row>
    <row r="3688" spans="1:38">
      <c r="A3688" s="10"/>
      <c r="B3688" s="10"/>
      <c r="C3688" s="10"/>
      <c r="D3688" s="10"/>
      <c r="E3688" s="10"/>
      <c r="F3688" s="10"/>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0"/>
      <c r="AH3688" s="10"/>
      <c r="AI3688" s="10"/>
      <c r="AJ3688" s="10"/>
      <c r="AK3688" s="10"/>
      <c r="AL3688" s="10"/>
    </row>
    <row r="3689" spans="1:38">
      <c r="A3689" s="10"/>
      <c r="B3689" s="10"/>
      <c r="C3689" s="10"/>
      <c r="D3689" s="10"/>
      <c r="E3689" s="10"/>
      <c r="F3689" s="10"/>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0"/>
      <c r="AH3689" s="10"/>
      <c r="AI3689" s="10"/>
      <c r="AJ3689" s="10"/>
      <c r="AK3689" s="10"/>
      <c r="AL3689" s="10"/>
    </row>
    <row r="3690" spans="1:38">
      <c r="A3690" s="10"/>
      <c r="B3690" s="10"/>
      <c r="C3690" s="10"/>
      <c r="D3690" s="10"/>
      <c r="E3690" s="10"/>
      <c r="F3690" s="10"/>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0"/>
      <c r="AH3690" s="10"/>
      <c r="AI3690" s="10"/>
      <c r="AJ3690" s="10"/>
      <c r="AK3690" s="10"/>
      <c r="AL3690" s="10"/>
    </row>
    <row r="3691" spans="1:38">
      <c r="A3691" s="10"/>
      <c r="B3691" s="10"/>
      <c r="C3691" s="10"/>
      <c r="D3691" s="10"/>
      <c r="E3691" s="10"/>
      <c r="F3691" s="10"/>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0"/>
      <c r="AH3691" s="10"/>
      <c r="AI3691" s="10"/>
      <c r="AJ3691" s="10"/>
      <c r="AK3691" s="10"/>
      <c r="AL3691" s="10"/>
    </row>
    <row r="3692" spans="1:38">
      <c r="A3692" s="10"/>
      <c r="B3692" s="10"/>
      <c r="C3692" s="10"/>
      <c r="D3692" s="10"/>
      <c r="E3692" s="10"/>
      <c r="F3692" s="10"/>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0"/>
      <c r="AH3692" s="10"/>
      <c r="AI3692" s="10"/>
      <c r="AJ3692" s="10"/>
      <c r="AK3692" s="10"/>
      <c r="AL3692" s="10"/>
    </row>
    <row r="3693" spans="1:38">
      <c r="A3693" s="10"/>
      <c r="B3693" s="10"/>
      <c r="C3693" s="10"/>
      <c r="D3693" s="10"/>
      <c r="E3693" s="10"/>
      <c r="F3693" s="10"/>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0"/>
      <c r="AH3693" s="10"/>
      <c r="AI3693" s="10"/>
      <c r="AJ3693" s="10"/>
      <c r="AK3693" s="10"/>
      <c r="AL3693" s="10"/>
    </row>
    <row r="3694" spans="1:38">
      <c r="A3694" s="10"/>
      <c r="B3694" s="10"/>
      <c r="C3694" s="10"/>
      <c r="D3694" s="10"/>
      <c r="E3694" s="10"/>
      <c r="F3694" s="10"/>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0"/>
      <c r="AH3694" s="10"/>
      <c r="AI3694" s="10"/>
      <c r="AJ3694" s="10"/>
      <c r="AK3694" s="10"/>
      <c r="AL3694" s="10"/>
    </row>
    <row r="3695" spans="1:38">
      <c r="A3695" s="11"/>
      <c r="B3695" s="11"/>
      <c r="C3695" s="11"/>
      <c r="D3695" s="11"/>
      <c r="E3695" s="11"/>
      <c r="F3695" s="11"/>
      <c r="G3695" s="11"/>
      <c r="H3695" s="11"/>
      <c r="I3695" s="11"/>
      <c r="J3695" s="11"/>
      <c r="K3695" s="11"/>
      <c r="L3695" s="11"/>
      <c r="M3695" s="11"/>
      <c r="N3695" s="11"/>
      <c r="O3695" s="11"/>
      <c r="P3695" s="11"/>
      <c r="Q3695" s="11"/>
      <c r="R3695" s="11"/>
      <c r="S3695" s="11"/>
      <c r="T3695" s="11"/>
      <c r="U3695" s="11"/>
      <c r="V3695" s="11"/>
      <c r="W3695" s="11"/>
      <c r="X3695" s="11"/>
      <c r="Y3695" s="11"/>
      <c r="Z3695" s="11"/>
      <c r="AA3695" s="11"/>
      <c r="AB3695" s="11"/>
      <c r="AC3695" s="11"/>
      <c r="AD3695" s="11"/>
      <c r="AE3695" s="11"/>
      <c r="AF3695" s="11"/>
      <c r="AG3695" s="11"/>
      <c r="AH3695" s="11"/>
      <c r="AI3695" s="11"/>
      <c r="AJ3695" s="11"/>
      <c r="AK3695" s="11"/>
      <c r="AL3695" s="11"/>
    </row>
    <row r="3703" spans="1:38">
      <c r="A3703" s="14"/>
      <c r="B3703" s="14"/>
      <c r="C3703" s="14"/>
      <c r="D3703" s="14"/>
      <c r="E3703" s="14"/>
      <c r="F3703" s="14"/>
      <c r="G3703" s="14"/>
      <c r="H3703" s="14"/>
      <c r="I3703" s="14"/>
      <c r="J3703" s="14"/>
      <c r="K3703" s="14"/>
      <c r="L3703" s="14"/>
      <c r="M3703" s="14"/>
      <c r="N3703" s="14"/>
      <c r="O3703" s="14"/>
      <c r="P3703" s="14"/>
      <c r="Q3703" s="14"/>
      <c r="R3703" s="14"/>
      <c r="S3703" s="14"/>
      <c r="T3703" s="14"/>
      <c r="U3703" s="14"/>
      <c r="V3703" s="14"/>
      <c r="W3703" s="14"/>
      <c r="X3703" s="14"/>
      <c r="Y3703" s="14"/>
      <c r="Z3703" s="14"/>
      <c r="AA3703" s="14"/>
      <c r="AB3703" s="14"/>
      <c r="AC3703" s="14"/>
      <c r="AD3703" s="14"/>
      <c r="AE3703" s="14"/>
      <c r="AF3703" s="14"/>
      <c r="AG3703" s="14"/>
      <c r="AH3703" s="14"/>
      <c r="AI3703" s="14"/>
      <c r="AJ3703" s="14"/>
      <c r="AK3703" s="14"/>
      <c r="AL3703" s="14"/>
    </row>
    <row r="3704" spans="1:38">
      <c r="A3704" s="9"/>
      <c r="B3704" s="9"/>
      <c r="C3704" s="9"/>
      <c r="D3704" s="9"/>
      <c r="E3704" s="9"/>
      <c r="F3704" s="9"/>
      <c r="G3704" s="9"/>
      <c r="H3704" s="9"/>
      <c r="I3704" s="9"/>
      <c r="J3704" s="9"/>
      <c r="K3704" s="9"/>
      <c r="L3704" s="9"/>
      <c r="M3704" s="9"/>
      <c r="N3704" s="9"/>
      <c r="O3704" s="9"/>
      <c r="P3704" s="9"/>
      <c r="Q3704" s="9"/>
      <c r="R3704" s="9"/>
      <c r="S3704" s="9"/>
      <c r="T3704" s="9"/>
      <c r="U3704" s="9"/>
      <c r="V3704" s="9"/>
      <c r="W3704" s="9"/>
      <c r="X3704" s="9"/>
      <c r="Y3704" s="9"/>
      <c r="Z3704" s="9"/>
      <c r="AA3704" s="9"/>
      <c r="AB3704" s="9"/>
      <c r="AC3704" s="9"/>
      <c r="AD3704" s="9"/>
      <c r="AE3704" s="9"/>
      <c r="AF3704" s="9"/>
      <c r="AG3704" s="9"/>
      <c r="AH3704" s="9"/>
      <c r="AI3704" s="9"/>
      <c r="AJ3704" s="9"/>
      <c r="AK3704" s="9"/>
      <c r="AL3704" s="9"/>
    </row>
    <row r="3705" spans="1:38">
      <c r="A3705" s="10"/>
      <c r="B3705" s="10"/>
      <c r="C3705" s="10"/>
      <c r="D3705" s="10"/>
      <c r="E3705" s="10"/>
      <c r="F3705" s="10"/>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0"/>
      <c r="AH3705" s="10"/>
      <c r="AI3705" s="10"/>
      <c r="AJ3705" s="10"/>
      <c r="AK3705" s="10"/>
      <c r="AL3705" s="10"/>
    </row>
    <row r="3706" spans="1:38">
      <c r="A3706" s="10"/>
      <c r="B3706" s="10"/>
      <c r="C3706" s="10"/>
      <c r="D3706" s="10"/>
      <c r="E3706" s="10"/>
      <c r="F3706" s="10"/>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0"/>
      <c r="AH3706" s="10"/>
      <c r="AI3706" s="10"/>
      <c r="AJ3706" s="10"/>
      <c r="AK3706" s="10"/>
      <c r="AL3706" s="10"/>
    </row>
    <row r="3707" spans="1:38">
      <c r="A3707" s="10"/>
      <c r="B3707" s="10"/>
      <c r="C3707" s="10"/>
      <c r="D3707" s="10"/>
      <c r="E3707" s="10"/>
      <c r="F3707" s="10"/>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0"/>
      <c r="AH3707" s="10"/>
      <c r="AI3707" s="10"/>
      <c r="AJ3707" s="10"/>
      <c r="AK3707" s="10"/>
      <c r="AL3707" s="10"/>
    </row>
    <row r="3708" spans="1:38">
      <c r="A3708" s="10"/>
      <c r="B3708" s="10"/>
      <c r="C3708" s="10"/>
      <c r="D3708" s="10"/>
      <c r="E3708" s="10"/>
      <c r="F3708" s="10"/>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0"/>
      <c r="AH3708" s="10"/>
      <c r="AI3708" s="10"/>
      <c r="AJ3708" s="10"/>
      <c r="AK3708" s="10"/>
      <c r="AL3708" s="10"/>
    </row>
    <row r="3709" spans="1:38">
      <c r="A3709" s="10"/>
      <c r="B3709" s="10"/>
      <c r="C3709" s="10"/>
      <c r="D3709" s="10"/>
      <c r="E3709" s="10"/>
      <c r="F3709" s="10"/>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0"/>
      <c r="AH3709" s="10"/>
      <c r="AI3709" s="10"/>
      <c r="AJ3709" s="10"/>
      <c r="AK3709" s="10"/>
      <c r="AL3709" s="10"/>
    </row>
    <row r="3710" spans="1:38">
      <c r="A3710" s="10"/>
      <c r="B3710" s="10"/>
      <c r="C3710" s="10"/>
      <c r="D3710" s="10"/>
      <c r="E3710" s="10"/>
      <c r="F3710" s="10"/>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0"/>
      <c r="AH3710" s="10"/>
      <c r="AI3710" s="10"/>
      <c r="AJ3710" s="10"/>
      <c r="AK3710" s="10"/>
      <c r="AL3710" s="10"/>
    </row>
    <row r="3711" spans="1:38">
      <c r="A3711" s="10"/>
      <c r="B3711" s="10"/>
      <c r="C3711" s="10"/>
      <c r="D3711" s="10"/>
      <c r="E3711" s="10"/>
      <c r="F3711" s="10"/>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0"/>
      <c r="AH3711" s="10"/>
      <c r="AI3711" s="10"/>
      <c r="AJ3711" s="10"/>
      <c r="AK3711" s="10"/>
      <c r="AL3711" s="10"/>
    </row>
    <row r="3712" spans="1:38">
      <c r="A3712" s="10"/>
      <c r="B3712" s="10"/>
      <c r="C3712" s="10"/>
      <c r="D3712" s="10"/>
      <c r="E3712" s="10"/>
      <c r="F3712" s="10"/>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0"/>
      <c r="AH3712" s="10"/>
      <c r="AI3712" s="10"/>
      <c r="AJ3712" s="10"/>
      <c r="AK3712" s="10"/>
      <c r="AL3712" s="10"/>
    </row>
    <row r="3713" spans="1:38">
      <c r="A3713" s="10"/>
      <c r="B3713" s="10"/>
      <c r="C3713" s="10"/>
      <c r="D3713" s="10"/>
      <c r="E3713" s="10"/>
      <c r="F3713" s="10"/>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0"/>
      <c r="AH3713" s="10"/>
      <c r="AI3713" s="10"/>
      <c r="AJ3713" s="10"/>
      <c r="AK3713" s="10"/>
      <c r="AL3713" s="10"/>
    </row>
    <row r="3714" spans="1:38">
      <c r="A3714" s="10"/>
      <c r="B3714" s="10"/>
      <c r="C3714" s="10"/>
      <c r="D3714" s="10"/>
      <c r="E3714" s="10"/>
      <c r="F3714" s="10"/>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0"/>
      <c r="AH3714" s="10"/>
      <c r="AI3714" s="10"/>
      <c r="AJ3714" s="10"/>
      <c r="AK3714" s="10"/>
      <c r="AL3714" s="10"/>
    </row>
    <row r="3715" spans="1:38">
      <c r="A3715" s="10"/>
      <c r="B3715" s="10"/>
      <c r="C3715" s="10"/>
      <c r="D3715" s="10"/>
      <c r="E3715" s="10"/>
      <c r="F3715" s="10"/>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0"/>
      <c r="AH3715" s="10"/>
      <c r="AI3715" s="10"/>
      <c r="AJ3715" s="10"/>
      <c r="AK3715" s="10"/>
      <c r="AL3715" s="10"/>
    </row>
    <row r="3716" spans="1:38">
      <c r="A3716" s="11"/>
      <c r="B3716" s="11"/>
      <c r="C3716" s="11"/>
      <c r="D3716" s="11"/>
      <c r="E3716" s="11"/>
      <c r="F3716" s="11"/>
      <c r="G3716" s="11"/>
      <c r="H3716" s="11"/>
      <c r="I3716" s="11"/>
      <c r="J3716" s="11"/>
      <c r="K3716" s="11"/>
      <c r="L3716" s="11"/>
      <c r="M3716" s="11"/>
      <c r="N3716" s="11"/>
      <c r="O3716" s="11"/>
      <c r="P3716" s="11"/>
      <c r="Q3716" s="11"/>
      <c r="R3716" s="11"/>
      <c r="S3716" s="11"/>
      <c r="T3716" s="11"/>
      <c r="U3716" s="11"/>
      <c r="V3716" s="11"/>
      <c r="W3716" s="11"/>
      <c r="X3716" s="11"/>
      <c r="Y3716" s="11"/>
      <c r="Z3716" s="11"/>
      <c r="AA3716" s="11"/>
      <c r="AB3716" s="11"/>
      <c r="AC3716" s="11"/>
      <c r="AD3716" s="11"/>
      <c r="AE3716" s="11"/>
      <c r="AF3716" s="11"/>
      <c r="AG3716" s="11"/>
      <c r="AH3716" s="11"/>
      <c r="AI3716" s="11"/>
      <c r="AJ3716" s="11"/>
      <c r="AK3716" s="11"/>
      <c r="AL3716" s="11"/>
    </row>
    <row r="3726" spans="1:38">
      <c r="A3726" s="14"/>
      <c r="B3726" s="14"/>
      <c r="C3726" s="14"/>
      <c r="D3726" s="14"/>
      <c r="E3726" s="14"/>
      <c r="F3726" s="14"/>
      <c r="G3726" s="14"/>
      <c r="H3726" s="14"/>
      <c r="I3726" s="14"/>
      <c r="J3726" s="14"/>
      <c r="K3726" s="14"/>
      <c r="L3726" s="14"/>
      <c r="M3726" s="14"/>
      <c r="N3726" s="14"/>
      <c r="O3726" s="14"/>
      <c r="P3726" s="14"/>
      <c r="Q3726" s="14"/>
      <c r="R3726" s="14"/>
      <c r="S3726" s="14"/>
      <c r="T3726" s="14"/>
      <c r="U3726" s="14"/>
      <c r="V3726" s="14"/>
      <c r="W3726" s="14"/>
      <c r="X3726" s="14"/>
      <c r="Y3726" s="14"/>
      <c r="Z3726" s="14"/>
      <c r="AA3726" s="14"/>
      <c r="AB3726" s="14"/>
      <c r="AC3726" s="14"/>
      <c r="AD3726" s="14"/>
      <c r="AE3726" s="14"/>
      <c r="AF3726" s="14"/>
      <c r="AG3726" s="14"/>
      <c r="AH3726" s="14"/>
      <c r="AI3726" s="14"/>
      <c r="AJ3726" s="14"/>
      <c r="AK3726" s="14"/>
      <c r="AL3726" s="14"/>
    </row>
    <row r="3727" spans="1:38">
      <c r="A3727" s="9"/>
      <c r="B3727" s="9"/>
      <c r="C3727" s="9"/>
      <c r="D3727" s="9"/>
      <c r="E3727" s="9"/>
      <c r="F3727" s="9"/>
      <c r="G3727" s="9"/>
      <c r="H3727" s="9"/>
      <c r="I3727" s="9"/>
      <c r="J3727" s="9"/>
      <c r="K3727" s="9"/>
      <c r="L3727" s="9"/>
      <c r="M3727" s="9"/>
      <c r="N3727" s="9"/>
      <c r="O3727" s="9"/>
      <c r="P3727" s="9"/>
      <c r="Q3727" s="9"/>
      <c r="R3727" s="9"/>
      <c r="S3727" s="9"/>
      <c r="T3727" s="9"/>
      <c r="U3727" s="9"/>
      <c r="V3727" s="9"/>
      <c r="W3727" s="9"/>
      <c r="X3727" s="9"/>
      <c r="Y3727" s="9"/>
      <c r="Z3727" s="9"/>
      <c r="AA3727" s="9"/>
      <c r="AB3727" s="9"/>
      <c r="AC3727" s="9"/>
      <c r="AD3727" s="9"/>
      <c r="AE3727" s="9"/>
      <c r="AF3727" s="9"/>
      <c r="AG3727" s="9"/>
      <c r="AH3727" s="9"/>
      <c r="AI3727" s="9"/>
      <c r="AJ3727" s="9"/>
      <c r="AK3727" s="9"/>
      <c r="AL3727" s="9"/>
    </row>
    <row r="3728" spans="1:38">
      <c r="A3728" s="10"/>
      <c r="B3728" s="10"/>
      <c r="C3728" s="10"/>
      <c r="D3728" s="10"/>
      <c r="E3728" s="10"/>
      <c r="F3728" s="10"/>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0"/>
      <c r="AH3728" s="10"/>
      <c r="AI3728" s="10"/>
      <c r="AJ3728" s="10"/>
      <c r="AK3728" s="10"/>
      <c r="AL3728" s="10"/>
    </row>
    <row r="3729" spans="1:38">
      <c r="A3729" s="10"/>
      <c r="B3729" s="10"/>
      <c r="C3729" s="10"/>
      <c r="D3729" s="10"/>
      <c r="E3729" s="10"/>
      <c r="F3729" s="10"/>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0"/>
      <c r="AH3729" s="10"/>
      <c r="AI3729" s="10"/>
      <c r="AJ3729" s="10"/>
      <c r="AK3729" s="10"/>
      <c r="AL3729" s="10"/>
    </row>
    <row r="3730" spans="1:38">
      <c r="A3730" s="10"/>
      <c r="B3730" s="10"/>
      <c r="C3730" s="10"/>
      <c r="D3730" s="10"/>
      <c r="E3730" s="10"/>
      <c r="F3730" s="10"/>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0"/>
      <c r="AH3730" s="10"/>
      <c r="AI3730" s="10"/>
      <c r="AJ3730" s="10"/>
      <c r="AK3730" s="10"/>
      <c r="AL3730" s="10"/>
    </row>
    <row r="3731" spans="1:38">
      <c r="A3731" s="10"/>
      <c r="B3731" s="10"/>
      <c r="C3731" s="10"/>
      <c r="D3731" s="10"/>
      <c r="E3731" s="10"/>
      <c r="F3731" s="10"/>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0"/>
      <c r="AH3731" s="10"/>
      <c r="AI3731" s="10"/>
      <c r="AJ3731" s="10"/>
      <c r="AK3731" s="10"/>
      <c r="AL3731" s="10"/>
    </row>
    <row r="3732" spans="1:38">
      <c r="A3732" s="10"/>
      <c r="B3732" s="10"/>
      <c r="C3732" s="10"/>
      <c r="D3732" s="10"/>
      <c r="E3732" s="10"/>
      <c r="F3732" s="10"/>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0"/>
      <c r="AH3732" s="10"/>
      <c r="AI3732" s="10"/>
      <c r="AJ3732" s="10"/>
      <c r="AK3732" s="10"/>
      <c r="AL3732" s="10"/>
    </row>
    <row r="3733" spans="1:38">
      <c r="A3733" s="10"/>
      <c r="B3733" s="10"/>
      <c r="C3733" s="10"/>
      <c r="D3733" s="10"/>
      <c r="E3733" s="10"/>
      <c r="F3733" s="10"/>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0"/>
      <c r="AH3733" s="10"/>
      <c r="AI3733" s="10"/>
      <c r="AJ3733" s="10"/>
      <c r="AK3733" s="10"/>
      <c r="AL3733" s="10"/>
    </row>
    <row r="3734" spans="1:38">
      <c r="A3734" s="10"/>
      <c r="B3734" s="10"/>
      <c r="C3734" s="10"/>
      <c r="D3734" s="10"/>
      <c r="E3734" s="10"/>
      <c r="F3734" s="10"/>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0"/>
      <c r="AH3734" s="10"/>
      <c r="AI3734" s="10"/>
      <c r="AJ3734" s="10"/>
      <c r="AK3734" s="10"/>
      <c r="AL3734" s="10"/>
    </row>
    <row r="3735" spans="1:38">
      <c r="A3735" s="10"/>
      <c r="B3735" s="10"/>
      <c r="C3735" s="10"/>
      <c r="D3735" s="10"/>
      <c r="E3735" s="10"/>
      <c r="F3735" s="10"/>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0"/>
      <c r="AH3735" s="10"/>
      <c r="AI3735" s="10"/>
      <c r="AJ3735" s="10"/>
      <c r="AK3735" s="10"/>
      <c r="AL3735" s="10"/>
    </row>
    <row r="3736" spans="1:38">
      <c r="A3736" s="10"/>
      <c r="B3736" s="10"/>
      <c r="C3736" s="10"/>
      <c r="D3736" s="10"/>
      <c r="E3736" s="10"/>
      <c r="F3736" s="10"/>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0"/>
      <c r="AH3736" s="10"/>
      <c r="AI3736" s="10"/>
      <c r="AJ3736" s="10"/>
      <c r="AK3736" s="10"/>
      <c r="AL3736" s="10"/>
    </row>
    <row r="3737" spans="1:38">
      <c r="A3737" s="10"/>
      <c r="B3737" s="10"/>
      <c r="C3737" s="10"/>
      <c r="D3737" s="10"/>
      <c r="E3737" s="10"/>
      <c r="F3737" s="10"/>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0"/>
      <c r="AH3737" s="10"/>
      <c r="AI3737" s="10"/>
      <c r="AJ3737" s="10"/>
      <c r="AK3737" s="10"/>
      <c r="AL3737" s="10"/>
    </row>
    <row r="3738" spans="1:38">
      <c r="A3738" s="10"/>
      <c r="B3738" s="10"/>
      <c r="C3738" s="10"/>
      <c r="D3738" s="10"/>
      <c r="E3738" s="10"/>
      <c r="F3738" s="10"/>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0"/>
      <c r="AH3738" s="10"/>
      <c r="AI3738" s="10"/>
      <c r="AJ3738" s="10"/>
      <c r="AK3738" s="10"/>
      <c r="AL3738" s="10"/>
    </row>
    <row r="3739" spans="1:38">
      <c r="A3739" s="11"/>
      <c r="B3739" s="11"/>
      <c r="C3739" s="11"/>
      <c r="D3739" s="11"/>
      <c r="E3739" s="11"/>
      <c r="F3739" s="11"/>
      <c r="G3739" s="11"/>
      <c r="H3739" s="11"/>
      <c r="I3739" s="11"/>
      <c r="J3739" s="11"/>
      <c r="K3739" s="11"/>
      <c r="L3739" s="11"/>
      <c r="M3739" s="11"/>
      <c r="N3739" s="11"/>
      <c r="O3739" s="11"/>
      <c r="P3739" s="11"/>
      <c r="Q3739" s="11"/>
      <c r="R3739" s="11"/>
      <c r="S3739" s="11"/>
      <c r="T3739" s="11"/>
      <c r="U3739" s="11"/>
      <c r="V3739" s="11"/>
      <c r="W3739" s="11"/>
      <c r="X3739" s="11"/>
      <c r="Y3739" s="11"/>
      <c r="Z3739" s="11"/>
      <c r="AA3739" s="11"/>
      <c r="AB3739" s="11"/>
      <c r="AC3739" s="11"/>
      <c r="AD3739" s="11"/>
      <c r="AE3739" s="11"/>
      <c r="AF3739" s="11"/>
      <c r="AG3739" s="11"/>
      <c r="AH3739" s="11"/>
      <c r="AI3739" s="11"/>
      <c r="AJ3739" s="11"/>
      <c r="AK3739" s="11"/>
      <c r="AL3739" s="11"/>
    </row>
    <row r="3751" spans="1:38">
      <c r="A3751" s="14"/>
      <c r="B3751" s="14"/>
      <c r="C3751" s="14"/>
      <c r="D3751" s="14"/>
      <c r="E3751" s="14"/>
      <c r="F3751" s="14"/>
      <c r="G3751" s="14"/>
      <c r="H3751" s="14"/>
      <c r="I3751" s="14"/>
      <c r="J3751" s="14"/>
      <c r="K3751" s="14"/>
      <c r="L3751" s="14"/>
      <c r="M3751" s="14"/>
      <c r="N3751" s="14"/>
      <c r="O3751" s="14"/>
      <c r="P3751" s="14"/>
      <c r="Q3751" s="14"/>
      <c r="R3751" s="14"/>
      <c r="S3751" s="14"/>
      <c r="T3751" s="14"/>
      <c r="U3751" s="14"/>
      <c r="V3751" s="14"/>
      <c r="W3751" s="14"/>
      <c r="X3751" s="14"/>
      <c r="Y3751" s="14"/>
      <c r="Z3751" s="14"/>
      <c r="AA3751" s="14"/>
      <c r="AB3751" s="14"/>
      <c r="AC3751" s="14"/>
      <c r="AD3751" s="14"/>
      <c r="AE3751" s="14"/>
      <c r="AF3751" s="14"/>
      <c r="AG3751" s="14"/>
      <c r="AH3751" s="14"/>
      <c r="AI3751" s="14"/>
      <c r="AJ3751" s="14"/>
      <c r="AK3751" s="14"/>
      <c r="AL3751" s="14"/>
    </row>
    <row r="3752" spans="1:38">
      <c r="A3752" s="9"/>
      <c r="B3752" s="9"/>
      <c r="C3752" s="9"/>
      <c r="D3752" s="9"/>
      <c r="E3752" s="9"/>
      <c r="F3752" s="9"/>
      <c r="G3752" s="9"/>
      <c r="H3752" s="9"/>
      <c r="I3752" s="9"/>
      <c r="J3752" s="9"/>
      <c r="K3752" s="9"/>
      <c r="L3752" s="9"/>
      <c r="M3752" s="9"/>
      <c r="N3752" s="9"/>
      <c r="O3752" s="9"/>
      <c r="P3752" s="9"/>
      <c r="Q3752" s="9"/>
      <c r="R3752" s="9"/>
      <c r="S3752" s="9"/>
      <c r="T3752" s="9"/>
      <c r="U3752" s="9"/>
      <c r="V3752" s="9"/>
      <c r="W3752" s="9"/>
      <c r="X3752" s="9"/>
      <c r="Y3752" s="9"/>
      <c r="Z3752" s="9"/>
      <c r="AA3752" s="9"/>
      <c r="AB3752" s="9"/>
      <c r="AC3752" s="9"/>
      <c r="AD3752" s="9"/>
      <c r="AE3752" s="9"/>
      <c r="AF3752" s="9"/>
      <c r="AG3752" s="9"/>
      <c r="AH3752" s="9"/>
      <c r="AI3752" s="9"/>
      <c r="AJ3752" s="9"/>
      <c r="AK3752" s="9"/>
      <c r="AL3752" s="9"/>
    </row>
    <row r="3753" spans="1:38">
      <c r="A3753" s="10"/>
      <c r="B3753" s="10"/>
      <c r="C3753" s="10"/>
      <c r="D3753" s="10"/>
      <c r="E3753" s="10"/>
      <c r="F3753" s="10"/>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0"/>
      <c r="AH3753" s="10"/>
      <c r="AI3753" s="10"/>
      <c r="AJ3753" s="10"/>
      <c r="AK3753" s="10"/>
      <c r="AL3753" s="10"/>
    </row>
    <row r="3754" spans="1:38">
      <c r="A3754" s="10"/>
      <c r="B3754" s="10"/>
      <c r="C3754" s="10"/>
      <c r="D3754" s="10"/>
      <c r="E3754" s="10"/>
      <c r="F3754" s="10"/>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0"/>
      <c r="AH3754" s="10"/>
      <c r="AI3754" s="10"/>
      <c r="AJ3754" s="10"/>
      <c r="AK3754" s="10"/>
      <c r="AL3754" s="10"/>
    </row>
    <row r="3755" spans="1:38">
      <c r="A3755" s="10"/>
      <c r="B3755" s="10"/>
      <c r="C3755" s="10"/>
      <c r="D3755" s="10"/>
      <c r="E3755" s="10"/>
      <c r="F3755" s="10"/>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0"/>
      <c r="AH3755" s="10"/>
      <c r="AI3755" s="10"/>
      <c r="AJ3755" s="10"/>
      <c r="AK3755" s="10"/>
      <c r="AL3755" s="10"/>
    </row>
    <row r="3756" spans="1:38">
      <c r="A3756" s="10"/>
      <c r="B3756" s="10"/>
      <c r="C3756" s="10"/>
      <c r="D3756" s="10"/>
      <c r="E3756" s="10"/>
      <c r="F3756" s="10"/>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0"/>
      <c r="AH3756" s="10"/>
      <c r="AI3756" s="10"/>
      <c r="AJ3756" s="10"/>
      <c r="AK3756" s="10"/>
      <c r="AL3756" s="10"/>
    </row>
    <row r="3757" spans="1:38">
      <c r="A3757" s="10"/>
      <c r="B3757" s="10"/>
      <c r="C3757" s="10"/>
      <c r="D3757" s="10"/>
      <c r="E3757" s="10"/>
      <c r="F3757" s="10"/>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0"/>
      <c r="AH3757" s="10"/>
      <c r="AI3757" s="10"/>
      <c r="AJ3757" s="10"/>
      <c r="AK3757" s="10"/>
      <c r="AL3757" s="10"/>
    </row>
    <row r="3758" spans="1:38">
      <c r="A3758" s="10"/>
      <c r="B3758" s="10"/>
      <c r="C3758" s="10"/>
      <c r="D3758" s="10"/>
      <c r="E3758" s="10"/>
      <c r="F3758" s="10"/>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0"/>
      <c r="AH3758" s="10"/>
      <c r="AI3758" s="10"/>
      <c r="AJ3758" s="10"/>
      <c r="AK3758" s="10"/>
      <c r="AL3758" s="10"/>
    </row>
    <row r="3759" spans="1:38">
      <c r="A3759" s="10"/>
      <c r="B3759" s="10"/>
      <c r="C3759" s="10"/>
      <c r="D3759" s="10"/>
      <c r="E3759" s="10"/>
      <c r="F3759" s="10"/>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0"/>
      <c r="AH3759" s="10"/>
      <c r="AI3759" s="10"/>
      <c r="AJ3759" s="10"/>
      <c r="AK3759" s="10"/>
      <c r="AL3759" s="10"/>
    </row>
    <row r="3760" spans="1:38">
      <c r="A3760" s="10"/>
      <c r="B3760" s="10"/>
      <c r="C3760" s="10"/>
      <c r="D3760" s="10"/>
      <c r="E3760" s="10"/>
      <c r="F3760" s="10"/>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0"/>
      <c r="AH3760" s="10"/>
      <c r="AI3760" s="10"/>
      <c r="AJ3760" s="10"/>
      <c r="AK3760" s="10"/>
      <c r="AL3760" s="10"/>
    </row>
    <row r="3761" spans="1:38">
      <c r="A3761" s="10"/>
      <c r="B3761" s="10"/>
      <c r="C3761" s="10"/>
      <c r="D3761" s="10"/>
      <c r="E3761" s="10"/>
      <c r="F3761" s="10"/>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0"/>
      <c r="AH3761" s="10"/>
      <c r="AI3761" s="10"/>
      <c r="AJ3761" s="10"/>
      <c r="AK3761" s="10"/>
      <c r="AL3761" s="10"/>
    </row>
    <row r="3762" spans="1:38">
      <c r="A3762" s="10"/>
      <c r="B3762" s="10"/>
      <c r="C3762" s="10"/>
      <c r="D3762" s="10"/>
      <c r="E3762" s="10"/>
      <c r="F3762" s="10"/>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0"/>
      <c r="AH3762" s="10"/>
      <c r="AI3762" s="10"/>
      <c r="AJ3762" s="10"/>
      <c r="AK3762" s="10"/>
      <c r="AL3762" s="10"/>
    </row>
    <row r="3763" spans="1:38">
      <c r="A3763" s="10"/>
      <c r="B3763" s="10"/>
      <c r="C3763" s="10"/>
      <c r="D3763" s="10"/>
      <c r="E3763" s="10"/>
      <c r="F3763" s="10"/>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0"/>
      <c r="AH3763" s="10"/>
      <c r="AI3763" s="10"/>
      <c r="AJ3763" s="10"/>
      <c r="AK3763" s="10"/>
      <c r="AL3763" s="10"/>
    </row>
    <row r="3764" spans="1:38">
      <c r="A3764" s="11"/>
      <c r="B3764" s="11"/>
      <c r="C3764" s="11"/>
      <c r="D3764" s="11"/>
      <c r="E3764" s="11"/>
      <c r="F3764" s="11"/>
      <c r="G3764" s="11"/>
      <c r="H3764" s="11"/>
      <c r="I3764" s="11"/>
      <c r="J3764" s="11"/>
      <c r="K3764" s="11"/>
      <c r="L3764" s="11"/>
      <c r="M3764" s="11"/>
      <c r="N3764" s="11"/>
      <c r="O3764" s="11"/>
      <c r="P3764" s="11"/>
      <c r="Q3764" s="11"/>
      <c r="R3764" s="11"/>
      <c r="S3764" s="11"/>
      <c r="T3764" s="11"/>
      <c r="U3764" s="11"/>
      <c r="V3764" s="11"/>
      <c r="W3764" s="11"/>
      <c r="X3764" s="11"/>
      <c r="Y3764" s="11"/>
      <c r="Z3764" s="11"/>
      <c r="AA3764" s="11"/>
      <c r="AB3764" s="11"/>
      <c r="AC3764" s="11"/>
      <c r="AD3764" s="11"/>
      <c r="AE3764" s="11"/>
      <c r="AF3764" s="11"/>
      <c r="AG3764" s="11"/>
      <c r="AH3764" s="11"/>
      <c r="AI3764" s="11"/>
      <c r="AJ3764" s="11"/>
      <c r="AK3764" s="11"/>
      <c r="AL3764" s="11"/>
    </row>
    <row r="3770" spans="1:38">
      <c r="A3770" s="14"/>
      <c r="B3770" s="14"/>
      <c r="C3770" s="14"/>
      <c r="D3770" s="14"/>
      <c r="E3770" s="14"/>
      <c r="F3770" s="14"/>
      <c r="G3770" s="14"/>
      <c r="H3770" s="14"/>
      <c r="I3770" s="14"/>
      <c r="J3770" s="14"/>
      <c r="K3770" s="14"/>
      <c r="L3770" s="14"/>
      <c r="M3770" s="14"/>
      <c r="N3770" s="14"/>
      <c r="O3770" s="14"/>
      <c r="P3770" s="14"/>
      <c r="Q3770" s="14"/>
      <c r="R3770" s="14"/>
      <c r="S3770" s="14"/>
      <c r="T3770" s="14"/>
      <c r="U3770" s="14"/>
      <c r="V3770" s="14"/>
      <c r="W3770" s="14"/>
      <c r="X3770" s="14"/>
      <c r="Y3770" s="14"/>
      <c r="Z3770" s="14"/>
      <c r="AA3770" s="14"/>
      <c r="AB3770" s="14"/>
      <c r="AC3770" s="14"/>
      <c r="AD3770" s="14"/>
      <c r="AE3770" s="14"/>
      <c r="AF3770" s="14"/>
      <c r="AG3770" s="14"/>
      <c r="AH3770" s="14"/>
      <c r="AI3770" s="14"/>
      <c r="AJ3770" s="14"/>
      <c r="AK3770" s="14"/>
      <c r="AL3770" s="14"/>
    </row>
    <row r="3771" spans="1:38">
      <c r="A3771" s="9"/>
      <c r="B3771" s="9"/>
      <c r="C3771" s="9"/>
      <c r="D3771" s="9"/>
      <c r="E3771" s="9"/>
      <c r="F3771" s="9"/>
      <c r="G3771" s="9"/>
      <c r="H3771" s="9"/>
      <c r="I3771" s="9"/>
      <c r="J3771" s="9"/>
      <c r="K3771" s="9"/>
      <c r="L3771" s="9"/>
      <c r="M3771" s="9"/>
      <c r="N3771" s="9"/>
      <c r="O3771" s="9"/>
      <c r="P3771" s="9"/>
      <c r="Q3771" s="9"/>
      <c r="R3771" s="9"/>
      <c r="S3771" s="9"/>
      <c r="T3771" s="9"/>
      <c r="U3771" s="9"/>
      <c r="V3771" s="9"/>
      <c r="W3771" s="9"/>
      <c r="X3771" s="9"/>
      <c r="Y3771" s="9"/>
      <c r="Z3771" s="9"/>
      <c r="AA3771" s="9"/>
      <c r="AB3771" s="9"/>
      <c r="AC3771" s="9"/>
      <c r="AD3771" s="9"/>
      <c r="AE3771" s="9"/>
      <c r="AF3771" s="9"/>
      <c r="AG3771" s="9"/>
      <c r="AH3771" s="9"/>
      <c r="AI3771" s="9"/>
      <c r="AJ3771" s="9"/>
      <c r="AK3771" s="9"/>
      <c r="AL3771" s="9"/>
    </row>
    <row r="3772" spans="1:38">
      <c r="A3772" s="10"/>
      <c r="B3772" s="10"/>
      <c r="C3772" s="10"/>
      <c r="D3772" s="10"/>
      <c r="E3772" s="10"/>
      <c r="F3772" s="10"/>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0"/>
      <c r="AH3772" s="10"/>
      <c r="AI3772" s="10"/>
      <c r="AJ3772" s="10"/>
      <c r="AK3772" s="10"/>
      <c r="AL3772" s="10"/>
    </row>
    <row r="3773" spans="1:38">
      <c r="A3773" s="10"/>
      <c r="B3773" s="10"/>
      <c r="C3773" s="10"/>
      <c r="D3773" s="10"/>
      <c r="E3773" s="10"/>
      <c r="F3773" s="10"/>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0"/>
      <c r="AH3773" s="10"/>
      <c r="AI3773" s="10"/>
      <c r="AJ3773" s="10"/>
      <c r="AK3773" s="10"/>
      <c r="AL3773" s="10"/>
    </row>
    <row r="3774" spans="1:38">
      <c r="A3774" s="10"/>
      <c r="B3774" s="10"/>
      <c r="C3774" s="10"/>
      <c r="D3774" s="10"/>
      <c r="E3774" s="10"/>
      <c r="F3774" s="10"/>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0"/>
      <c r="AH3774" s="10"/>
      <c r="AI3774" s="10"/>
      <c r="AJ3774" s="10"/>
      <c r="AK3774" s="10"/>
      <c r="AL3774" s="10"/>
    </row>
    <row r="3775" spans="1:38">
      <c r="A3775" s="10"/>
      <c r="B3775" s="10"/>
      <c r="C3775" s="10"/>
      <c r="D3775" s="10"/>
      <c r="E3775" s="10"/>
      <c r="F3775" s="10"/>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0"/>
      <c r="AH3775" s="10"/>
      <c r="AI3775" s="10"/>
      <c r="AJ3775" s="10"/>
      <c r="AK3775" s="10"/>
      <c r="AL3775" s="10"/>
    </row>
    <row r="3776" spans="1:38">
      <c r="A3776" s="10"/>
      <c r="B3776" s="10"/>
      <c r="C3776" s="10"/>
      <c r="D3776" s="10"/>
      <c r="E3776" s="10"/>
      <c r="F3776" s="10"/>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0"/>
      <c r="AH3776" s="10"/>
      <c r="AI3776" s="10"/>
      <c r="AJ3776" s="10"/>
      <c r="AK3776" s="10"/>
      <c r="AL3776" s="10"/>
    </row>
    <row r="3777" spans="1:38">
      <c r="A3777" s="10"/>
      <c r="B3777" s="10"/>
      <c r="C3777" s="10"/>
      <c r="D3777" s="10"/>
      <c r="E3777" s="10"/>
      <c r="F3777" s="10"/>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0"/>
      <c r="AH3777" s="10"/>
      <c r="AI3777" s="10"/>
      <c r="AJ3777" s="10"/>
      <c r="AK3777" s="10"/>
      <c r="AL3777" s="10"/>
    </row>
    <row r="3778" spans="1:38">
      <c r="A3778" s="10"/>
      <c r="B3778" s="10"/>
      <c r="C3778" s="10"/>
      <c r="D3778" s="10"/>
      <c r="E3778" s="10"/>
      <c r="F3778" s="10"/>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0"/>
      <c r="AH3778" s="10"/>
      <c r="AI3778" s="10"/>
      <c r="AJ3778" s="10"/>
      <c r="AK3778" s="10"/>
      <c r="AL3778" s="10"/>
    </row>
    <row r="3779" spans="1:38">
      <c r="A3779" s="10"/>
      <c r="B3779" s="10"/>
      <c r="C3779" s="10"/>
      <c r="D3779" s="10"/>
      <c r="E3779" s="10"/>
      <c r="F3779" s="10"/>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0"/>
      <c r="AH3779" s="10"/>
      <c r="AI3779" s="10"/>
      <c r="AJ3779" s="10"/>
      <c r="AK3779" s="10"/>
      <c r="AL3779" s="10"/>
    </row>
    <row r="3780" spans="1:38">
      <c r="A3780" s="10"/>
      <c r="B3780" s="10"/>
      <c r="C3780" s="10"/>
      <c r="D3780" s="10"/>
      <c r="E3780" s="10"/>
      <c r="F3780" s="10"/>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0"/>
      <c r="AH3780" s="10"/>
      <c r="AI3780" s="10"/>
      <c r="AJ3780" s="10"/>
      <c r="AK3780" s="10"/>
      <c r="AL3780" s="10"/>
    </row>
    <row r="3781" spans="1:38">
      <c r="A3781" s="10"/>
      <c r="B3781" s="10"/>
      <c r="C3781" s="10"/>
      <c r="D3781" s="10"/>
      <c r="E3781" s="10"/>
      <c r="F3781" s="10"/>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0"/>
      <c r="AH3781" s="10"/>
      <c r="AI3781" s="10"/>
      <c r="AJ3781" s="10"/>
      <c r="AK3781" s="10"/>
      <c r="AL3781" s="10"/>
    </row>
    <row r="3782" spans="1:38">
      <c r="A3782" s="10"/>
      <c r="B3782" s="10"/>
      <c r="C3782" s="10"/>
      <c r="D3782" s="10"/>
      <c r="E3782" s="10"/>
      <c r="F3782" s="10"/>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0"/>
      <c r="AH3782" s="10"/>
      <c r="AI3782" s="10"/>
      <c r="AJ3782" s="10"/>
      <c r="AK3782" s="10"/>
      <c r="AL3782" s="10"/>
    </row>
    <row r="3783" spans="1:38">
      <c r="A3783" s="11"/>
      <c r="B3783" s="11"/>
      <c r="C3783" s="11"/>
      <c r="D3783" s="11"/>
      <c r="E3783" s="11"/>
      <c r="F3783" s="11"/>
      <c r="G3783" s="11"/>
      <c r="H3783" s="11"/>
      <c r="I3783" s="11"/>
      <c r="J3783" s="11"/>
      <c r="K3783" s="11"/>
      <c r="L3783" s="11"/>
      <c r="M3783" s="11"/>
      <c r="N3783" s="11"/>
      <c r="O3783" s="11"/>
      <c r="P3783" s="11"/>
      <c r="Q3783" s="11"/>
      <c r="R3783" s="11"/>
      <c r="S3783" s="11"/>
      <c r="T3783" s="11"/>
      <c r="U3783" s="11"/>
      <c r="V3783" s="11"/>
      <c r="W3783" s="11"/>
      <c r="X3783" s="11"/>
      <c r="Y3783" s="11"/>
      <c r="Z3783" s="11"/>
      <c r="AA3783" s="11"/>
      <c r="AB3783" s="11"/>
      <c r="AC3783" s="11"/>
      <c r="AD3783" s="11"/>
      <c r="AE3783" s="11"/>
      <c r="AF3783" s="11"/>
      <c r="AG3783" s="11"/>
      <c r="AH3783" s="11"/>
      <c r="AI3783" s="11"/>
      <c r="AJ3783" s="11"/>
      <c r="AK3783" s="11"/>
      <c r="AL3783" s="11"/>
    </row>
    <row r="3794" spans="1:38">
      <c r="A3794" s="14"/>
      <c r="B3794" s="14"/>
      <c r="C3794" s="14"/>
      <c r="D3794" s="14"/>
      <c r="E3794" s="14"/>
      <c r="F3794" s="14"/>
      <c r="G3794" s="14"/>
      <c r="H3794" s="14"/>
      <c r="I3794" s="14"/>
      <c r="J3794" s="14"/>
      <c r="K3794" s="14"/>
      <c r="L3794" s="14"/>
      <c r="M3794" s="14"/>
      <c r="N3794" s="14"/>
      <c r="O3794" s="14"/>
      <c r="P3794" s="14"/>
      <c r="Q3794" s="14"/>
      <c r="R3794" s="14"/>
      <c r="S3794" s="14"/>
      <c r="T3794" s="14"/>
      <c r="U3794" s="14"/>
      <c r="V3794" s="14"/>
      <c r="W3794" s="14"/>
      <c r="X3794" s="14"/>
      <c r="Y3794" s="14"/>
      <c r="Z3794" s="14"/>
      <c r="AA3794" s="14"/>
      <c r="AB3794" s="14"/>
      <c r="AC3794" s="14"/>
      <c r="AD3794" s="14"/>
      <c r="AE3794" s="14"/>
      <c r="AF3794" s="14"/>
      <c r="AG3794" s="14"/>
      <c r="AH3794" s="14"/>
      <c r="AI3794" s="14"/>
      <c r="AJ3794" s="14"/>
      <c r="AK3794" s="14"/>
      <c r="AL3794" s="14"/>
    </row>
    <row r="3795" spans="1:38">
      <c r="A3795" s="9"/>
      <c r="B3795" s="9"/>
      <c r="C3795" s="9"/>
      <c r="D3795" s="9"/>
      <c r="E3795" s="9"/>
      <c r="F3795" s="9"/>
      <c r="G3795" s="9"/>
      <c r="H3795" s="9"/>
      <c r="I3795" s="9"/>
      <c r="J3795" s="9"/>
      <c r="K3795" s="9"/>
      <c r="L3795" s="9"/>
      <c r="M3795" s="9"/>
      <c r="N3795" s="9"/>
      <c r="O3795" s="9"/>
      <c r="P3795" s="9"/>
      <c r="Q3795" s="9"/>
      <c r="R3795" s="9"/>
      <c r="S3795" s="9"/>
      <c r="T3795" s="9"/>
      <c r="U3795" s="9"/>
      <c r="V3795" s="9"/>
      <c r="W3795" s="9"/>
      <c r="X3795" s="9"/>
      <c r="Y3795" s="9"/>
      <c r="Z3795" s="9"/>
      <c r="AA3795" s="9"/>
      <c r="AB3795" s="9"/>
      <c r="AC3795" s="9"/>
      <c r="AD3795" s="9"/>
      <c r="AE3795" s="9"/>
      <c r="AF3795" s="9"/>
      <c r="AG3795" s="9"/>
      <c r="AH3795" s="9"/>
      <c r="AI3795" s="9"/>
      <c r="AJ3795" s="9"/>
      <c r="AK3795" s="9"/>
      <c r="AL3795" s="9"/>
    </row>
    <row r="3796" spans="1:38">
      <c r="A3796" s="10"/>
      <c r="B3796" s="10"/>
      <c r="C3796" s="10"/>
      <c r="D3796" s="10"/>
      <c r="E3796" s="10"/>
      <c r="F3796" s="10"/>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0"/>
      <c r="AH3796" s="10"/>
      <c r="AI3796" s="10"/>
      <c r="AJ3796" s="10"/>
      <c r="AK3796" s="10"/>
      <c r="AL3796" s="10"/>
    </row>
    <row r="3797" spans="1:38">
      <c r="A3797" s="10"/>
      <c r="B3797" s="10"/>
      <c r="C3797" s="10"/>
      <c r="D3797" s="10"/>
      <c r="E3797" s="10"/>
      <c r="F3797" s="10"/>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0"/>
      <c r="AH3797" s="10"/>
      <c r="AI3797" s="10"/>
      <c r="AJ3797" s="10"/>
      <c r="AK3797" s="10"/>
      <c r="AL3797" s="10"/>
    </row>
    <row r="3798" spans="1:38">
      <c r="A3798" s="10"/>
      <c r="B3798" s="10"/>
      <c r="C3798" s="10"/>
      <c r="D3798" s="10"/>
      <c r="E3798" s="10"/>
      <c r="F3798" s="10"/>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0"/>
      <c r="AH3798" s="10"/>
      <c r="AI3798" s="10"/>
      <c r="AJ3798" s="10"/>
      <c r="AK3798" s="10"/>
      <c r="AL3798" s="10"/>
    </row>
    <row r="3799" spans="1:38">
      <c r="A3799" s="10"/>
      <c r="B3799" s="10"/>
      <c r="C3799" s="10"/>
      <c r="D3799" s="10"/>
      <c r="E3799" s="10"/>
      <c r="F3799" s="10"/>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0"/>
      <c r="AH3799" s="10"/>
      <c r="AI3799" s="10"/>
      <c r="AJ3799" s="10"/>
      <c r="AK3799" s="10"/>
      <c r="AL3799" s="10"/>
    </row>
    <row r="3800" spans="1:38">
      <c r="A3800" s="10"/>
      <c r="B3800" s="10"/>
      <c r="C3800" s="10"/>
      <c r="D3800" s="10"/>
      <c r="E3800" s="10"/>
      <c r="F3800" s="10"/>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0"/>
      <c r="AH3800" s="10"/>
      <c r="AI3800" s="10"/>
      <c r="AJ3800" s="10"/>
      <c r="AK3800" s="10"/>
      <c r="AL3800" s="10"/>
    </row>
    <row r="3801" spans="1:38">
      <c r="A3801" s="10"/>
      <c r="B3801" s="10"/>
      <c r="C3801" s="10"/>
      <c r="D3801" s="10"/>
      <c r="E3801" s="10"/>
      <c r="F3801" s="10"/>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0"/>
      <c r="AH3801" s="10"/>
      <c r="AI3801" s="10"/>
      <c r="AJ3801" s="10"/>
      <c r="AK3801" s="10"/>
      <c r="AL3801" s="10"/>
    </row>
    <row r="3802" spans="1:38">
      <c r="A3802" s="10"/>
      <c r="B3802" s="10"/>
      <c r="C3802" s="10"/>
      <c r="D3802" s="10"/>
      <c r="E3802" s="10"/>
      <c r="F3802" s="10"/>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0"/>
      <c r="AH3802" s="10"/>
      <c r="AI3802" s="10"/>
      <c r="AJ3802" s="10"/>
      <c r="AK3802" s="10"/>
      <c r="AL3802" s="10"/>
    </row>
    <row r="3803" spans="1:38">
      <c r="A3803" s="10"/>
      <c r="B3803" s="10"/>
      <c r="C3803" s="10"/>
      <c r="D3803" s="10"/>
      <c r="E3803" s="10"/>
      <c r="F3803" s="10"/>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0"/>
      <c r="AH3803" s="10"/>
      <c r="AI3803" s="10"/>
      <c r="AJ3803" s="10"/>
      <c r="AK3803" s="10"/>
      <c r="AL3803" s="10"/>
    </row>
    <row r="3804" spans="1:38">
      <c r="A3804" s="10"/>
      <c r="B3804" s="10"/>
      <c r="C3804" s="10"/>
      <c r="D3804" s="10"/>
      <c r="E3804" s="10"/>
      <c r="F3804" s="10"/>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0"/>
      <c r="AH3804" s="10"/>
      <c r="AI3804" s="10"/>
      <c r="AJ3804" s="10"/>
      <c r="AK3804" s="10"/>
      <c r="AL3804" s="10"/>
    </row>
    <row r="3805" spans="1:38">
      <c r="A3805" s="10"/>
      <c r="B3805" s="10"/>
      <c r="C3805" s="10"/>
      <c r="D3805" s="10"/>
      <c r="E3805" s="10"/>
      <c r="F3805" s="10"/>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0"/>
      <c r="AH3805" s="10"/>
      <c r="AI3805" s="10"/>
      <c r="AJ3805" s="10"/>
      <c r="AK3805" s="10"/>
      <c r="AL3805" s="10"/>
    </row>
    <row r="3806" spans="1:38">
      <c r="A3806" s="9"/>
      <c r="B3806" s="9"/>
      <c r="C3806" s="9"/>
      <c r="D3806" s="9"/>
      <c r="E3806" s="9"/>
      <c r="F3806" s="9"/>
      <c r="G3806" s="9"/>
      <c r="H3806" s="9"/>
      <c r="I3806" s="9"/>
      <c r="J3806" s="9"/>
      <c r="K3806" s="9"/>
      <c r="L3806" s="9"/>
      <c r="M3806" s="9"/>
      <c r="N3806" s="9"/>
      <c r="O3806" s="9"/>
      <c r="P3806" s="9"/>
      <c r="Q3806" s="9"/>
      <c r="R3806" s="9"/>
      <c r="S3806" s="9"/>
      <c r="T3806" s="9"/>
      <c r="U3806" s="9"/>
      <c r="V3806" s="9"/>
      <c r="W3806" s="9"/>
      <c r="X3806" s="9"/>
      <c r="Y3806" s="9"/>
      <c r="Z3806" s="9"/>
      <c r="AA3806" s="9"/>
      <c r="AB3806" s="9"/>
      <c r="AC3806" s="9"/>
      <c r="AD3806" s="9"/>
      <c r="AE3806" s="9"/>
      <c r="AF3806" s="9"/>
      <c r="AG3806" s="9"/>
      <c r="AH3806" s="9"/>
      <c r="AI3806" s="9"/>
      <c r="AJ3806" s="9"/>
      <c r="AK3806" s="9"/>
      <c r="AL3806" s="9"/>
    </row>
    <row r="3807" spans="1:38">
      <c r="A3807" s="11"/>
      <c r="B3807" s="11"/>
      <c r="C3807" s="11"/>
      <c r="D3807" s="11"/>
      <c r="E3807" s="11"/>
      <c r="F3807" s="11"/>
      <c r="G3807" s="11"/>
      <c r="H3807" s="11"/>
      <c r="I3807" s="11"/>
      <c r="J3807" s="11"/>
      <c r="K3807" s="11"/>
      <c r="L3807" s="11"/>
      <c r="M3807" s="11"/>
      <c r="N3807" s="11"/>
      <c r="O3807" s="11"/>
      <c r="P3807" s="11"/>
      <c r="Q3807" s="11"/>
      <c r="R3807" s="11"/>
      <c r="S3807" s="11"/>
      <c r="T3807" s="11"/>
      <c r="U3807" s="11"/>
      <c r="V3807" s="11"/>
      <c r="W3807" s="11"/>
      <c r="X3807" s="11"/>
      <c r="Y3807" s="11"/>
      <c r="Z3807" s="11"/>
      <c r="AA3807" s="11"/>
      <c r="AB3807" s="11"/>
      <c r="AC3807" s="11"/>
      <c r="AD3807" s="11"/>
      <c r="AE3807" s="11"/>
      <c r="AF3807" s="11"/>
      <c r="AG3807" s="11"/>
      <c r="AH3807" s="11"/>
      <c r="AI3807" s="11"/>
      <c r="AJ3807" s="11"/>
      <c r="AK3807" s="11"/>
      <c r="AL3807" s="11"/>
    </row>
    <row r="3817" spans="1:38">
      <c r="A3817" s="14"/>
      <c r="B3817" s="14"/>
      <c r="C3817" s="14"/>
      <c r="D3817" s="14"/>
      <c r="E3817" s="14"/>
      <c r="F3817" s="14"/>
      <c r="G3817" s="14"/>
      <c r="H3817" s="14"/>
      <c r="I3817" s="14"/>
      <c r="J3817" s="14"/>
      <c r="K3817" s="14"/>
      <c r="L3817" s="14"/>
      <c r="M3817" s="14"/>
      <c r="N3817" s="14"/>
      <c r="O3817" s="14"/>
      <c r="P3817" s="14"/>
      <c r="Q3817" s="14"/>
      <c r="R3817" s="14"/>
      <c r="S3817" s="14"/>
      <c r="T3817" s="14"/>
      <c r="U3817" s="14"/>
      <c r="V3817" s="14"/>
      <c r="W3817" s="14"/>
      <c r="X3817" s="14"/>
      <c r="Y3817" s="14"/>
      <c r="Z3817" s="14"/>
      <c r="AA3817" s="14"/>
      <c r="AB3817" s="14"/>
      <c r="AC3817" s="14"/>
      <c r="AD3817" s="14"/>
      <c r="AE3817" s="14"/>
      <c r="AF3817" s="14"/>
      <c r="AG3817" s="14"/>
      <c r="AH3817" s="14"/>
      <c r="AI3817" s="14"/>
      <c r="AJ3817" s="14"/>
      <c r="AK3817" s="14"/>
      <c r="AL3817" s="14"/>
    </row>
    <row r="3818" spans="1:38">
      <c r="A3818" s="9"/>
      <c r="B3818" s="9"/>
      <c r="C3818" s="9"/>
      <c r="D3818" s="9"/>
      <c r="E3818" s="9"/>
      <c r="F3818" s="9"/>
      <c r="G3818" s="9"/>
      <c r="H3818" s="9"/>
      <c r="I3818" s="9"/>
      <c r="J3818" s="9"/>
      <c r="K3818" s="9"/>
      <c r="L3818" s="9"/>
      <c r="M3818" s="9"/>
      <c r="N3818" s="9"/>
      <c r="O3818" s="9"/>
      <c r="P3818" s="9"/>
      <c r="Q3818" s="9"/>
      <c r="R3818" s="9"/>
      <c r="S3818" s="9"/>
      <c r="T3818" s="9"/>
      <c r="U3818" s="9"/>
      <c r="V3818" s="9"/>
      <c r="W3818" s="9"/>
      <c r="X3818" s="9"/>
      <c r="Y3818" s="9"/>
      <c r="Z3818" s="9"/>
      <c r="AA3818" s="9"/>
      <c r="AB3818" s="9"/>
      <c r="AC3818" s="9"/>
      <c r="AD3818" s="9"/>
      <c r="AE3818" s="9"/>
      <c r="AF3818" s="9"/>
      <c r="AG3818" s="9"/>
      <c r="AH3818" s="9"/>
      <c r="AI3818" s="9"/>
      <c r="AJ3818" s="9"/>
      <c r="AK3818" s="9"/>
      <c r="AL3818" s="9"/>
    </row>
    <row r="3819" spans="1:38">
      <c r="A3819" s="10"/>
      <c r="B3819" s="10"/>
      <c r="C3819" s="10"/>
      <c r="D3819" s="10"/>
      <c r="E3819" s="10"/>
      <c r="F3819" s="10"/>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0"/>
      <c r="AH3819" s="10"/>
      <c r="AI3819" s="10"/>
      <c r="AJ3819" s="10"/>
      <c r="AK3819" s="10"/>
      <c r="AL3819" s="10"/>
    </row>
    <row r="3820" spans="1:38">
      <c r="A3820" s="10"/>
      <c r="B3820" s="10"/>
      <c r="C3820" s="10"/>
      <c r="D3820" s="10"/>
      <c r="E3820" s="10"/>
      <c r="F3820" s="10"/>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0"/>
      <c r="AH3820" s="10"/>
      <c r="AI3820" s="10"/>
      <c r="AJ3820" s="10"/>
      <c r="AK3820" s="10"/>
      <c r="AL3820" s="10"/>
    </row>
    <row r="3821" spans="1:38">
      <c r="A3821" s="10"/>
      <c r="B3821" s="10"/>
      <c r="C3821" s="10"/>
      <c r="D3821" s="10"/>
      <c r="E3821" s="10"/>
      <c r="F3821" s="10"/>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0"/>
      <c r="AH3821" s="10"/>
      <c r="AI3821" s="10"/>
      <c r="AJ3821" s="10"/>
      <c r="AK3821" s="10"/>
      <c r="AL3821" s="10"/>
    </row>
    <row r="3822" spans="1:38">
      <c r="A3822" s="10"/>
      <c r="B3822" s="10"/>
      <c r="C3822" s="10"/>
      <c r="D3822" s="10"/>
      <c r="E3822" s="10"/>
      <c r="F3822" s="10"/>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0"/>
      <c r="AH3822" s="10"/>
      <c r="AI3822" s="10"/>
      <c r="AJ3822" s="10"/>
      <c r="AK3822" s="10"/>
      <c r="AL3822" s="10"/>
    </row>
    <row r="3823" spans="1:38">
      <c r="A3823" s="10"/>
      <c r="B3823" s="10"/>
      <c r="C3823" s="10"/>
      <c r="D3823" s="10"/>
      <c r="E3823" s="10"/>
      <c r="F3823" s="10"/>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0"/>
      <c r="AH3823" s="10"/>
      <c r="AI3823" s="10"/>
      <c r="AJ3823" s="10"/>
      <c r="AK3823" s="10"/>
      <c r="AL3823" s="10"/>
    </row>
    <row r="3824" spans="1:38">
      <c r="A3824" s="10"/>
      <c r="B3824" s="10"/>
      <c r="C3824" s="10"/>
      <c r="D3824" s="10"/>
      <c r="E3824" s="10"/>
      <c r="F3824" s="10"/>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0"/>
      <c r="AH3824" s="10"/>
      <c r="AI3824" s="10"/>
      <c r="AJ3824" s="10"/>
      <c r="AK3824" s="10"/>
      <c r="AL3824" s="10"/>
    </row>
    <row r="3825" spans="1:38">
      <c r="A3825" s="10"/>
      <c r="B3825" s="10"/>
      <c r="C3825" s="10"/>
      <c r="D3825" s="10"/>
      <c r="E3825" s="10"/>
      <c r="F3825" s="10"/>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0"/>
      <c r="AH3825" s="10"/>
      <c r="AI3825" s="10"/>
      <c r="AJ3825" s="10"/>
      <c r="AK3825" s="10"/>
      <c r="AL3825" s="10"/>
    </row>
    <row r="3826" spans="1:38">
      <c r="A3826" s="10"/>
      <c r="B3826" s="10"/>
      <c r="C3826" s="10"/>
      <c r="D3826" s="10"/>
      <c r="E3826" s="10"/>
      <c r="F3826" s="10"/>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0"/>
      <c r="AH3826" s="10"/>
      <c r="AI3826" s="10"/>
      <c r="AJ3826" s="10"/>
      <c r="AK3826" s="10"/>
      <c r="AL3826" s="10"/>
    </row>
    <row r="3827" spans="1:38">
      <c r="A3827" s="10"/>
      <c r="B3827" s="10"/>
      <c r="C3827" s="10"/>
      <c r="D3827" s="10"/>
      <c r="E3827" s="10"/>
      <c r="F3827" s="10"/>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0"/>
      <c r="AH3827" s="10"/>
      <c r="AI3827" s="10"/>
      <c r="AJ3827" s="10"/>
      <c r="AK3827" s="10"/>
      <c r="AL3827" s="10"/>
    </row>
    <row r="3828" spans="1:38">
      <c r="A3828" s="10"/>
      <c r="B3828" s="10"/>
      <c r="C3828" s="10"/>
      <c r="D3828" s="10"/>
      <c r="E3828" s="10"/>
      <c r="F3828" s="10"/>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0"/>
      <c r="AH3828" s="10"/>
      <c r="AI3828" s="10"/>
      <c r="AJ3828" s="10"/>
      <c r="AK3828" s="10"/>
      <c r="AL3828" s="10"/>
    </row>
    <row r="3829" spans="1:38">
      <c r="A3829" s="10"/>
      <c r="B3829" s="10"/>
      <c r="C3829" s="10"/>
      <c r="D3829" s="10"/>
      <c r="E3829" s="10"/>
      <c r="F3829" s="10"/>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0"/>
      <c r="AH3829" s="10"/>
      <c r="AI3829" s="10"/>
      <c r="AJ3829" s="10"/>
      <c r="AK3829" s="10"/>
      <c r="AL3829" s="10"/>
    </row>
    <row r="3830" spans="1:38">
      <c r="A3830" s="11"/>
      <c r="B3830" s="11"/>
      <c r="C3830" s="11"/>
      <c r="D3830" s="11"/>
      <c r="E3830" s="11"/>
      <c r="F3830" s="11"/>
      <c r="G3830" s="11"/>
      <c r="H3830" s="11"/>
      <c r="I3830" s="11"/>
      <c r="J3830" s="11"/>
      <c r="K3830" s="11"/>
      <c r="L3830" s="11"/>
      <c r="M3830" s="11"/>
      <c r="N3830" s="11"/>
      <c r="O3830" s="11"/>
      <c r="P3830" s="11"/>
      <c r="Q3830" s="11"/>
      <c r="R3830" s="11"/>
      <c r="S3830" s="11"/>
      <c r="T3830" s="11"/>
      <c r="U3830" s="11"/>
      <c r="V3830" s="11"/>
      <c r="W3830" s="11"/>
      <c r="X3830" s="11"/>
      <c r="Y3830" s="11"/>
      <c r="Z3830" s="11"/>
      <c r="AA3830" s="11"/>
      <c r="AB3830" s="11"/>
      <c r="AC3830" s="11"/>
      <c r="AD3830" s="11"/>
      <c r="AE3830" s="11"/>
      <c r="AF3830" s="11"/>
      <c r="AG3830" s="11"/>
      <c r="AH3830" s="11"/>
      <c r="AI3830" s="11"/>
      <c r="AJ3830" s="11"/>
      <c r="AK3830" s="11"/>
      <c r="AL3830" s="11"/>
    </row>
    <row r="3837" spans="1:38">
      <c r="A3837" s="14"/>
      <c r="B3837" s="14"/>
      <c r="C3837" s="14"/>
      <c r="D3837" s="14"/>
      <c r="E3837" s="14"/>
      <c r="F3837" s="14"/>
      <c r="G3837" s="14"/>
      <c r="H3837" s="14"/>
      <c r="I3837" s="14"/>
      <c r="J3837" s="14"/>
      <c r="K3837" s="14"/>
      <c r="L3837" s="14"/>
      <c r="M3837" s="14"/>
      <c r="N3837" s="14"/>
      <c r="O3837" s="14"/>
      <c r="P3837" s="14"/>
      <c r="Q3837" s="14"/>
      <c r="R3837" s="14"/>
      <c r="S3837" s="14"/>
      <c r="T3837" s="14"/>
      <c r="U3837" s="14"/>
      <c r="V3837" s="14"/>
      <c r="W3837" s="14"/>
      <c r="X3837" s="14"/>
      <c r="Y3837" s="14"/>
      <c r="Z3837" s="14"/>
      <c r="AA3837" s="14"/>
      <c r="AB3837" s="14"/>
      <c r="AC3837" s="14"/>
      <c r="AD3837" s="14"/>
      <c r="AE3837" s="14"/>
      <c r="AF3837" s="14"/>
      <c r="AG3837" s="14"/>
      <c r="AH3837" s="14"/>
      <c r="AI3837" s="14"/>
      <c r="AJ3837" s="14"/>
      <c r="AK3837" s="14"/>
      <c r="AL3837" s="14"/>
    </row>
    <row r="3838" spans="1:38">
      <c r="A3838" s="9"/>
      <c r="B3838" s="9"/>
      <c r="C3838" s="9"/>
      <c r="D3838" s="9"/>
      <c r="E3838" s="9"/>
      <c r="F3838" s="9"/>
      <c r="G3838" s="9"/>
      <c r="H3838" s="9"/>
      <c r="I3838" s="9"/>
      <c r="J3838" s="9"/>
      <c r="K3838" s="9"/>
      <c r="L3838" s="9"/>
      <c r="M3838" s="9"/>
      <c r="N3838" s="9"/>
      <c r="O3838" s="9"/>
      <c r="P3838" s="9"/>
      <c r="Q3838" s="9"/>
      <c r="R3838" s="9"/>
      <c r="S3838" s="9"/>
      <c r="T3838" s="9"/>
      <c r="U3838" s="9"/>
      <c r="V3838" s="9"/>
      <c r="W3838" s="9"/>
      <c r="X3838" s="9"/>
      <c r="Y3838" s="9"/>
      <c r="Z3838" s="9"/>
      <c r="AA3838" s="9"/>
      <c r="AB3838" s="9"/>
      <c r="AC3838" s="9"/>
      <c r="AD3838" s="9"/>
      <c r="AE3838" s="9"/>
      <c r="AF3838" s="9"/>
      <c r="AG3838" s="9"/>
      <c r="AH3838" s="9"/>
      <c r="AI3838" s="9"/>
      <c r="AJ3838" s="9"/>
      <c r="AK3838" s="9"/>
      <c r="AL3838" s="9"/>
    </row>
    <row r="3839" spans="1:38">
      <c r="A3839" s="10"/>
      <c r="B3839" s="10"/>
      <c r="C3839" s="10"/>
      <c r="D3839" s="10"/>
      <c r="E3839" s="10"/>
      <c r="F3839" s="10"/>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0"/>
      <c r="AH3839" s="10"/>
      <c r="AI3839" s="10"/>
      <c r="AJ3839" s="10"/>
      <c r="AK3839" s="10"/>
      <c r="AL3839" s="10"/>
    </row>
    <row r="3840" spans="1:38">
      <c r="A3840" s="10"/>
      <c r="B3840" s="10"/>
      <c r="C3840" s="10"/>
      <c r="D3840" s="10"/>
      <c r="E3840" s="10"/>
      <c r="F3840" s="10"/>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0"/>
      <c r="AH3840" s="10"/>
      <c r="AI3840" s="10"/>
      <c r="AJ3840" s="10"/>
      <c r="AK3840" s="10"/>
      <c r="AL3840" s="10"/>
    </row>
    <row r="3841" spans="1:38">
      <c r="A3841" s="10"/>
      <c r="B3841" s="10"/>
      <c r="C3841" s="10"/>
      <c r="D3841" s="10"/>
      <c r="E3841" s="10"/>
      <c r="F3841" s="10"/>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0"/>
      <c r="AH3841" s="10"/>
      <c r="AI3841" s="10"/>
      <c r="AJ3841" s="10"/>
      <c r="AK3841" s="10"/>
      <c r="AL3841" s="10"/>
    </row>
    <row r="3842" spans="1:38">
      <c r="A3842" s="10"/>
      <c r="B3842" s="10"/>
      <c r="C3842" s="10"/>
      <c r="D3842" s="10"/>
      <c r="E3842" s="10"/>
      <c r="F3842" s="10"/>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0"/>
      <c r="AH3842" s="10"/>
      <c r="AI3842" s="10"/>
      <c r="AJ3842" s="10"/>
      <c r="AK3842" s="10"/>
      <c r="AL3842" s="10"/>
    </row>
    <row r="3843" spans="1:38">
      <c r="A3843" s="10"/>
      <c r="B3843" s="10"/>
      <c r="C3843" s="10"/>
      <c r="D3843" s="10"/>
      <c r="E3843" s="10"/>
      <c r="F3843" s="10"/>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0"/>
      <c r="AH3843" s="10"/>
      <c r="AI3843" s="10"/>
      <c r="AJ3843" s="10"/>
      <c r="AK3843" s="10"/>
      <c r="AL3843" s="10"/>
    </row>
    <row r="3844" spans="1:38">
      <c r="A3844" s="10"/>
      <c r="B3844" s="10"/>
      <c r="C3844" s="10"/>
      <c r="D3844" s="10"/>
      <c r="E3844" s="10"/>
      <c r="F3844" s="10"/>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0"/>
      <c r="AH3844" s="10"/>
      <c r="AI3844" s="10"/>
      <c r="AJ3844" s="10"/>
      <c r="AK3844" s="10"/>
      <c r="AL3844" s="10"/>
    </row>
    <row r="3845" spans="1:38">
      <c r="A3845" s="10"/>
      <c r="B3845" s="10"/>
      <c r="C3845" s="10"/>
      <c r="D3845" s="10"/>
      <c r="E3845" s="10"/>
      <c r="F3845" s="10"/>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0"/>
      <c r="AH3845" s="10"/>
      <c r="AI3845" s="10"/>
      <c r="AJ3845" s="10"/>
      <c r="AK3845" s="10"/>
      <c r="AL3845" s="10"/>
    </row>
    <row r="3846" spans="1:38">
      <c r="A3846" s="10"/>
      <c r="B3846" s="10"/>
      <c r="C3846" s="10"/>
      <c r="D3846" s="10"/>
      <c r="E3846" s="10"/>
      <c r="F3846" s="10"/>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0"/>
      <c r="AH3846" s="10"/>
      <c r="AI3846" s="10"/>
      <c r="AJ3846" s="10"/>
      <c r="AK3846" s="10"/>
      <c r="AL3846" s="10"/>
    </row>
    <row r="3847" spans="1:38">
      <c r="A3847" s="10"/>
      <c r="B3847" s="10"/>
      <c r="C3847" s="10"/>
      <c r="D3847" s="10"/>
      <c r="E3847" s="10"/>
      <c r="F3847" s="10"/>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0"/>
      <c r="AH3847" s="10"/>
      <c r="AI3847" s="10"/>
      <c r="AJ3847" s="10"/>
      <c r="AK3847" s="10"/>
      <c r="AL3847" s="10"/>
    </row>
    <row r="3848" spans="1:38">
      <c r="A3848" s="10"/>
      <c r="B3848" s="10"/>
      <c r="C3848" s="10"/>
      <c r="D3848" s="10"/>
      <c r="E3848" s="10"/>
      <c r="F3848" s="10"/>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0"/>
      <c r="AH3848" s="10"/>
      <c r="AI3848" s="10"/>
      <c r="AJ3848" s="10"/>
      <c r="AK3848" s="10"/>
      <c r="AL3848" s="10"/>
    </row>
    <row r="3849" spans="1:38">
      <c r="A3849" s="10"/>
      <c r="B3849" s="10"/>
      <c r="C3849" s="10"/>
      <c r="D3849" s="10"/>
      <c r="E3849" s="10"/>
      <c r="F3849" s="10"/>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0"/>
      <c r="AH3849" s="10"/>
      <c r="AI3849" s="10"/>
      <c r="AJ3849" s="10"/>
      <c r="AK3849" s="10"/>
      <c r="AL3849" s="10"/>
    </row>
    <row r="3850" spans="1:38">
      <c r="A3850" s="11"/>
      <c r="B3850" s="11"/>
      <c r="C3850" s="11"/>
      <c r="D3850" s="11"/>
      <c r="E3850" s="11"/>
      <c r="F3850" s="11"/>
      <c r="G3850" s="11"/>
      <c r="H3850" s="11"/>
      <c r="I3850" s="11"/>
      <c r="J3850" s="11"/>
      <c r="K3850" s="11"/>
      <c r="L3850" s="11"/>
      <c r="M3850" s="11"/>
      <c r="N3850" s="11"/>
      <c r="O3850" s="11"/>
      <c r="P3850" s="11"/>
      <c r="Q3850" s="11"/>
      <c r="R3850" s="11"/>
      <c r="S3850" s="11"/>
      <c r="T3850" s="11"/>
      <c r="U3850" s="11"/>
      <c r="V3850" s="11"/>
      <c r="W3850" s="11"/>
      <c r="X3850" s="11"/>
      <c r="Y3850" s="11"/>
      <c r="Z3850" s="11"/>
      <c r="AA3850" s="11"/>
      <c r="AB3850" s="11"/>
      <c r="AC3850" s="11"/>
      <c r="AD3850" s="11"/>
      <c r="AE3850" s="11"/>
      <c r="AF3850" s="11"/>
      <c r="AG3850" s="11"/>
      <c r="AH3850" s="11"/>
      <c r="AI3850" s="11"/>
      <c r="AJ3850" s="11"/>
      <c r="AK3850" s="11"/>
      <c r="AL3850" s="11"/>
    </row>
    <row r="3858" spans="1:38">
      <c r="A3858" s="14"/>
      <c r="B3858" s="14"/>
      <c r="C3858" s="14"/>
      <c r="D3858" s="14"/>
      <c r="E3858" s="14"/>
      <c r="F3858" s="14"/>
      <c r="G3858" s="14"/>
      <c r="H3858" s="14"/>
      <c r="I3858" s="14"/>
      <c r="J3858" s="14"/>
      <c r="K3858" s="14"/>
      <c r="L3858" s="14"/>
      <c r="M3858" s="14"/>
      <c r="N3858" s="14"/>
      <c r="O3858" s="14"/>
      <c r="P3858" s="14"/>
      <c r="Q3858" s="14"/>
      <c r="R3858" s="14"/>
      <c r="S3858" s="14"/>
      <c r="T3858" s="14"/>
      <c r="U3858" s="14"/>
      <c r="V3858" s="14"/>
      <c r="W3858" s="14"/>
      <c r="X3858" s="14"/>
      <c r="Y3858" s="14"/>
      <c r="Z3858" s="14"/>
      <c r="AA3858" s="14"/>
      <c r="AB3858" s="14"/>
      <c r="AC3858" s="14"/>
      <c r="AD3858" s="14"/>
      <c r="AE3858" s="14"/>
      <c r="AF3858" s="14"/>
      <c r="AG3858" s="14"/>
      <c r="AH3858" s="14"/>
      <c r="AI3858" s="14"/>
      <c r="AJ3858" s="14"/>
      <c r="AK3858" s="14"/>
      <c r="AL3858" s="14"/>
    </row>
    <row r="3859" spans="1:38">
      <c r="A3859" s="9"/>
      <c r="B3859" s="9"/>
      <c r="C3859" s="9"/>
      <c r="D3859" s="9"/>
      <c r="E3859" s="9"/>
      <c r="F3859" s="9"/>
      <c r="G3859" s="9"/>
      <c r="H3859" s="9"/>
      <c r="I3859" s="9"/>
      <c r="J3859" s="9"/>
      <c r="K3859" s="9"/>
      <c r="L3859" s="9"/>
      <c r="M3859" s="9"/>
      <c r="N3859" s="9"/>
      <c r="O3859" s="9"/>
      <c r="P3859" s="9"/>
      <c r="Q3859" s="9"/>
      <c r="R3859" s="9"/>
      <c r="S3859" s="9"/>
      <c r="T3859" s="9"/>
      <c r="U3859" s="9"/>
      <c r="V3859" s="9"/>
      <c r="W3859" s="9"/>
      <c r="X3859" s="9"/>
      <c r="Y3859" s="9"/>
      <c r="Z3859" s="9"/>
      <c r="AA3859" s="9"/>
      <c r="AB3859" s="9"/>
      <c r="AC3859" s="9"/>
      <c r="AD3859" s="9"/>
      <c r="AE3859" s="9"/>
      <c r="AF3859" s="9"/>
      <c r="AG3859" s="9"/>
      <c r="AH3859" s="9"/>
      <c r="AI3859" s="9"/>
      <c r="AJ3859" s="9"/>
      <c r="AK3859" s="9"/>
      <c r="AL3859" s="9"/>
    </row>
    <row r="3860" spans="1:38">
      <c r="A3860" s="10"/>
      <c r="B3860" s="10"/>
      <c r="C3860" s="10"/>
      <c r="D3860" s="10"/>
      <c r="E3860" s="10"/>
      <c r="F3860" s="10"/>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0"/>
      <c r="AH3860" s="10"/>
      <c r="AI3860" s="10"/>
      <c r="AJ3860" s="10"/>
      <c r="AK3860" s="10"/>
      <c r="AL3860" s="10"/>
    </row>
    <row r="3861" spans="1:38">
      <c r="A3861" s="10"/>
      <c r="B3861" s="10"/>
      <c r="C3861" s="10"/>
      <c r="D3861" s="10"/>
      <c r="E3861" s="10"/>
      <c r="F3861" s="10"/>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0"/>
      <c r="AH3861" s="10"/>
      <c r="AI3861" s="10"/>
      <c r="AJ3861" s="10"/>
      <c r="AK3861" s="10"/>
      <c r="AL3861" s="10"/>
    </row>
    <row r="3862" spans="1:38">
      <c r="A3862" s="10"/>
      <c r="B3862" s="10"/>
      <c r="C3862" s="10"/>
      <c r="D3862" s="10"/>
      <c r="E3862" s="10"/>
      <c r="F3862" s="10"/>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0"/>
      <c r="AH3862" s="10"/>
      <c r="AI3862" s="10"/>
      <c r="AJ3862" s="10"/>
      <c r="AK3862" s="10"/>
      <c r="AL3862" s="10"/>
    </row>
    <row r="3863" spans="1:38">
      <c r="A3863" s="10"/>
      <c r="B3863" s="10"/>
      <c r="C3863" s="10"/>
      <c r="D3863" s="10"/>
      <c r="E3863" s="10"/>
      <c r="F3863" s="10"/>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0"/>
      <c r="AH3863" s="10"/>
      <c r="AI3863" s="10"/>
      <c r="AJ3863" s="10"/>
      <c r="AK3863" s="10"/>
      <c r="AL3863" s="10"/>
    </row>
    <row r="3864" spans="1:38">
      <c r="A3864" s="10"/>
      <c r="B3864" s="10"/>
      <c r="C3864" s="10"/>
      <c r="D3864" s="10"/>
      <c r="E3864" s="10"/>
      <c r="F3864" s="10"/>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0"/>
      <c r="AH3864" s="10"/>
      <c r="AI3864" s="10"/>
      <c r="AJ3864" s="10"/>
      <c r="AK3864" s="10"/>
      <c r="AL3864" s="10"/>
    </row>
    <row r="3865" spans="1:38">
      <c r="A3865" s="10"/>
      <c r="B3865" s="10"/>
      <c r="C3865" s="10"/>
      <c r="D3865" s="10"/>
      <c r="E3865" s="10"/>
      <c r="F3865" s="10"/>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0"/>
      <c r="AH3865" s="10"/>
      <c r="AI3865" s="10"/>
      <c r="AJ3865" s="10"/>
      <c r="AK3865" s="10"/>
      <c r="AL3865" s="10"/>
    </row>
    <row r="3866" spans="1:38">
      <c r="A3866" s="10"/>
      <c r="B3866" s="10"/>
      <c r="C3866" s="10"/>
      <c r="D3866" s="10"/>
      <c r="E3866" s="10"/>
      <c r="F3866" s="10"/>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0"/>
      <c r="AH3866" s="10"/>
      <c r="AI3866" s="10"/>
      <c r="AJ3866" s="10"/>
      <c r="AK3866" s="10"/>
      <c r="AL3866" s="10"/>
    </row>
    <row r="3867" spans="1:38">
      <c r="A3867" s="10"/>
      <c r="B3867" s="10"/>
      <c r="C3867" s="10"/>
      <c r="D3867" s="10"/>
      <c r="E3867" s="10"/>
      <c r="F3867" s="10"/>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0"/>
      <c r="AH3867" s="10"/>
      <c r="AI3867" s="10"/>
      <c r="AJ3867" s="10"/>
      <c r="AK3867" s="10"/>
      <c r="AL3867" s="10"/>
    </row>
    <row r="3868" spans="1:38">
      <c r="A3868" s="10"/>
      <c r="B3868" s="10"/>
      <c r="C3868" s="10"/>
      <c r="D3868" s="10"/>
      <c r="E3868" s="10"/>
      <c r="F3868" s="10"/>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0"/>
      <c r="AH3868" s="10"/>
      <c r="AI3868" s="10"/>
      <c r="AJ3868" s="10"/>
      <c r="AK3868" s="10"/>
      <c r="AL3868" s="10"/>
    </row>
    <row r="3869" spans="1:38">
      <c r="A3869" s="10"/>
      <c r="B3869" s="10"/>
      <c r="C3869" s="10"/>
      <c r="D3869" s="10"/>
      <c r="E3869" s="10"/>
      <c r="F3869" s="10"/>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0"/>
      <c r="AH3869" s="10"/>
      <c r="AI3869" s="10"/>
      <c r="AJ3869" s="10"/>
      <c r="AK3869" s="10"/>
      <c r="AL3869" s="10"/>
    </row>
    <row r="3870" spans="1:38">
      <c r="A3870" s="10"/>
      <c r="B3870" s="10"/>
      <c r="C3870" s="10"/>
      <c r="D3870" s="10"/>
      <c r="E3870" s="10"/>
      <c r="F3870" s="10"/>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0"/>
      <c r="AH3870" s="10"/>
      <c r="AI3870" s="10"/>
      <c r="AJ3870" s="10"/>
      <c r="AK3870" s="10"/>
      <c r="AL3870" s="10"/>
    </row>
    <row r="3871" spans="1:38">
      <c r="A3871" s="11"/>
      <c r="B3871" s="11"/>
      <c r="C3871" s="11"/>
      <c r="D3871" s="11"/>
      <c r="E3871" s="11"/>
      <c r="F3871" s="11"/>
      <c r="G3871" s="11"/>
      <c r="H3871" s="11"/>
      <c r="I3871" s="11"/>
      <c r="J3871" s="11"/>
      <c r="K3871" s="11"/>
      <c r="L3871" s="11"/>
      <c r="M3871" s="11"/>
      <c r="N3871" s="11"/>
      <c r="O3871" s="11"/>
      <c r="P3871" s="11"/>
      <c r="Q3871" s="11"/>
      <c r="R3871" s="11"/>
      <c r="S3871" s="11"/>
      <c r="T3871" s="11"/>
      <c r="U3871" s="11"/>
      <c r="V3871" s="11"/>
      <c r="W3871" s="11"/>
      <c r="X3871" s="11"/>
      <c r="Y3871" s="11"/>
      <c r="Z3871" s="11"/>
      <c r="AA3871" s="11"/>
      <c r="AB3871" s="11"/>
      <c r="AC3871" s="11"/>
      <c r="AD3871" s="11"/>
      <c r="AE3871" s="11"/>
      <c r="AF3871" s="11"/>
      <c r="AG3871" s="11"/>
      <c r="AH3871" s="11"/>
      <c r="AI3871" s="11"/>
      <c r="AJ3871" s="11"/>
      <c r="AK3871" s="11"/>
      <c r="AL3871" s="11"/>
    </row>
    <row r="3881" spans="1:38">
      <c r="A3881" s="14"/>
      <c r="B3881" s="14"/>
      <c r="C3881" s="14"/>
      <c r="D3881" s="14"/>
      <c r="E3881" s="14"/>
      <c r="F3881" s="14"/>
      <c r="G3881" s="14"/>
      <c r="H3881" s="14"/>
      <c r="I3881" s="14"/>
      <c r="J3881" s="14"/>
      <c r="K3881" s="14"/>
      <c r="L3881" s="14"/>
      <c r="M3881" s="14"/>
      <c r="N3881" s="14"/>
      <c r="O3881" s="14"/>
      <c r="P3881" s="14"/>
      <c r="Q3881" s="14"/>
      <c r="R3881" s="14"/>
      <c r="S3881" s="14"/>
      <c r="T3881" s="14"/>
      <c r="U3881" s="14"/>
      <c r="V3881" s="14"/>
      <c r="W3881" s="14"/>
      <c r="X3881" s="14"/>
      <c r="Y3881" s="14"/>
      <c r="Z3881" s="14"/>
      <c r="AA3881" s="14"/>
      <c r="AB3881" s="14"/>
      <c r="AC3881" s="14"/>
      <c r="AD3881" s="14"/>
      <c r="AE3881" s="14"/>
      <c r="AF3881" s="14"/>
      <c r="AG3881" s="14"/>
      <c r="AH3881" s="14"/>
      <c r="AI3881" s="14"/>
      <c r="AJ3881" s="14"/>
      <c r="AK3881" s="14"/>
      <c r="AL3881" s="14"/>
    </row>
    <row r="3882" spans="1:38">
      <c r="A3882" s="9"/>
      <c r="B3882" s="9"/>
      <c r="C3882" s="9"/>
      <c r="D3882" s="9"/>
      <c r="E3882" s="9"/>
      <c r="F3882" s="9"/>
      <c r="G3882" s="9"/>
      <c r="H3882" s="9"/>
      <c r="I3882" s="9"/>
      <c r="J3882" s="9"/>
      <c r="K3882" s="9"/>
      <c r="L3882" s="9"/>
      <c r="M3882" s="9"/>
      <c r="N3882" s="9"/>
      <c r="O3882" s="9"/>
      <c r="P3882" s="9"/>
      <c r="Q3882" s="9"/>
      <c r="R3882" s="9"/>
      <c r="S3882" s="9"/>
      <c r="T3882" s="9"/>
      <c r="U3882" s="9"/>
      <c r="V3882" s="9"/>
      <c r="W3882" s="9"/>
      <c r="X3882" s="9"/>
      <c r="Y3882" s="9"/>
      <c r="Z3882" s="9"/>
      <c r="AA3882" s="9"/>
      <c r="AB3882" s="9"/>
      <c r="AC3882" s="9"/>
      <c r="AD3882" s="9"/>
      <c r="AE3882" s="9"/>
      <c r="AF3882" s="9"/>
      <c r="AG3882" s="9"/>
      <c r="AH3882" s="9"/>
      <c r="AI3882" s="9"/>
      <c r="AJ3882" s="9"/>
      <c r="AK3882" s="9"/>
      <c r="AL3882" s="9"/>
    </row>
    <row r="3883" spans="1:38">
      <c r="A3883" s="10"/>
      <c r="B3883" s="10"/>
      <c r="C3883" s="10"/>
      <c r="D3883" s="10"/>
      <c r="E3883" s="10"/>
      <c r="F3883" s="10"/>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0"/>
      <c r="AH3883" s="10"/>
      <c r="AI3883" s="10"/>
      <c r="AJ3883" s="10"/>
      <c r="AK3883" s="10"/>
      <c r="AL3883" s="10"/>
    </row>
    <row r="3884" spans="1:38">
      <c r="A3884" s="10"/>
      <c r="B3884" s="10"/>
      <c r="C3884" s="10"/>
      <c r="D3884" s="10"/>
      <c r="E3884" s="10"/>
      <c r="F3884" s="10"/>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0"/>
      <c r="AH3884" s="10"/>
      <c r="AI3884" s="10"/>
      <c r="AJ3884" s="10"/>
      <c r="AK3884" s="10"/>
      <c r="AL3884" s="10"/>
    </row>
    <row r="3885" spans="1:38">
      <c r="A3885" s="10"/>
      <c r="B3885" s="10"/>
      <c r="C3885" s="10"/>
      <c r="D3885" s="10"/>
      <c r="E3885" s="10"/>
      <c r="F3885" s="10"/>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0"/>
      <c r="AH3885" s="10"/>
      <c r="AI3885" s="10"/>
      <c r="AJ3885" s="10"/>
      <c r="AK3885" s="10"/>
      <c r="AL3885" s="10"/>
    </row>
    <row r="3886" spans="1:38">
      <c r="A3886" s="10"/>
      <c r="B3886" s="10"/>
      <c r="C3886" s="10"/>
      <c r="D3886" s="10"/>
      <c r="E3886" s="10"/>
      <c r="F3886" s="10"/>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0"/>
      <c r="AH3886" s="10"/>
      <c r="AI3886" s="10"/>
      <c r="AJ3886" s="10"/>
      <c r="AK3886" s="10"/>
      <c r="AL3886" s="10"/>
    </row>
    <row r="3887" spans="1:38">
      <c r="A3887" s="10"/>
      <c r="B3887" s="10"/>
      <c r="C3887" s="10"/>
      <c r="D3887" s="10"/>
      <c r="E3887" s="10"/>
      <c r="F3887" s="10"/>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0"/>
      <c r="AH3887" s="10"/>
      <c r="AI3887" s="10"/>
      <c r="AJ3887" s="10"/>
      <c r="AK3887" s="10"/>
      <c r="AL3887" s="10"/>
    </row>
    <row r="3888" spans="1:38">
      <c r="A3888" s="10"/>
      <c r="B3888" s="10"/>
      <c r="C3888" s="10"/>
      <c r="D3888" s="10"/>
      <c r="E3888" s="10"/>
      <c r="F3888" s="10"/>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0"/>
      <c r="AH3888" s="10"/>
      <c r="AI3888" s="10"/>
      <c r="AJ3888" s="10"/>
      <c r="AK3888" s="10"/>
      <c r="AL3888" s="10"/>
    </row>
    <row r="3889" spans="1:38">
      <c r="A3889" s="10"/>
      <c r="B3889" s="10"/>
      <c r="C3889" s="10"/>
      <c r="D3889" s="10"/>
      <c r="E3889" s="10"/>
      <c r="F3889" s="10"/>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0"/>
      <c r="AH3889" s="10"/>
      <c r="AI3889" s="10"/>
      <c r="AJ3889" s="10"/>
      <c r="AK3889" s="10"/>
      <c r="AL3889" s="10"/>
    </row>
    <row r="3890" spans="1:38">
      <c r="A3890" s="10"/>
      <c r="B3890" s="10"/>
      <c r="C3890" s="10"/>
      <c r="D3890" s="10"/>
      <c r="E3890" s="10"/>
      <c r="F3890" s="10"/>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0"/>
      <c r="AH3890" s="10"/>
      <c r="AI3890" s="10"/>
      <c r="AJ3890" s="10"/>
      <c r="AK3890" s="10"/>
      <c r="AL3890" s="10"/>
    </row>
    <row r="3891" spans="1:38">
      <c r="A3891" s="10"/>
      <c r="B3891" s="10"/>
      <c r="C3891" s="10"/>
      <c r="D3891" s="10"/>
      <c r="E3891" s="10"/>
      <c r="F3891" s="10"/>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0"/>
      <c r="AH3891" s="10"/>
      <c r="AI3891" s="10"/>
      <c r="AJ3891" s="10"/>
      <c r="AK3891" s="10"/>
      <c r="AL3891" s="10"/>
    </row>
    <row r="3892" spans="1:38">
      <c r="A3892" s="10"/>
      <c r="B3892" s="10"/>
      <c r="C3892" s="10"/>
      <c r="D3892" s="10"/>
      <c r="E3892" s="10"/>
      <c r="F3892" s="10"/>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0"/>
      <c r="AH3892" s="10"/>
      <c r="AI3892" s="10"/>
      <c r="AJ3892" s="10"/>
      <c r="AK3892" s="10"/>
      <c r="AL3892" s="10"/>
    </row>
    <row r="3893" spans="1:38">
      <c r="A3893" s="10"/>
      <c r="B3893" s="10"/>
      <c r="C3893" s="10"/>
      <c r="D3893" s="10"/>
      <c r="E3893" s="10"/>
      <c r="F3893" s="10"/>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0"/>
      <c r="AH3893" s="10"/>
      <c r="AI3893" s="10"/>
      <c r="AJ3893" s="10"/>
      <c r="AK3893" s="10"/>
      <c r="AL3893" s="10"/>
    </row>
    <row r="3894" spans="1:38">
      <c r="A3894" s="11"/>
      <c r="B3894" s="11"/>
      <c r="C3894" s="11"/>
      <c r="D3894" s="11"/>
      <c r="E3894" s="11"/>
      <c r="F3894" s="11"/>
      <c r="G3894" s="11"/>
      <c r="H3894" s="11"/>
      <c r="I3894" s="11"/>
      <c r="J3894" s="11"/>
      <c r="K3894" s="11"/>
      <c r="L3894" s="11"/>
      <c r="M3894" s="11"/>
      <c r="N3894" s="11"/>
      <c r="O3894" s="11"/>
      <c r="P3894" s="11"/>
      <c r="Q3894" s="11"/>
      <c r="R3894" s="11"/>
      <c r="S3894" s="11"/>
      <c r="T3894" s="11"/>
      <c r="U3894" s="11"/>
      <c r="V3894" s="11"/>
      <c r="W3894" s="11"/>
      <c r="X3894" s="11"/>
      <c r="Y3894" s="11"/>
      <c r="Z3894" s="11"/>
      <c r="AA3894" s="11"/>
      <c r="AB3894" s="11"/>
      <c r="AC3894" s="11"/>
      <c r="AD3894" s="11"/>
      <c r="AE3894" s="11"/>
      <c r="AF3894" s="11"/>
      <c r="AG3894" s="11"/>
      <c r="AH3894" s="11"/>
      <c r="AI3894" s="11"/>
      <c r="AJ3894" s="11"/>
      <c r="AK3894" s="11"/>
      <c r="AL3894" s="11"/>
    </row>
    <row r="3902" spans="1:38">
      <c r="A3902" s="14"/>
      <c r="B3902" s="14"/>
      <c r="C3902" s="14"/>
      <c r="D3902" s="14"/>
      <c r="E3902" s="14"/>
      <c r="F3902" s="14"/>
      <c r="G3902" s="14"/>
      <c r="H3902" s="14"/>
      <c r="I3902" s="14"/>
      <c r="J3902" s="14"/>
      <c r="K3902" s="14"/>
      <c r="L3902" s="14"/>
      <c r="M3902" s="14"/>
      <c r="N3902" s="14"/>
      <c r="O3902" s="14"/>
      <c r="P3902" s="14"/>
      <c r="Q3902" s="14"/>
      <c r="R3902" s="14"/>
      <c r="S3902" s="14"/>
      <c r="T3902" s="14"/>
      <c r="U3902" s="14"/>
      <c r="V3902" s="14"/>
      <c r="W3902" s="14"/>
      <c r="X3902" s="14"/>
      <c r="Y3902" s="14"/>
      <c r="Z3902" s="14"/>
      <c r="AA3902" s="14"/>
      <c r="AB3902" s="14"/>
      <c r="AC3902" s="14"/>
      <c r="AD3902" s="14"/>
      <c r="AE3902" s="14"/>
      <c r="AF3902" s="14"/>
      <c r="AG3902" s="14"/>
      <c r="AH3902" s="14"/>
      <c r="AI3902" s="14"/>
      <c r="AJ3902" s="14"/>
      <c r="AK3902" s="14"/>
      <c r="AL3902" s="14"/>
    </row>
    <row r="3903" spans="1:38">
      <c r="A3903" s="9"/>
      <c r="B3903" s="9"/>
      <c r="C3903" s="9"/>
      <c r="D3903" s="9"/>
      <c r="E3903" s="9"/>
      <c r="F3903" s="9"/>
      <c r="G3903" s="9"/>
      <c r="H3903" s="9"/>
      <c r="I3903" s="9"/>
      <c r="J3903" s="9"/>
      <c r="K3903" s="9"/>
      <c r="L3903" s="9"/>
      <c r="M3903" s="9"/>
      <c r="N3903" s="9"/>
      <c r="O3903" s="9"/>
      <c r="P3903" s="9"/>
      <c r="Q3903" s="9"/>
      <c r="R3903" s="9"/>
      <c r="S3903" s="9"/>
      <c r="T3903" s="9"/>
      <c r="U3903" s="9"/>
      <c r="V3903" s="9"/>
      <c r="W3903" s="9"/>
      <c r="X3903" s="9"/>
      <c r="Y3903" s="9"/>
      <c r="Z3903" s="9"/>
      <c r="AA3903" s="9"/>
      <c r="AB3903" s="9"/>
      <c r="AC3903" s="9"/>
      <c r="AD3903" s="9"/>
      <c r="AE3903" s="9"/>
      <c r="AF3903" s="9"/>
      <c r="AG3903" s="9"/>
      <c r="AH3903" s="9"/>
      <c r="AI3903" s="9"/>
      <c r="AJ3903" s="9"/>
      <c r="AK3903" s="9"/>
      <c r="AL3903" s="9"/>
    </row>
    <row r="3904" spans="1:38">
      <c r="A3904" s="10"/>
      <c r="B3904" s="10"/>
      <c r="C3904" s="10"/>
      <c r="D3904" s="10"/>
      <c r="E3904" s="10"/>
      <c r="F3904" s="10"/>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0"/>
      <c r="AH3904" s="10"/>
      <c r="AI3904" s="10"/>
      <c r="AJ3904" s="10"/>
      <c r="AK3904" s="10"/>
      <c r="AL3904" s="10"/>
    </row>
    <row r="3905" spans="1:38">
      <c r="A3905" s="10"/>
      <c r="B3905" s="10"/>
      <c r="C3905" s="10"/>
      <c r="D3905" s="10"/>
      <c r="E3905" s="10"/>
      <c r="F3905" s="10"/>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0"/>
      <c r="AH3905" s="10"/>
      <c r="AI3905" s="10"/>
      <c r="AJ3905" s="10"/>
      <c r="AK3905" s="10"/>
      <c r="AL3905" s="10"/>
    </row>
    <row r="3906" spans="1:38">
      <c r="A3906" s="10"/>
      <c r="B3906" s="10"/>
      <c r="C3906" s="10"/>
      <c r="D3906" s="10"/>
      <c r="E3906" s="10"/>
      <c r="F3906" s="10"/>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0"/>
      <c r="AH3906" s="10"/>
      <c r="AI3906" s="10"/>
      <c r="AJ3906" s="10"/>
      <c r="AK3906" s="10"/>
      <c r="AL3906" s="10"/>
    </row>
    <row r="3907" spans="1:38">
      <c r="A3907" s="10"/>
      <c r="B3907" s="10"/>
      <c r="C3907" s="10"/>
      <c r="D3907" s="10"/>
      <c r="E3907" s="10"/>
      <c r="F3907" s="10"/>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0"/>
      <c r="AH3907" s="10"/>
      <c r="AI3907" s="10"/>
      <c r="AJ3907" s="10"/>
      <c r="AK3907" s="10"/>
      <c r="AL3907" s="10"/>
    </row>
    <row r="3908" spans="1:38">
      <c r="A3908" s="10"/>
      <c r="B3908" s="10"/>
      <c r="C3908" s="10"/>
      <c r="D3908" s="10"/>
      <c r="E3908" s="10"/>
      <c r="F3908" s="10"/>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0"/>
      <c r="AH3908" s="10"/>
      <c r="AI3908" s="10"/>
      <c r="AJ3908" s="10"/>
      <c r="AK3908" s="10"/>
      <c r="AL3908" s="10"/>
    </row>
    <row r="3909" spans="1:38">
      <c r="A3909" s="10"/>
      <c r="B3909" s="10"/>
      <c r="C3909" s="10"/>
      <c r="D3909" s="10"/>
      <c r="E3909" s="10"/>
      <c r="F3909" s="10"/>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0"/>
      <c r="AH3909" s="10"/>
      <c r="AI3909" s="10"/>
      <c r="AJ3909" s="10"/>
      <c r="AK3909" s="10"/>
      <c r="AL3909" s="10"/>
    </row>
    <row r="3910" spans="1:38">
      <c r="A3910" s="10"/>
      <c r="B3910" s="10"/>
      <c r="C3910" s="10"/>
      <c r="D3910" s="10"/>
      <c r="E3910" s="10"/>
      <c r="F3910" s="10"/>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0"/>
      <c r="AH3910" s="10"/>
      <c r="AI3910" s="10"/>
      <c r="AJ3910" s="10"/>
      <c r="AK3910" s="10"/>
      <c r="AL3910" s="10"/>
    </row>
    <row r="3911" spans="1:38">
      <c r="A3911" s="10"/>
      <c r="B3911" s="10"/>
      <c r="C3911" s="10"/>
      <c r="D3911" s="10"/>
      <c r="E3911" s="10"/>
      <c r="F3911" s="10"/>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0"/>
      <c r="AH3911" s="10"/>
      <c r="AI3911" s="10"/>
      <c r="AJ3911" s="10"/>
      <c r="AK3911" s="10"/>
      <c r="AL3911" s="10"/>
    </row>
    <row r="3912" spans="1:38">
      <c r="A3912" s="10"/>
      <c r="B3912" s="10"/>
      <c r="C3912" s="10"/>
      <c r="D3912" s="10"/>
      <c r="E3912" s="10"/>
      <c r="F3912" s="10"/>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0"/>
      <c r="AH3912" s="10"/>
      <c r="AI3912" s="10"/>
      <c r="AJ3912" s="10"/>
      <c r="AK3912" s="10"/>
      <c r="AL3912" s="10"/>
    </row>
    <row r="3913" spans="1:38">
      <c r="A3913" s="10"/>
      <c r="B3913" s="10"/>
      <c r="C3913" s="10"/>
      <c r="D3913" s="10"/>
      <c r="E3913" s="10"/>
      <c r="F3913" s="10"/>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0"/>
      <c r="AH3913" s="10"/>
      <c r="AI3913" s="10"/>
      <c r="AJ3913" s="10"/>
      <c r="AK3913" s="10"/>
      <c r="AL3913" s="10"/>
    </row>
    <row r="3914" spans="1:38">
      <c r="A3914" s="10"/>
      <c r="B3914" s="10"/>
      <c r="C3914" s="10"/>
      <c r="D3914" s="10"/>
      <c r="E3914" s="10"/>
      <c r="F3914" s="10"/>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0"/>
      <c r="AH3914" s="10"/>
      <c r="AI3914" s="10"/>
      <c r="AJ3914" s="10"/>
      <c r="AK3914" s="10"/>
      <c r="AL3914" s="10"/>
    </row>
    <row r="3915" spans="1:38">
      <c r="A3915" s="11"/>
      <c r="B3915" s="11"/>
      <c r="C3915" s="11"/>
      <c r="D3915" s="11"/>
      <c r="E3915" s="11"/>
      <c r="F3915" s="11"/>
      <c r="G3915" s="11"/>
      <c r="H3915" s="11"/>
      <c r="I3915" s="11"/>
      <c r="J3915" s="11"/>
      <c r="K3915" s="11"/>
      <c r="L3915" s="11"/>
      <c r="M3915" s="11"/>
      <c r="N3915" s="11"/>
      <c r="O3915" s="11"/>
      <c r="P3915" s="11"/>
      <c r="Q3915" s="11"/>
      <c r="R3915" s="11"/>
      <c r="S3915" s="11"/>
      <c r="T3915" s="11"/>
      <c r="U3915" s="11"/>
      <c r="V3915" s="11"/>
      <c r="W3915" s="11"/>
      <c r="X3915" s="11"/>
      <c r="Y3915" s="11"/>
      <c r="Z3915" s="11"/>
      <c r="AA3915" s="11"/>
      <c r="AB3915" s="11"/>
      <c r="AC3915" s="11"/>
      <c r="AD3915" s="11"/>
      <c r="AE3915" s="11"/>
      <c r="AF3915" s="11"/>
      <c r="AG3915" s="11"/>
      <c r="AH3915" s="11"/>
      <c r="AI3915" s="11"/>
      <c r="AJ3915" s="11"/>
      <c r="AK3915" s="11"/>
      <c r="AL3915" s="11"/>
    </row>
    <row r="3931" spans="1:38">
      <c r="A3931" s="14"/>
      <c r="B3931" s="14"/>
      <c r="C3931" s="14"/>
      <c r="D3931" s="14"/>
      <c r="E3931" s="14"/>
      <c r="F3931" s="14"/>
      <c r="G3931" s="14"/>
      <c r="H3931" s="14"/>
      <c r="I3931" s="14"/>
      <c r="J3931" s="14"/>
      <c r="K3931" s="14"/>
      <c r="L3931" s="14"/>
      <c r="M3931" s="14"/>
      <c r="N3931" s="14"/>
      <c r="O3931" s="14"/>
      <c r="P3931" s="14"/>
      <c r="Q3931" s="14"/>
      <c r="R3931" s="14"/>
      <c r="S3931" s="14"/>
      <c r="T3931" s="14"/>
      <c r="U3931" s="14"/>
      <c r="V3931" s="14"/>
      <c r="W3931" s="14"/>
      <c r="X3931" s="14"/>
      <c r="Y3931" s="14"/>
      <c r="Z3931" s="14"/>
      <c r="AA3931" s="14"/>
      <c r="AB3931" s="14"/>
      <c r="AC3931" s="14"/>
      <c r="AD3931" s="14"/>
      <c r="AE3931" s="14"/>
      <c r="AF3931" s="14"/>
      <c r="AG3931" s="14"/>
      <c r="AH3931" s="14"/>
      <c r="AI3931" s="14"/>
      <c r="AJ3931" s="14"/>
      <c r="AK3931" s="14"/>
      <c r="AL3931" s="14"/>
    </row>
    <row r="3932" spans="1:38">
      <c r="A3932" s="9"/>
      <c r="B3932" s="9"/>
      <c r="C3932" s="9"/>
      <c r="D3932" s="9"/>
      <c r="E3932" s="9"/>
      <c r="F3932" s="9"/>
      <c r="G3932" s="9"/>
      <c r="H3932" s="9"/>
      <c r="I3932" s="9"/>
      <c r="J3932" s="9"/>
      <c r="K3932" s="9"/>
      <c r="L3932" s="9"/>
      <c r="M3932" s="9"/>
      <c r="N3932" s="9"/>
      <c r="O3932" s="9"/>
      <c r="P3932" s="9"/>
      <c r="Q3932" s="9"/>
      <c r="R3932" s="9"/>
      <c r="S3932" s="9"/>
      <c r="T3932" s="9"/>
      <c r="U3932" s="9"/>
      <c r="V3932" s="9"/>
      <c r="W3932" s="9"/>
      <c r="X3932" s="9"/>
      <c r="Y3932" s="9"/>
      <c r="Z3932" s="9"/>
      <c r="AA3932" s="9"/>
      <c r="AB3932" s="9"/>
      <c r="AC3932" s="9"/>
      <c r="AD3932" s="9"/>
      <c r="AE3932" s="9"/>
      <c r="AF3932" s="9"/>
      <c r="AG3932" s="9"/>
      <c r="AH3932" s="9"/>
      <c r="AI3932" s="9"/>
      <c r="AJ3932" s="9"/>
      <c r="AK3932" s="9"/>
      <c r="AL3932" s="9"/>
    </row>
    <row r="3933" spans="1:38">
      <c r="A3933" s="10"/>
      <c r="B3933" s="10"/>
      <c r="C3933" s="10"/>
      <c r="D3933" s="10"/>
      <c r="E3933" s="10"/>
      <c r="F3933" s="10"/>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row>
    <row r="3934" spans="1:38">
      <c r="A3934" s="10"/>
      <c r="B3934" s="10"/>
      <c r="C3934" s="10"/>
      <c r="D3934" s="10"/>
      <c r="E3934" s="10"/>
      <c r="F3934" s="10"/>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0"/>
      <c r="AH3934" s="10"/>
      <c r="AI3934" s="10"/>
      <c r="AJ3934" s="10"/>
      <c r="AK3934" s="10"/>
      <c r="AL3934" s="10"/>
    </row>
    <row r="3935" spans="1:38">
      <c r="A3935" s="10"/>
      <c r="B3935" s="10"/>
      <c r="C3935" s="10"/>
      <c r="D3935" s="10"/>
      <c r="E3935" s="10"/>
      <c r="F3935" s="10"/>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row>
    <row r="3936" spans="1:38">
      <c r="A3936" s="10"/>
      <c r="B3936" s="10"/>
      <c r="C3936" s="10"/>
      <c r="D3936" s="10"/>
      <c r="E3936" s="10"/>
      <c r="F3936" s="10"/>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0"/>
      <c r="AH3936" s="10"/>
      <c r="AI3936" s="10"/>
      <c r="AJ3936" s="10"/>
      <c r="AK3936" s="10"/>
      <c r="AL3936" s="10"/>
    </row>
    <row r="3937" spans="1:38">
      <c r="A3937" s="10"/>
      <c r="B3937" s="10"/>
      <c r="C3937" s="10"/>
      <c r="D3937" s="10"/>
      <c r="E3937" s="10"/>
      <c r="F3937" s="10"/>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row>
    <row r="3938" spans="1:38">
      <c r="A3938" s="10"/>
      <c r="B3938" s="10"/>
      <c r="C3938" s="10"/>
      <c r="D3938" s="10"/>
      <c r="E3938" s="10"/>
      <c r="F3938" s="10"/>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0"/>
      <c r="AH3938" s="10"/>
      <c r="AI3938" s="10"/>
      <c r="AJ3938" s="10"/>
      <c r="AK3938" s="10"/>
      <c r="AL3938" s="10"/>
    </row>
    <row r="3939" spans="1:38">
      <c r="A3939" s="10"/>
      <c r="B3939" s="10"/>
      <c r="C3939" s="10"/>
      <c r="D3939" s="10"/>
      <c r="E3939" s="10"/>
      <c r="F3939" s="10"/>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row>
    <row r="3940" spans="1:38">
      <c r="A3940" s="10"/>
      <c r="B3940" s="10"/>
      <c r="C3940" s="10"/>
      <c r="D3940" s="10"/>
      <c r="E3940" s="10"/>
      <c r="F3940" s="10"/>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0"/>
      <c r="AH3940" s="10"/>
      <c r="AI3940" s="10"/>
      <c r="AJ3940" s="10"/>
      <c r="AK3940" s="10"/>
      <c r="AL3940" s="10"/>
    </row>
    <row r="3941" spans="1:38">
      <c r="A3941" s="10"/>
      <c r="B3941" s="10"/>
      <c r="C3941" s="10"/>
      <c r="D3941" s="10"/>
      <c r="E3941" s="10"/>
      <c r="F3941" s="10"/>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row>
    <row r="3942" spans="1:38">
      <c r="A3942" s="10"/>
      <c r="B3942" s="10"/>
      <c r="C3942" s="10"/>
      <c r="D3942" s="10"/>
      <c r="E3942" s="10"/>
      <c r="F3942" s="10"/>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0"/>
      <c r="AH3942" s="10"/>
      <c r="AI3942" s="10"/>
      <c r="AJ3942" s="10"/>
      <c r="AK3942" s="10"/>
      <c r="AL3942" s="10"/>
    </row>
    <row r="3943" spans="1:38">
      <c r="A3943" s="10"/>
      <c r="B3943" s="10"/>
      <c r="C3943" s="10"/>
      <c r="D3943" s="10"/>
      <c r="E3943" s="10"/>
      <c r="F3943" s="10"/>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row>
    <row r="3944" spans="1:38">
      <c r="A3944" s="11"/>
      <c r="B3944" s="11"/>
      <c r="C3944" s="11"/>
      <c r="D3944" s="11"/>
      <c r="E3944" s="11"/>
      <c r="F3944" s="11"/>
      <c r="G3944" s="11"/>
      <c r="H3944" s="11"/>
      <c r="I3944" s="11"/>
      <c r="J3944" s="11"/>
      <c r="K3944" s="11"/>
      <c r="L3944" s="11"/>
      <c r="M3944" s="11"/>
      <c r="N3944" s="11"/>
      <c r="O3944" s="11"/>
      <c r="P3944" s="11"/>
      <c r="Q3944" s="11"/>
      <c r="R3944" s="11"/>
      <c r="S3944" s="11"/>
      <c r="T3944" s="11"/>
      <c r="U3944" s="11"/>
      <c r="V3944" s="11"/>
      <c r="W3944" s="11"/>
      <c r="X3944" s="11"/>
      <c r="Y3944" s="11"/>
      <c r="Z3944" s="11"/>
      <c r="AA3944" s="11"/>
      <c r="AB3944" s="11"/>
      <c r="AC3944" s="11"/>
      <c r="AD3944" s="11"/>
      <c r="AE3944" s="11"/>
      <c r="AF3944" s="11"/>
      <c r="AG3944" s="11"/>
      <c r="AH3944" s="11"/>
      <c r="AI3944" s="11"/>
      <c r="AJ3944" s="11"/>
      <c r="AK3944" s="11"/>
      <c r="AL3944" s="11"/>
    </row>
    <row r="3963" spans="1:38">
      <c r="A3963" s="14"/>
      <c r="B3963" s="14"/>
      <c r="C3963" s="14"/>
      <c r="D3963" s="14"/>
      <c r="E3963" s="14"/>
      <c r="F3963" s="14"/>
      <c r="G3963" s="14"/>
      <c r="H3963" s="14"/>
      <c r="I3963" s="14"/>
      <c r="J3963" s="14"/>
      <c r="K3963" s="14"/>
      <c r="L3963" s="14"/>
      <c r="M3963" s="14"/>
      <c r="N3963" s="14"/>
      <c r="O3963" s="14"/>
      <c r="P3963" s="14"/>
      <c r="Q3963" s="14"/>
      <c r="R3963" s="14"/>
      <c r="S3963" s="14"/>
      <c r="T3963" s="14"/>
      <c r="U3963" s="14"/>
      <c r="V3963" s="14"/>
      <c r="W3963" s="14"/>
      <c r="X3963" s="14"/>
      <c r="Y3963" s="14"/>
      <c r="Z3963" s="14"/>
      <c r="AA3963" s="14"/>
      <c r="AB3963" s="14"/>
      <c r="AC3963" s="14"/>
      <c r="AD3963" s="14"/>
      <c r="AE3963" s="14"/>
      <c r="AF3963" s="14"/>
      <c r="AG3963" s="14"/>
      <c r="AH3963" s="14"/>
      <c r="AI3963" s="14"/>
      <c r="AJ3963" s="14"/>
      <c r="AK3963" s="14"/>
      <c r="AL3963" s="14"/>
    </row>
    <row r="3964" spans="1:38">
      <c r="A3964" s="9"/>
      <c r="B3964" s="9"/>
      <c r="C3964" s="9"/>
      <c r="D3964" s="9"/>
      <c r="E3964" s="9"/>
      <c r="F3964" s="9"/>
      <c r="G3964" s="9"/>
      <c r="H3964" s="9"/>
      <c r="I3964" s="9"/>
      <c r="J3964" s="9"/>
      <c r="K3964" s="9"/>
      <c r="L3964" s="9"/>
      <c r="M3964" s="9"/>
      <c r="N3964" s="9"/>
      <c r="O3964" s="9"/>
      <c r="P3964" s="9"/>
      <c r="Q3964" s="9"/>
      <c r="R3964" s="9"/>
      <c r="S3964" s="9"/>
      <c r="T3964" s="9"/>
      <c r="U3964" s="9"/>
      <c r="V3964" s="9"/>
      <c r="W3964" s="9"/>
      <c r="X3964" s="9"/>
      <c r="Y3964" s="9"/>
      <c r="Z3964" s="9"/>
      <c r="AA3964" s="9"/>
      <c r="AB3964" s="9"/>
      <c r="AC3964" s="9"/>
      <c r="AD3964" s="9"/>
      <c r="AE3964" s="9"/>
      <c r="AF3964" s="9"/>
      <c r="AG3964" s="9"/>
      <c r="AH3964" s="9"/>
      <c r="AI3964" s="9"/>
      <c r="AJ3964" s="9"/>
      <c r="AK3964" s="9"/>
      <c r="AL3964" s="9"/>
    </row>
    <row r="3965" spans="1:38">
      <c r="A3965" s="10"/>
      <c r="B3965" s="10"/>
      <c r="C3965" s="10"/>
      <c r="D3965" s="10"/>
      <c r="E3965" s="10"/>
      <c r="F3965" s="10"/>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row>
    <row r="3966" spans="1:38">
      <c r="A3966" s="10"/>
      <c r="B3966" s="10"/>
      <c r="C3966" s="10"/>
      <c r="D3966" s="10"/>
      <c r="E3966" s="10"/>
      <c r="F3966" s="10"/>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0"/>
      <c r="AH3966" s="10"/>
      <c r="AI3966" s="10"/>
      <c r="AJ3966" s="10"/>
      <c r="AK3966" s="10"/>
      <c r="AL3966" s="10"/>
    </row>
    <row r="3967" spans="1:38">
      <c r="A3967" s="10"/>
      <c r="B3967" s="10"/>
      <c r="C3967" s="10"/>
      <c r="D3967" s="10"/>
      <c r="E3967" s="10"/>
      <c r="F3967" s="10"/>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row>
    <row r="3968" spans="1:38">
      <c r="A3968" s="10"/>
      <c r="B3968" s="10"/>
      <c r="C3968" s="10"/>
      <c r="D3968" s="10"/>
      <c r="E3968" s="10"/>
      <c r="F3968" s="10"/>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0"/>
      <c r="AH3968" s="10"/>
      <c r="AI3968" s="10"/>
      <c r="AJ3968" s="10"/>
      <c r="AK3968" s="10"/>
      <c r="AL3968" s="10"/>
    </row>
    <row r="3969" spans="1:38">
      <c r="A3969" s="10"/>
      <c r="B3969" s="10"/>
      <c r="C3969" s="10"/>
      <c r="D3969" s="10"/>
      <c r="E3969" s="10"/>
      <c r="F3969" s="10"/>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row>
    <row r="3970" spans="1:38">
      <c r="A3970" s="10"/>
      <c r="B3970" s="10"/>
      <c r="C3970" s="10"/>
      <c r="D3970" s="10"/>
      <c r="E3970" s="10"/>
      <c r="F3970" s="10"/>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0"/>
      <c r="AH3970" s="10"/>
      <c r="AI3970" s="10"/>
      <c r="AJ3970" s="10"/>
      <c r="AK3970" s="10"/>
      <c r="AL3970" s="10"/>
    </row>
    <row r="3971" spans="1:38">
      <c r="A3971" s="10"/>
      <c r="B3971" s="10"/>
      <c r="C3971" s="10"/>
      <c r="D3971" s="10"/>
      <c r="E3971" s="10"/>
      <c r="F3971" s="10"/>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row>
    <row r="3972" spans="1:38">
      <c r="A3972" s="10"/>
      <c r="B3972" s="10"/>
      <c r="C3972" s="10"/>
      <c r="D3972" s="10"/>
      <c r="E3972" s="10"/>
      <c r="F3972" s="10"/>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0"/>
      <c r="AH3972" s="10"/>
      <c r="AI3972" s="10"/>
      <c r="AJ3972" s="10"/>
      <c r="AK3972" s="10"/>
      <c r="AL3972" s="10"/>
    </row>
    <row r="3973" spans="1:38">
      <c r="A3973" s="10"/>
      <c r="B3973" s="10"/>
      <c r="C3973" s="10"/>
      <c r="D3973" s="10"/>
      <c r="E3973" s="10"/>
      <c r="F3973" s="10"/>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row>
    <row r="3974" spans="1:38">
      <c r="A3974" s="10"/>
      <c r="B3974" s="10"/>
      <c r="C3974" s="10"/>
      <c r="D3974" s="10"/>
      <c r="E3974" s="10"/>
      <c r="F3974" s="10"/>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0"/>
      <c r="AH3974" s="10"/>
      <c r="AI3974" s="10"/>
      <c r="AJ3974" s="10"/>
      <c r="AK3974" s="10"/>
      <c r="AL3974" s="10"/>
    </row>
    <row r="3975" spans="1:38">
      <c r="A3975" s="9"/>
      <c r="B3975" s="9"/>
      <c r="C3975" s="9"/>
      <c r="D3975" s="9"/>
      <c r="E3975" s="9"/>
      <c r="F3975" s="9"/>
      <c r="G3975" s="9"/>
      <c r="H3975" s="9"/>
      <c r="I3975" s="9"/>
      <c r="J3975" s="9"/>
      <c r="K3975" s="9"/>
      <c r="L3975" s="9"/>
      <c r="M3975" s="9"/>
      <c r="N3975" s="9"/>
      <c r="O3975" s="9"/>
      <c r="P3975" s="9"/>
      <c r="Q3975" s="9"/>
      <c r="R3975" s="9"/>
      <c r="S3975" s="9"/>
      <c r="T3975" s="9"/>
      <c r="U3975" s="9"/>
      <c r="V3975" s="9"/>
      <c r="W3975" s="9"/>
      <c r="X3975" s="9"/>
      <c r="Y3975" s="9"/>
      <c r="Z3975" s="9"/>
      <c r="AA3975" s="9"/>
      <c r="AB3975" s="9"/>
      <c r="AC3975" s="9"/>
      <c r="AD3975" s="9"/>
      <c r="AE3975" s="9"/>
      <c r="AF3975" s="9"/>
      <c r="AG3975" s="9"/>
      <c r="AH3975" s="9"/>
      <c r="AI3975" s="9"/>
      <c r="AJ3975" s="9"/>
      <c r="AK3975" s="9"/>
      <c r="AL3975" s="9"/>
    </row>
    <row r="3976" spans="1:38">
      <c r="A3976" s="11"/>
      <c r="B3976" s="11"/>
      <c r="C3976" s="11"/>
      <c r="D3976" s="11"/>
      <c r="E3976" s="11"/>
      <c r="F3976" s="11"/>
      <c r="G3976" s="11"/>
      <c r="H3976" s="11"/>
      <c r="I3976" s="11"/>
      <c r="J3976" s="11"/>
      <c r="K3976" s="11"/>
      <c r="L3976" s="11"/>
      <c r="M3976" s="11"/>
      <c r="N3976" s="11"/>
      <c r="O3976" s="11"/>
      <c r="P3976" s="11"/>
      <c r="Q3976" s="11"/>
      <c r="R3976" s="11"/>
      <c r="S3976" s="11"/>
      <c r="T3976" s="11"/>
      <c r="U3976" s="11"/>
      <c r="V3976" s="11"/>
      <c r="W3976" s="11"/>
      <c r="X3976" s="11"/>
      <c r="Y3976" s="11"/>
      <c r="Z3976" s="11"/>
      <c r="AA3976" s="11"/>
      <c r="AB3976" s="11"/>
      <c r="AC3976" s="11"/>
      <c r="AD3976" s="11"/>
      <c r="AE3976" s="11"/>
      <c r="AF3976" s="11"/>
      <c r="AG3976" s="11"/>
      <c r="AH3976" s="11"/>
      <c r="AI3976" s="11"/>
      <c r="AJ3976" s="11"/>
      <c r="AK3976" s="11"/>
      <c r="AL3976" s="11"/>
    </row>
    <row r="3983" spans="1:38">
      <c r="A3983" s="14"/>
      <c r="B3983" s="14"/>
      <c r="C3983" s="14"/>
      <c r="D3983" s="14"/>
      <c r="E3983" s="14"/>
      <c r="F3983" s="14"/>
      <c r="G3983" s="14"/>
      <c r="H3983" s="14"/>
      <c r="I3983" s="14"/>
      <c r="J3983" s="14"/>
      <c r="K3983" s="14"/>
      <c r="L3983" s="14"/>
      <c r="M3983" s="14"/>
      <c r="N3983" s="14"/>
      <c r="O3983" s="14"/>
      <c r="P3983" s="14"/>
      <c r="Q3983" s="14"/>
      <c r="R3983" s="14"/>
      <c r="S3983" s="14"/>
      <c r="T3983" s="14"/>
      <c r="U3983" s="14"/>
      <c r="V3983" s="14"/>
      <c r="W3983" s="14"/>
      <c r="X3983" s="14"/>
      <c r="Y3983" s="14"/>
      <c r="Z3983" s="14"/>
      <c r="AA3983" s="14"/>
      <c r="AB3983" s="14"/>
      <c r="AC3983" s="14"/>
      <c r="AD3983" s="14"/>
      <c r="AE3983" s="14"/>
      <c r="AF3983" s="14"/>
      <c r="AG3983" s="14"/>
      <c r="AH3983" s="14"/>
      <c r="AI3983" s="14"/>
      <c r="AJ3983" s="14"/>
      <c r="AK3983" s="14"/>
      <c r="AL3983" s="14"/>
    </row>
    <row r="3984" spans="1:38">
      <c r="A3984" s="9"/>
      <c r="B3984" s="9"/>
      <c r="C3984" s="9"/>
      <c r="D3984" s="9"/>
      <c r="E3984" s="9"/>
      <c r="F3984" s="9"/>
      <c r="G3984" s="9"/>
      <c r="H3984" s="9"/>
      <c r="I3984" s="9"/>
      <c r="J3984" s="9"/>
      <c r="K3984" s="9"/>
      <c r="L3984" s="9"/>
      <c r="M3984" s="9"/>
      <c r="N3984" s="9"/>
      <c r="O3984" s="9"/>
      <c r="P3984" s="9"/>
      <c r="Q3984" s="9"/>
      <c r="R3984" s="9"/>
      <c r="S3984" s="9"/>
      <c r="T3984" s="9"/>
      <c r="U3984" s="9"/>
      <c r="V3984" s="9"/>
      <c r="W3984" s="9"/>
      <c r="X3984" s="9"/>
      <c r="Y3984" s="9"/>
      <c r="Z3984" s="9"/>
      <c r="AA3984" s="9"/>
      <c r="AB3984" s="9"/>
      <c r="AC3984" s="9"/>
      <c r="AD3984" s="9"/>
      <c r="AE3984" s="9"/>
      <c r="AF3984" s="9"/>
      <c r="AG3984" s="9"/>
      <c r="AH3984" s="9"/>
      <c r="AI3984" s="9"/>
      <c r="AJ3984" s="9"/>
      <c r="AK3984" s="9"/>
      <c r="AL3984" s="9"/>
    </row>
    <row r="3985" spans="1:38">
      <c r="A3985" s="10"/>
      <c r="B3985" s="10"/>
      <c r="C3985" s="10"/>
      <c r="D3985" s="10"/>
      <c r="E3985" s="10"/>
      <c r="F3985" s="10"/>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row>
    <row r="3986" spans="1:38">
      <c r="A3986" s="10"/>
      <c r="B3986" s="10"/>
      <c r="C3986" s="10"/>
      <c r="D3986" s="10"/>
      <c r="E3986" s="10"/>
      <c r="F3986" s="10"/>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0"/>
      <c r="AH3986" s="10"/>
      <c r="AI3986" s="10"/>
      <c r="AJ3986" s="10"/>
      <c r="AK3986" s="10"/>
      <c r="AL3986" s="10"/>
    </row>
    <row r="3987" spans="1:38">
      <c r="A3987" s="10"/>
      <c r="B3987" s="10"/>
      <c r="C3987" s="10"/>
      <c r="D3987" s="10"/>
      <c r="E3987" s="10"/>
      <c r="F3987" s="10"/>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row>
    <row r="3988" spans="1:38">
      <c r="A3988" s="10"/>
      <c r="B3988" s="10"/>
      <c r="C3988" s="10"/>
      <c r="D3988" s="10"/>
      <c r="E3988" s="10"/>
      <c r="F3988" s="10"/>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0"/>
      <c r="AH3988" s="10"/>
      <c r="AI3988" s="10"/>
      <c r="AJ3988" s="10"/>
      <c r="AK3988" s="10"/>
      <c r="AL3988" s="10"/>
    </row>
    <row r="3989" spans="1:38">
      <c r="A3989" s="10"/>
      <c r="B3989" s="10"/>
      <c r="C3989" s="10"/>
      <c r="D3989" s="10"/>
      <c r="E3989" s="10"/>
      <c r="F3989" s="10"/>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row>
    <row r="3990" spans="1:38">
      <c r="A3990" s="10"/>
      <c r="B3990" s="10"/>
      <c r="C3990" s="10"/>
      <c r="D3990" s="10"/>
      <c r="E3990" s="10"/>
      <c r="F3990" s="10"/>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0"/>
      <c r="AH3990" s="10"/>
      <c r="AI3990" s="10"/>
      <c r="AJ3990" s="10"/>
      <c r="AK3990" s="10"/>
      <c r="AL3990" s="10"/>
    </row>
    <row r="3991" spans="1:38">
      <c r="A3991" s="10"/>
      <c r="B3991" s="10"/>
      <c r="C3991" s="10"/>
      <c r="D3991" s="10"/>
      <c r="E3991" s="10"/>
      <c r="F3991" s="10"/>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row>
    <row r="3992" spans="1:38">
      <c r="A3992" s="10"/>
      <c r="B3992" s="10"/>
      <c r="C3992" s="10"/>
      <c r="D3992" s="10"/>
      <c r="E3992" s="10"/>
      <c r="F3992" s="10"/>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0"/>
      <c r="AH3992" s="10"/>
      <c r="AI3992" s="10"/>
      <c r="AJ3992" s="10"/>
      <c r="AK3992" s="10"/>
      <c r="AL3992" s="10"/>
    </row>
    <row r="3993" spans="1:38">
      <c r="A3993" s="10"/>
      <c r="B3993" s="10"/>
      <c r="C3993" s="10"/>
      <c r="D3993" s="10"/>
      <c r="E3993" s="10"/>
      <c r="F3993" s="10"/>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row>
    <row r="3994" spans="1:38">
      <c r="A3994" s="10"/>
      <c r="B3994" s="10"/>
      <c r="C3994" s="10"/>
      <c r="D3994" s="10"/>
      <c r="E3994" s="10"/>
      <c r="F3994" s="10"/>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0"/>
      <c r="AH3994" s="10"/>
      <c r="AI3994" s="10"/>
      <c r="AJ3994" s="10"/>
      <c r="AK3994" s="10"/>
      <c r="AL3994" s="10"/>
    </row>
    <row r="3995" spans="1:38">
      <c r="A3995" s="10"/>
      <c r="B3995" s="10"/>
      <c r="C3995" s="10"/>
      <c r="D3995" s="10"/>
      <c r="E3995" s="10"/>
      <c r="F3995" s="10"/>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row>
    <row r="3996" spans="1:38">
      <c r="A3996" s="11"/>
      <c r="B3996" s="11"/>
      <c r="C3996" s="11"/>
      <c r="D3996" s="11"/>
      <c r="E3996" s="11"/>
      <c r="F3996" s="11"/>
      <c r="G3996" s="11"/>
      <c r="H3996" s="11"/>
      <c r="I3996" s="11"/>
      <c r="J3996" s="11"/>
      <c r="K3996" s="11"/>
      <c r="L3996" s="11"/>
      <c r="M3996" s="11"/>
      <c r="N3996" s="11"/>
      <c r="O3996" s="11"/>
      <c r="P3996" s="11"/>
      <c r="Q3996" s="11"/>
      <c r="R3996" s="11"/>
      <c r="S3996" s="11"/>
      <c r="T3996" s="11"/>
      <c r="U3996" s="11"/>
      <c r="V3996" s="11"/>
      <c r="W3996" s="11"/>
      <c r="X3996" s="11"/>
      <c r="Y3996" s="11"/>
      <c r="Z3996" s="11"/>
      <c r="AA3996" s="11"/>
      <c r="AB3996" s="11"/>
      <c r="AC3996" s="11"/>
      <c r="AD3996" s="11"/>
      <c r="AE3996" s="11"/>
      <c r="AF3996" s="11"/>
      <c r="AG3996" s="11"/>
      <c r="AH3996" s="11"/>
      <c r="AI3996" s="11"/>
      <c r="AJ3996" s="11"/>
      <c r="AK3996" s="11"/>
      <c r="AL3996" s="11"/>
    </row>
    <row r="4011" spans="1:38">
      <c r="A4011" s="14"/>
      <c r="B4011" s="14"/>
      <c r="C4011" s="14"/>
      <c r="D4011" s="14"/>
      <c r="E4011" s="14"/>
      <c r="F4011" s="14"/>
      <c r="G4011" s="14"/>
      <c r="H4011" s="14"/>
      <c r="I4011" s="14"/>
      <c r="J4011" s="14"/>
      <c r="K4011" s="14"/>
      <c r="L4011" s="14"/>
      <c r="M4011" s="14"/>
      <c r="N4011" s="14"/>
      <c r="O4011" s="14"/>
      <c r="P4011" s="14"/>
      <c r="Q4011" s="14"/>
      <c r="R4011" s="14"/>
      <c r="S4011" s="14"/>
      <c r="T4011" s="14"/>
      <c r="U4011" s="14"/>
      <c r="V4011" s="14"/>
      <c r="W4011" s="14"/>
      <c r="X4011" s="14"/>
      <c r="Y4011" s="14"/>
      <c r="Z4011" s="14"/>
      <c r="AA4011" s="14"/>
      <c r="AB4011" s="14"/>
      <c r="AC4011" s="14"/>
      <c r="AD4011" s="14"/>
      <c r="AE4011" s="14"/>
      <c r="AF4011" s="14"/>
      <c r="AG4011" s="14"/>
      <c r="AH4011" s="14"/>
      <c r="AI4011" s="14"/>
      <c r="AJ4011" s="14"/>
      <c r="AK4011" s="14"/>
      <c r="AL4011" s="14"/>
    </row>
    <row r="4012" spans="1:38">
      <c r="A4012" s="9"/>
      <c r="B4012" s="9"/>
      <c r="C4012" s="9"/>
      <c r="D4012" s="9"/>
      <c r="E4012" s="9"/>
      <c r="F4012" s="9"/>
      <c r="G4012" s="9"/>
      <c r="H4012" s="9"/>
      <c r="I4012" s="9"/>
      <c r="J4012" s="9"/>
      <c r="K4012" s="9"/>
      <c r="L4012" s="9"/>
      <c r="M4012" s="9"/>
      <c r="N4012" s="9"/>
      <c r="O4012" s="9"/>
      <c r="P4012" s="9"/>
      <c r="Q4012" s="9"/>
      <c r="R4012" s="9"/>
      <c r="S4012" s="9"/>
      <c r="T4012" s="9"/>
      <c r="U4012" s="9"/>
      <c r="V4012" s="9"/>
      <c r="W4012" s="9"/>
      <c r="X4012" s="9"/>
      <c r="Y4012" s="9"/>
      <c r="Z4012" s="9"/>
      <c r="AA4012" s="9"/>
      <c r="AB4012" s="9"/>
      <c r="AC4012" s="9"/>
      <c r="AD4012" s="9"/>
      <c r="AE4012" s="9"/>
      <c r="AF4012" s="9"/>
      <c r="AG4012" s="9"/>
      <c r="AH4012" s="9"/>
      <c r="AI4012" s="9"/>
      <c r="AJ4012" s="9"/>
      <c r="AK4012" s="9"/>
      <c r="AL4012" s="9"/>
    </row>
    <row r="4013" spans="1:38">
      <c r="A4013" s="10"/>
      <c r="B4013" s="10"/>
      <c r="C4013" s="10"/>
      <c r="D4013" s="10"/>
      <c r="E4013" s="10"/>
      <c r="F4013" s="10"/>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row>
    <row r="4014" spans="1:38">
      <c r="A4014" s="10"/>
      <c r="B4014" s="10"/>
      <c r="C4014" s="10"/>
      <c r="D4014" s="10"/>
      <c r="E4014" s="10"/>
      <c r="F4014" s="10"/>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0"/>
      <c r="AH4014" s="10"/>
      <c r="AI4014" s="10"/>
      <c r="AJ4014" s="10"/>
      <c r="AK4014" s="10"/>
      <c r="AL4014" s="10"/>
    </row>
    <row r="4015" spans="1:38">
      <c r="A4015" s="10"/>
      <c r="B4015" s="10"/>
      <c r="C4015" s="10"/>
      <c r="D4015" s="10"/>
      <c r="E4015" s="10"/>
      <c r="F4015" s="10"/>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row>
    <row r="4016" spans="1:38">
      <c r="A4016" s="10"/>
      <c r="B4016" s="10"/>
      <c r="C4016" s="10"/>
      <c r="D4016" s="10"/>
      <c r="E4016" s="10"/>
      <c r="F4016" s="10"/>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0"/>
      <c r="AH4016" s="10"/>
      <c r="AI4016" s="10"/>
      <c r="AJ4016" s="10"/>
      <c r="AK4016" s="10"/>
      <c r="AL4016" s="10"/>
    </row>
    <row r="4017" spans="1:38">
      <c r="A4017" s="10"/>
      <c r="B4017" s="10"/>
      <c r="C4017" s="10"/>
      <c r="D4017" s="10"/>
      <c r="E4017" s="10"/>
      <c r="F4017" s="10"/>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row>
    <row r="4018" spans="1:38">
      <c r="A4018" s="10"/>
      <c r="B4018" s="10"/>
      <c r="C4018" s="10"/>
      <c r="D4018" s="10"/>
      <c r="E4018" s="10"/>
      <c r="F4018" s="10"/>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0"/>
      <c r="AH4018" s="10"/>
      <c r="AI4018" s="10"/>
      <c r="AJ4018" s="10"/>
      <c r="AK4018" s="10"/>
      <c r="AL4018" s="10"/>
    </row>
    <row r="4019" spans="1:38">
      <c r="A4019" s="10"/>
      <c r="B4019" s="10"/>
      <c r="C4019" s="10"/>
      <c r="D4019" s="10"/>
      <c r="E4019" s="10"/>
      <c r="F4019" s="10"/>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row>
    <row r="4020" spans="1:38">
      <c r="A4020" s="10"/>
      <c r="B4020" s="10"/>
      <c r="C4020" s="10"/>
      <c r="D4020" s="10"/>
      <c r="E4020" s="10"/>
      <c r="F4020" s="10"/>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0"/>
      <c r="AH4020" s="10"/>
      <c r="AI4020" s="10"/>
      <c r="AJ4020" s="10"/>
      <c r="AK4020" s="10"/>
      <c r="AL4020" s="10"/>
    </row>
    <row r="4021" spans="1:38">
      <c r="A4021" s="10"/>
      <c r="B4021" s="10"/>
      <c r="C4021" s="10"/>
      <c r="D4021" s="10"/>
      <c r="E4021" s="10"/>
      <c r="F4021" s="10"/>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row>
    <row r="4022" spans="1:38">
      <c r="A4022" s="10"/>
      <c r="B4022" s="10"/>
      <c r="C4022" s="10"/>
      <c r="D4022" s="10"/>
      <c r="E4022" s="10"/>
      <c r="F4022" s="10"/>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0"/>
      <c r="AH4022" s="10"/>
      <c r="AI4022" s="10"/>
      <c r="AJ4022" s="10"/>
      <c r="AK4022" s="10"/>
      <c r="AL4022" s="10"/>
    </row>
    <row r="4023" spans="1:38">
      <c r="A4023" s="10"/>
      <c r="B4023" s="10"/>
      <c r="C4023" s="10"/>
      <c r="D4023" s="10"/>
      <c r="E4023" s="10"/>
      <c r="F4023" s="10"/>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row>
    <row r="4024" spans="1:38">
      <c r="A4024" s="11"/>
      <c r="B4024" s="11"/>
      <c r="C4024" s="11"/>
      <c r="D4024" s="11"/>
      <c r="E4024" s="11"/>
      <c r="F4024" s="11"/>
      <c r="G4024" s="11"/>
      <c r="H4024" s="11"/>
      <c r="I4024" s="11"/>
      <c r="J4024" s="11"/>
      <c r="K4024" s="11"/>
      <c r="L4024" s="11"/>
      <c r="M4024" s="11"/>
      <c r="N4024" s="11"/>
      <c r="O4024" s="11"/>
      <c r="P4024" s="11"/>
      <c r="Q4024" s="11"/>
      <c r="R4024" s="11"/>
      <c r="S4024" s="11"/>
      <c r="T4024" s="11"/>
      <c r="U4024" s="11"/>
      <c r="V4024" s="11"/>
      <c r="W4024" s="11"/>
      <c r="X4024" s="11"/>
      <c r="Y4024" s="11"/>
      <c r="Z4024" s="11"/>
      <c r="AA4024" s="11"/>
      <c r="AB4024" s="11"/>
      <c r="AC4024" s="11"/>
      <c r="AD4024" s="11"/>
      <c r="AE4024" s="11"/>
      <c r="AF4024" s="11"/>
      <c r="AG4024" s="11"/>
      <c r="AH4024" s="11"/>
      <c r="AI4024" s="11"/>
      <c r="AJ4024" s="11"/>
      <c r="AK4024" s="11"/>
      <c r="AL4024" s="11"/>
    </row>
    <row r="4036" spans="1:38">
      <c r="A4036" s="14"/>
      <c r="B4036" s="14"/>
      <c r="C4036" s="14"/>
      <c r="D4036" s="14"/>
      <c r="E4036" s="14"/>
      <c r="F4036" s="14"/>
      <c r="G4036" s="14"/>
      <c r="H4036" s="14"/>
      <c r="I4036" s="14"/>
      <c r="J4036" s="14"/>
      <c r="K4036" s="14"/>
      <c r="L4036" s="14"/>
      <c r="M4036" s="14"/>
      <c r="N4036" s="14"/>
      <c r="O4036" s="14"/>
      <c r="P4036" s="14"/>
      <c r="Q4036" s="14"/>
      <c r="R4036" s="14"/>
      <c r="S4036" s="14"/>
      <c r="T4036" s="14"/>
      <c r="U4036" s="14"/>
      <c r="V4036" s="14"/>
      <c r="W4036" s="14"/>
      <c r="X4036" s="14"/>
      <c r="Y4036" s="14"/>
      <c r="Z4036" s="14"/>
      <c r="AA4036" s="14"/>
      <c r="AB4036" s="14"/>
      <c r="AC4036" s="14"/>
      <c r="AD4036" s="14"/>
      <c r="AE4036" s="14"/>
      <c r="AF4036" s="14"/>
      <c r="AG4036" s="14"/>
      <c r="AH4036" s="14"/>
      <c r="AI4036" s="14"/>
      <c r="AJ4036" s="14"/>
      <c r="AK4036" s="14"/>
      <c r="AL4036" s="14"/>
    </row>
    <row r="4037" spans="1:38">
      <c r="A4037" s="9"/>
      <c r="B4037" s="9"/>
      <c r="C4037" s="9"/>
      <c r="D4037" s="9"/>
      <c r="E4037" s="9"/>
      <c r="F4037" s="9"/>
      <c r="G4037" s="9"/>
      <c r="H4037" s="9"/>
      <c r="I4037" s="9"/>
      <c r="J4037" s="9"/>
      <c r="K4037" s="9"/>
      <c r="L4037" s="9"/>
      <c r="M4037" s="9"/>
      <c r="N4037" s="9"/>
      <c r="O4037" s="9"/>
      <c r="P4037" s="9"/>
      <c r="Q4037" s="9"/>
      <c r="R4037" s="9"/>
      <c r="S4037" s="9"/>
      <c r="T4037" s="9"/>
      <c r="U4037" s="9"/>
      <c r="V4037" s="9"/>
      <c r="W4037" s="9"/>
      <c r="X4037" s="9"/>
      <c r="Y4037" s="9"/>
      <c r="Z4037" s="9"/>
      <c r="AA4037" s="9"/>
      <c r="AB4037" s="9"/>
      <c r="AC4037" s="9"/>
      <c r="AD4037" s="9"/>
      <c r="AE4037" s="9"/>
      <c r="AF4037" s="9"/>
      <c r="AG4037" s="9"/>
      <c r="AH4037" s="9"/>
      <c r="AI4037" s="9"/>
      <c r="AJ4037" s="9"/>
      <c r="AK4037" s="9"/>
      <c r="AL4037" s="9"/>
    </row>
    <row r="4038" spans="1:38">
      <c r="A4038" s="10"/>
      <c r="B4038" s="10"/>
      <c r="C4038" s="10"/>
      <c r="D4038" s="10"/>
      <c r="E4038" s="10"/>
      <c r="F4038" s="10"/>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0"/>
      <c r="AH4038" s="10"/>
      <c r="AI4038" s="10"/>
      <c r="AJ4038" s="10"/>
      <c r="AK4038" s="10"/>
      <c r="AL4038" s="10"/>
    </row>
    <row r="4039" spans="1:38">
      <c r="A4039" s="10"/>
      <c r="B4039" s="10"/>
      <c r="C4039" s="10"/>
      <c r="D4039" s="10"/>
      <c r="E4039" s="10"/>
      <c r="F4039" s="10"/>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row>
    <row r="4040" spans="1:38">
      <c r="A4040" s="10"/>
      <c r="B4040" s="10"/>
      <c r="C4040" s="10"/>
      <c r="D4040" s="10"/>
      <c r="E4040" s="10"/>
      <c r="F4040" s="10"/>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0"/>
      <c r="AH4040" s="10"/>
      <c r="AI4040" s="10"/>
      <c r="AJ4040" s="10"/>
      <c r="AK4040" s="10"/>
      <c r="AL4040" s="10"/>
    </row>
    <row r="4041" spans="1:38">
      <c r="A4041" s="10"/>
      <c r="B4041" s="10"/>
      <c r="C4041" s="10"/>
      <c r="D4041" s="10"/>
      <c r="E4041" s="10"/>
      <c r="F4041" s="10"/>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row>
    <row r="4042" spans="1:38">
      <c r="A4042" s="10"/>
      <c r="B4042" s="10"/>
      <c r="C4042" s="10"/>
      <c r="D4042" s="10"/>
      <c r="E4042" s="10"/>
      <c r="F4042" s="10"/>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0"/>
      <c r="AH4042" s="10"/>
      <c r="AI4042" s="10"/>
      <c r="AJ4042" s="10"/>
      <c r="AK4042" s="10"/>
      <c r="AL4042" s="10"/>
    </row>
    <row r="4043" spans="1:38">
      <c r="A4043" s="10"/>
      <c r="B4043" s="10"/>
      <c r="C4043" s="10"/>
      <c r="D4043" s="10"/>
      <c r="E4043" s="10"/>
      <c r="F4043" s="10"/>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row>
    <row r="4044" spans="1:38">
      <c r="A4044" s="10"/>
      <c r="B4044" s="10"/>
      <c r="C4044" s="10"/>
      <c r="D4044" s="10"/>
      <c r="E4044" s="10"/>
      <c r="F4044" s="10"/>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0"/>
      <c r="AH4044" s="10"/>
      <c r="AI4044" s="10"/>
      <c r="AJ4044" s="10"/>
      <c r="AK4044" s="10"/>
      <c r="AL4044" s="10"/>
    </row>
    <row r="4045" spans="1:38">
      <c r="A4045" s="10"/>
      <c r="B4045" s="10"/>
      <c r="C4045" s="10"/>
      <c r="D4045" s="10"/>
      <c r="E4045" s="10"/>
      <c r="F4045" s="10"/>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row>
    <row r="4046" spans="1:38">
      <c r="A4046" s="10"/>
      <c r="B4046" s="10"/>
      <c r="C4046" s="10"/>
      <c r="D4046" s="10"/>
      <c r="E4046" s="10"/>
      <c r="F4046" s="10"/>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0"/>
      <c r="AH4046" s="10"/>
      <c r="AI4046" s="10"/>
      <c r="AJ4046" s="10"/>
      <c r="AK4046" s="10"/>
      <c r="AL4046" s="10"/>
    </row>
    <row r="4047" spans="1:38">
      <c r="A4047" s="10"/>
      <c r="B4047" s="10"/>
      <c r="C4047" s="10"/>
      <c r="D4047" s="10"/>
      <c r="E4047" s="10"/>
      <c r="F4047" s="10"/>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row>
    <row r="4048" spans="1:38">
      <c r="A4048" s="9"/>
      <c r="B4048" s="9"/>
      <c r="C4048" s="9"/>
      <c r="D4048" s="9"/>
      <c r="E4048" s="9"/>
      <c r="F4048" s="9"/>
      <c r="G4048" s="9"/>
      <c r="H4048" s="9"/>
      <c r="I4048" s="9"/>
      <c r="J4048" s="9"/>
      <c r="K4048" s="9"/>
      <c r="L4048" s="9"/>
      <c r="M4048" s="9"/>
      <c r="N4048" s="9"/>
      <c r="O4048" s="9"/>
      <c r="P4048" s="9"/>
      <c r="Q4048" s="9"/>
      <c r="R4048" s="9"/>
      <c r="S4048" s="9"/>
      <c r="T4048" s="9"/>
      <c r="U4048" s="9"/>
      <c r="V4048" s="9"/>
      <c r="W4048" s="9"/>
      <c r="X4048" s="9"/>
      <c r="Y4048" s="9"/>
      <c r="Z4048" s="9"/>
      <c r="AA4048" s="9"/>
      <c r="AB4048" s="9"/>
      <c r="AC4048" s="9"/>
      <c r="AD4048" s="9"/>
      <c r="AE4048" s="9"/>
      <c r="AF4048" s="9"/>
      <c r="AG4048" s="9"/>
      <c r="AH4048" s="9"/>
      <c r="AI4048" s="9"/>
      <c r="AJ4048" s="9"/>
      <c r="AK4048" s="9"/>
      <c r="AL4048" s="9"/>
    </row>
    <row r="4049" spans="1:38">
      <c r="A4049" s="11"/>
      <c r="B4049" s="11"/>
      <c r="C4049" s="11"/>
      <c r="D4049" s="11"/>
      <c r="E4049" s="11"/>
      <c r="F4049" s="11"/>
      <c r="G4049" s="11"/>
      <c r="H4049" s="11"/>
      <c r="I4049" s="11"/>
      <c r="J4049" s="11"/>
      <c r="K4049" s="11"/>
      <c r="L4049" s="11"/>
      <c r="M4049" s="11"/>
      <c r="N4049" s="11"/>
      <c r="O4049" s="11"/>
      <c r="P4049" s="11"/>
      <c r="Q4049" s="11"/>
      <c r="R4049" s="11"/>
      <c r="S4049" s="11"/>
      <c r="T4049" s="11"/>
      <c r="U4049" s="11"/>
      <c r="V4049" s="11"/>
      <c r="W4049" s="11"/>
      <c r="X4049" s="11"/>
      <c r="Y4049" s="11"/>
      <c r="Z4049" s="11"/>
      <c r="AA4049" s="11"/>
      <c r="AB4049" s="11"/>
      <c r="AC4049" s="11"/>
      <c r="AD4049" s="11"/>
      <c r="AE4049" s="11"/>
      <c r="AF4049" s="11"/>
      <c r="AG4049" s="11"/>
      <c r="AH4049" s="11"/>
      <c r="AI4049" s="11"/>
      <c r="AJ4049" s="11"/>
      <c r="AK4049" s="11"/>
      <c r="AL4049" s="11"/>
    </row>
    <row r="4057" spans="1:38">
      <c r="A4057" s="14"/>
      <c r="B4057" s="14"/>
      <c r="C4057" s="14"/>
      <c r="D4057" s="14"/>
      <c r="E4057" s="14"/>
      <c r="F4057" s="14"/>
      <c r="G4057" s="14"/>
      <c r="H4057" s="14"/>
      <c r="I4057" s="14"/>
      <c r="J4057" s="14"/>
      <c r="K4057" s="14"/>
      <c r="L4057" s="14"/>
      <c r="M4057" s="14"/>
      <c r="N4057" s="14"/>
      <c r="O4057" s="14"/>
      <c r="P4057" s="14"/>
      <c r="Q4057" s="14"/>
      <c r="R4057" s="14"/>
      <c r="S4057" s="14"/>
      <c r="T4057" s="14"/>
      <c r="U4057" s="14"/>
      <c r="V4057" s="14"/>
      <c r="W4057" s="14"/>
      <c r="X4057" s="14"/>
      <c r="Y4057" s="14"/>
      <c r="Z4057" s="14"/>
      <c r="AA4057" s="14"/>
      <c r="AB4057" s="14"/>
      <c r="AC4057" s="14"/>
      <c r="AD4057" s="14"/>
      <c r="AE4057" s="14"/>
      <c r="AF4057" s="14"/>
      <c r="AG4057" s="14"/>
      <c r="AH4057" s="14"/>
      <c r="AI4057" s="14"/>
      <c r="AJ4057" s="14"/>
      <c r="AK4057" s="14"/>
      <c r="AL4057" s="14"/>
    </row>
    <row r="4058" spans="1:38">
      <c r="A4058" s="9"/>
      <c r="B4058" s="9"/>
      <c r="C4058" s="9"/>
      <c r="D4058" s="9"/>
      <c r="E4058" s="9"/>
      <c r="F4058" s="9"/>
      <c r="G4058" s="9"/>
      <c r="H4058" s="9"/>
      <c r="I4058" s="9"/>
      <c r="J4058" s="9"/>
      <c r="K4058" s="9"/>
      <c r="L4058" s="9"/>
      <c r="M4058" s="9"/>
      <c r="N4058" s="9"/>
      <c r="O4058" s="9"/>
      <c r="P4058" s="9"/>
      <c r="Q4058" s="9"/>
      <c r="R4058" s="9"/>
      <c r="S4058" s="9"/>
      <c r="T4058" s="9"/>
      <c r="U4058" s="9"/>
      <c r="V4058" s="9"/>
      <c r="W4058" s="9"/>
      <c r="X4058" s="9"/>
      <c r="Y4058" s="9"/>
      <c r="Z4058" s="9"/>
      <c r="AA4058" s="9"/>
      <c r="AB4058" s="9"/>
      <c r="AC4058" s="9"/>
      <c r="AD4058" s="9"/>
      <c r="AE4058" s="9"/>
      <c r="AF4058" s="9"/>
      <c r="AG4058" s="9"/>
      <c r="AH4058" s="9"/>
      <c r="AI4058" s="9"/>
      <c r="AJ4058" s="9"/>
      <c r="AK4058" s="9"/>
      <c r="AL4058" s="9"/>
    </row>
    <row r="4059" spans="1:38">
      <c r="A4059" s="10"/>
      <c r="B4059" s="10"/>
      <c r="C4059" s="10"/>
      <c r="D4059" s="10"/>
      <c r="E4059" s="10"/>
      <c r="F4059" s="10"/>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row>
    <row r="4060" spans="1:38">
      <c r="A4060" s="10"/>
      <c r="B4060" s="10"/>
      <c r="C4060" s="10"/>
      <c r="D4060" s="10"/>
      <c r="E4060" s="10"/>
      <c r="F4060" s="10"/>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0"/>
      <c r="AH4060" s="10"/>
      <c r="AI4060" s="10"/>
      <c r="AJ4060" s="10"/>
      <c r="AK4060" s="10"/>
      <c r="AL4060" s="10"/>
    </row>
    <row r="4061" spans="1:38">
      <c r="A4061" s="10"/>
      <c r="B4061" s="10"/>
      <c r="C4061" s="10"/>
      <c r="D4061" s="10"/>
      <c r="E4061" s="10"/>
      <c r="F4061" s="10"/>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row>
    <row r="4062" spans="1:38">
      <c r="A4062" s="10"/>
      <c r="B4062" s="10"/>
      <c r="C4062" s="10"/>
      <c r="D4062" s="10"/>
      <c r="E4062" s="10"/>
      <c r="F4062" s="10"/>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0"/>
      <c r="AH4062" s="10"/>
      <c r="AI4062" s="10"/>
      <c r="AJ4062" s="10"/>
      <c r="AK4062" s="10"/>
      <c r="AL4062" s="10"/>
    </row>
    <row r="4063" spans="1:38">
      <c r="A4063" s="10"/>
      <c r="B4063" s="10"/>
      <c r="C4063" s="10"/>
      <c r="D4063" s="10"/>
      <c r="E4063" s="10"/>
      <c r="F4063" s="10"/>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row>
    <row r="4064" spans="1:38">
      <c r="A4064" s="10"/>
      <c r="B4064" s="10"/>
      <c r="C4064" s="10"/>
      <c r="D4064" s="10"/>
      <c r="E4064" s="10"/>
      <c r="F4064" s="10"/>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0"/>
      <c r="AH4064" s="10"/>
      <c r="AI4064" s="10"/>
      <c r="AJ4064" s="10"/>
      <c r="AK4064" s="10"/>
      <c r="AL4064" s="10"/>
    </row>
    <row r="4065" spans="1:38">
      <c r="A4065" s="10"/>
      <c r="B4065" s="10"/>
      <c r="C4065" s="10"/>
      <c r="D4065" s="10"/>
      <c r="E4065" s="10"/>
      <c r="F4065" s="10"/>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row>
    <row r="4066" spans="1:38">
      <c r="A4066" s="10"/>
      <c r="B4066" s="10"/>
      <c r="C4066" s="10"/>
      <c r="D4066" s="10"/>
      <c r="E4066" s="10"/>
      <c r="F4066" s="10"/>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0"/>
      <c r="AH4066" s="10"/>
      <c r="AI4066" s="10"/>
      <c r="AJ4066" s="10"/>
      <c r="AK4066" s="10"/>
      <c r="AL4066" s="10"/>
    </row>
    <row r="4067" spans="1:38">
      <c r="A4067" s="10"/>
      <c r="B4067" s="10"/>
      <c r="C4067" s="10"/>
      <c r="D4067" s="10"/>
      <c r="E4067" s="10"/>
      <c r="F4067" s="10"/>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row>
    <row r="4068" spans="1:38">
      <c r="A4068" s="10"/>
      <c r="B4068" s="10"/>
      <c r="C4068" s="10"/>
      <c r="D4068" s="10"/>
      <c r="E4068" s="10"/>
      <c r="F4068" s="10"/>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0"/>
      <c r="AH4068" s="10"/>
      <c r="AI4068" s="10"/>
      <c r="AJ4068" s="10"/>
      <c r="AK4068" s="10"/>
      <c r="AL4068" s="10"/>
    </row>
    <row r="4069" spans="1:38">
      <c r="A4069" s="9"/>
      <c r="B4069" s="9"/>
      <c r="C4069" s="9"/>
      <c r="D4069" s="9"/>
      <c r="E4069" s="9"/>
      <c r="F4069" s="9"/>
      <c r="G4069" s="9"/>
      <c r="H4069" s="9"/>
      <c r="I4069" s="9"/>
      <c r="J4069" s="9"/>
      <c r="K4069" s="9"/>
      <c r="L4069" s="9"/>
      <c r="M4069" s="9"/>
      <c r="N4069" s="9"/>
      <c r="O4069" s="9"/>
      <c r="P4069" s="9"/>
      <c r="Q4069" s="9"/>
      <c r="R4069" s="9"/>
      <c r="S4069" s="9"/>
      <c r="T4069" s="9"/>
      <c r="U4069" s="9"/>
      <c r="V4069" s="9"/>
      <c r="W4069" s="9"/>
      <c r="X4069" s="9"/>
      <c r="Y4069" s="9"/>
      <c r="Z4069" s="9"/>
      <c r="AA4069" s="9"/>
      <c r="AB4069" s="9"/>
      <c r="AC4069" s="9"/>
      <c r="AD4069" s="9"/>
      <c r="AE4069" s="9"/>
      <c r="AF4069" s="9"/>
      <c r="AG4069" s="9"/>
      <c r="AH4069" s="9"/>
      <c r="AI4069" s="9"/>
      <c r="AJ4069" s="9"/>
      <c r="AK4069" s="9"/>
      <c r="AL4069" s="9"/>
    </row>
    <row r="4070" spans="1:38">
      <c r="A4070" s="11"/>
      <c r="B4070" s="11"/>
      <c r="C4070" s="11"/>
      <c r="D4070" s="11"/>
      <c r="E4070" s="11"/>
      <c r="F4070" s="11"/>
      <c r="G4070" s="11"/>
      <c r="H4070" s="11"/>
      <c r="I4070" s="11"/>
      <c r="J4070" s="11"/>
      <c r="K4070" s="11"/>
      <c r="L4070" s="11"/>
      <c r="M4070" s="11"/>
      <c r="N4070" s="11"/>
      <c r="O4070" s="11"/>
      <c r="P4070" s="11"/>
      <c r="Q4070" s="11"/>
      <c r="R4070" s="11"/>
      <c r="S4070" s="11"/>
      <c r="T4070" s="11"/>
      <c r="U4070" s="11"/>
      <c r="V4070" s="11"/>
      <c r="W4070" s="11"/>
      <c r="X4070" s="11"/>
      <c r="Y4070" s="11"/>
      <c r="Z4070" s="11"/>
      <c r="AA4070" s="11"/>
      <c r="AB4070" s="11"/>
      <c r="AC4070" s="11"/>
      <c r="AD4070" s="11"/>
      <c r="AE4070" s="11"/>
      <c r="AF4070" s="11"/>
      <c r="AG4070" s="11"/>
      <c r="AH4070" s="11"/>
      <c r="AI4070" s="11"/>
      <c r="AJ4070" s="11"/>
      <c r="AK4070" s="11"/>
      <c r="AL4070" s="11"/>
    </row>
    <row r="4077" spans="1:38">
      <c r="A4077" s="14"/>
      <c r="B4077" s="14"/>
      <c r="C4077" s="14"/>
      <c r="D4077" s="14"/>
      <c r="E4077" s="14"/>
      <c r="F4077" s="14"/>
      <c r="G4077" s="14"/>
      <c r="H4077" s="14"/>
      <c r="I4077" s="14"/>
      <c r="J4077" s="14"/>
      <c r="K4077" s="14"/>
      <c r="L4077" s="14"/>
      <c r="M4077" s="14"/>
      <c r="N4077" s="14"/>
      <c r="O4077" s="14"/>
      <c r="P4077" s="14"/>
      <c r="Q4077" s="14"/>
      <c r="R4077" s="14"/>
      <c r="S4077" s="14"/>
      <c r="T4077" s="14"/>
      <c r="U4077" s="14"/>
      <c r="V4077" s="14"/>
      <c r="W4077" s="14"/>
      <c r="X4077" s="14"/>
      <c r="Y4077" s="14"/>
      <c r="Z4077" s="14"/>
      <c r="AA4077" s="14"/>
      <c r="AB4077" s="14"/>
      <c r="AC4077" s="14"/>
      <c r="AD4077" s="14"/>
      <c r="AE4077" s="14"/>
      <c r="AF4077" s="14"/>
      <c r="AG4077" s="14"/>
      <c r="AH4077" s="14"/>
      <c r="AI4077" s="14"/>
      <c r="AJ4077" s="14"/>
      <c r="AK4077" s="14"/>
      <c r="AL4077" s="14"/>
    </row>
    <row r="4078" spans="1:38">
      <c r="A4078" s="9"/>
      <c r="B4078" s="9"/>
      <c r="C4078" s="9"/>
      <c r="D4078" s="9"/>
      <c r="E4078" s="9"/>
      <c r="F4078" s="9"/>
      <c r="G4078" s="9"/>
      <c r="H4078" s="9"/>
      <c r="I4078" s="9"/>
      <c r="J4078" s="9"/>
      <c r="K4078" s="9"/>
      <c r="L4078" s="9"/>
      <c r="M4078" s="9"/>
      <c r="N4078" s="9"/>
      <c r="O4078" s="9"/>
      <c r="P4078" s="9"/>
      <c r="Q4078" s="9"/>
      <c r="R4078" s="9"/>
      <c r="S4078" s="9"/>
      <c r="T4078" s="9"/>
      <c r="U4078" s="9"/>
      <c r="V4078" s="9"/>
      <c r="W4078" s="9"/>
      <c r="X4078" s="9"/>
      <c r="Y4078" s="9"/>
      <c r="Z4078" s="9"/>
      <c r="AA4078" s="9"/>
      <c r="AB4078" s="9"/>
      <c r="AC4078" s="9"/>
      <c r="AD4078" s="9"/>
      <c r="AE4078" s="9"/>
      <c r="AF4078" s="9"/>
      <c r="AG4078" s="9"/>
      <c r="AH4078" s="9"/>
      <c r="AI4078" s="9"/>
      <c r="AJ4078" s="9"/>
      <c r="AK4078" s="9"/>
      <c r="AL4078" s="9"/>
    </row>
    <row r="4079" spans="1:38">
      <c r="A4079" s="10"/>
      <c r="B4079" s="10"/>
      <c r="C4079" s="10"/>
      <c r="D4079" s="10"/>
      <c r="E4079" s="10"/>
      <c r="F4079" s="10"/>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row>
    <row r="4080" spans="1:38">
      <c r="A4080" s="10"/>
      <c r="B4080" s="10"/>
      <c r="C4080" s="10"/>
      <c r="D4080" s="10"/>
      <c r="E4080" s="10"/>
      <c r="F4080" s="10"/>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0"/>
      <c r="AH4080" s="10"/>
      <c r="AI4080" s="10"/>
      <c r="AJ4080" s="10"/>
      <c r="AK4080" s="10"/>
      <c r="AL4080" s="10"/>
    </row>
    <row r="4081" spans="1:38">
      <c r="A4081" s="10"/>
      <c r="B4081" s="10"/>
      <c r="C4081" s="10"/>
      <c r="D4081" s="10"/>
      <c r="E4081" s="10"/>
      <c r="F4081" s="10"/>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row>
    <row r="4082" spans="1:38">
      <c r="A4082" s="10"/>
      <c r="B4082" s="10"/>
      <c r="C4082" s="10"/>
      <c r="D4082" s="10"/>
      <c r="E4082" s="10"/>
      <c r="F4082" s="10"/>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0"/>
      <c r="AH4082" s="10"/>
      <c r="AI4082" s="10"/>
      <c r="AJ4082" s="10"/>
      <c r="AK4082" s="10"/>
      <c r="AL4082" s="10"/>
    </row>
    <row r="4083" spans="1:38">
      <c r="A4083" s="10"/>
      <c r="B4083" s="10"/>
      <c r="C4083" s="10"/>
      <c r="D4083" s="10"/>
      <c r="E4083" s="10"/>
      <c r="F4083" s="10"/>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row>
    <row r="4084" spans="1:38">
      <c r="A4084" s="10"/>
      <c r="B4084" s="10"/>
      <c r="C4084" s="10"/>
      <c r="D4084" s="10"/>
      <c r="E4084" s="10"/>
      <c r="F4084" s="10"/>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0"/>
      <c r="AH4084" s="10"/>
      <c r="AI4084" s="10"/>
      <c r="AJ4084" s="10"/>
      <c r="AK4084" s="10"/>
      <c r="AL4084" s="10"/>
    </row>
    <row r="4085" spans="1:38">
      <c r="A4085" s="10"/>
      <c r="B4085" s="10"/>
      <c r="C4085" s="10"/>
      <c r="D4085" s="10"/>
      <c r="E4085" s="10"/>
      <c r="F4085" s="10"/>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row>
    <row r="4086" spans="1:38">
      <c r="A4086" s="10"/>
      <c r="B4086" s="10"/>
      <c r="C4086" s="10"/>
      <c r="D4086" s="10"/>
      <c r="E4086" s="10"/>
      <c r="F4086" s="10"/>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0"/>
      <c r="AH4086" s="10"/>
      <c r="AI4086" s="10"/>
      <c r="AJ4086" s="10"/>
      <c r="AK4086" s="10"/>
      <c r="AL4086" s="10"/>
    </row>
    <row r="4087" spans="1:38">
      <c r="A4087" s="10"/>
      <c r="B4087" s="10"/>
      <c r="C4087" s="10"/>
      <c r="D4087" s="10"/>
      <c r="E4087" s="10"/>
      <c r="F4087" s="10"/>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row>
    <row r="4088" spans="1:38">
      <c r="A4088" s="10"/>
      <c r="B4088" s="10"/>
      <c r="C4088" s="10"/>
      <c r="D4088" s="10"/>
      <c r="E4088" s="10"/>
      <c r="F4088" s="10"/>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0"/>
      <c r="AH4088" s="10"/>
      <c r="AI4088" s="10"/>
      <c r="AJ4088" s="10"/>
      <c r="AK4088" s="10"/>
      <c r="AL4088" s="10"/>
    </row>
    <row r="4089" spans="1:38">
      <c r="A4089" s="9"/>
      <c r="B4089" s="9"/>
      <c r="C4089" s="9"/>
      <c r="D4089" s="9"/>
      <c r="E4089" s="9"/>
      <c r="F4089" s="9"/>
      <c r="G4089" s="9"/>
      <c r="H4089" s="9"/>
      <c r="I4089" s="9"/>
      <c r="J4089" s="9"/>
      <c r="K4089" s="9"/>
      <c r="L4089" s="9"/>
      <c r="M4089" s="9"/>
      <c r="N4089" s="9"/>
      <c r="O4089" s="9"/>
      <c r="P4089" s="9"/>
      <c r="Q4089" s="9"/>
      <c r="R4089" s="9"/>
      <c r="S4089" s="9"/>
      <c r="T4089" s="9"/>
      <c r="U4089" s="9"/>
      <c r="V4089" s="9"/>
      <c r="W4089" s="9"/>
      <c r="X4089" s="9"/>
      <c r="Y4089" s="9"/>
      <c r="Z4089" s="9"/>
      <c r="AA4089" s="9"/>
      <c r="AB4089" s="9"/>
      <c r="AC4089" s="9"/>
      <c r="AD4089" s="9"/>
      <c r="AE4089" s="9"/>
      <c r="AF4089" s="9"/>
      <c r="AG4089" s="9"/>
      <c r="AH4089" s="9"/>
      <c r="AI4089" s="9"/>
      <c r="AJ4089" s="9"/>
      <c r="AK4089" s="9"/>
      <c r="AL4089" s="9"/>
    </row>
    <row r="4090" spans="1:38">
      <c r="A4090" s="11"/>
      <c r="B4090" s="11"/>
      <c r="C4090" s="11"/>
      <c r="D4090" s="11"/>
      <c r="E4090" s="11"/>
      <c r="F4090" s="11"/>
      <c r="G4090" s="11"/>
      <c r="H4090" s="11"/>
      <c r="I4090" s="11"/>
      <c r="J4090" s="11"/>
      <c r="K4090" s="11"/>
      <c r="L4090" s="11"/>
      <c r="M4090" s="11"/>
      <c r="N4090" s="11"/>
      <c r="O4090" s="11"/>
      <c r="P4090" s="11"/>
      <c r="Q4090" s="11"/>
      <c r="R4090" s="11"/>
      <c r="S4090" s="11"/>
      <c r="T4090" s="11"/>
      <c r="U4090" s="11"/>
      <c r="V4090" s="11"/>
      <c r="W4090" s="11"/>
      <c r="X4090" s="11"/>
      <c r="Y4090" s="11"/>
      <c r="Z4090" s="11"/>
      <c r="AA4090" s="11"/>
      <c r="AB4090" s="11"/>
      <c r="AC4090" s="11"/>
      <c r="AD4090" s="11"/>
      <c r="AE4090" s="11"/>
      <c r="AF4090" s="11"/>
      <c r="AG4090" s="11"/>
      <c r="AH4090" s="11"/>
      <c r="AI4090" s="11"/>
      <c r="AJ4090" s="11"/>
      <c r="AK4090" s="11"/>
      <c r="AL4090" s="11"/>
    </row>
    <row r="4097" spans="1:38">
      <c r="A4097" s="14"/>
      <c r="B4097" s="14"/>
      <c r="C4097" s="14"/>
      <c r="D4097" s="14"/>
      <c r="E4097" s="14"/>
      <c r="F4097" s="14"/>
      <c r="G4097" s="14"/>
      <c r="H4097" s="14"/>
      <c r="I4097" s="14"/>
      <c r="J4097" s="14"/>
      <c r="K4097" s="14"/>
      <c r="L4097" s="14"/>
      <c r="M4097" s="14"/>
      <c r="N4097" s="14"/>
      <c r="O4097" s="14"/>
      <c r="P4097" s="14"/>
      <c r="Q4097" s="14"/>
      <c r="R4097" s="14"/>
      <c r="S4097" s="14"/>
      <c r="T4097" s="14"/>
      <c r="U4097" s="14"/>
      <c r="V4097" s="14"/>
      <c r="W4097" s="14"/>
      <c r="X4097" s="14"/>
      <c r="Y4097" s="14"/>
      <c r="Z4097" s="14"/>
      <c r="AA4097" s="14"/>
      <c r="AB4097" s="14"/>
      <c r="AC4097" s="14"/>
      <c r="AD4097" s="14"/>
      <c r="AE4097" s="14"/>
      <c r="AF4097" s="14"/>
      <c r="AG4097" s="14"/>
      <c r="AH4097" s="14"/>
      <c r="AI4097" s="14"/>
      <c r="AJ4097" s="14"/>
      <c r="AK4097" s="14"/>
      <c r="AL4097" s="14"/>
    </row>
    <row r="4098" spans="1:38">
      <c r="A4098" s="9"/>
      <c r="B4098" s="9"/>
      <c r="C4098" s="9"/>
      <c r="D4098" s="9"/>
      <c r="E4098" s="9"/>
      <c r="F4098" s="9"/>
      <c r="G4098" s="9"/>
      <c r="H4098" s="9"/>
      <c r="I4098" s="9"/>
      <c r="J4098" s="9"/>
      <c r="K4098" s="9"/>
      <c r="L4098" s="9"/>
      <c r="M4098" s="9"/>
      <c r="N4098" s="9"/>
      <c r="O4098" s="9"/>
      <c r="P4098" s="9"/>
      <c r="Q4098" s="9"/>
      <c r="R4098" s="9"/>
      <c r="S4098" s="9"/>
      <c r="T4098" s="9"/>
      <c r="U4098" s="9"/>
      <c r="V4098" s="9"/>
      <c r="W4098" s="9"/>
      <c r="X4098" s="9"/>
      <c r="Y4098" s="9"/>
      <c r="Z4098" s="9"/>
      <c r="AA4098" s="9"/>
      <c r="AB4098" s="9"/>
      <c r="AC4098" s="9"/>
      <c r="AD4098" s="9"/>
      <c r="AE4098" s="9"/>
      <c r="AF4098" s="9"/>
      <c r="AG4098" s="9"/>
      <c r="AH4098" s="9"/>
      <c r="AI4098" s="9"/>
      <c r="AJ4098" s="9"/>
      <c r="AK4098" s="9"/>
      <c r="AL4098" s="9"/>
    </row>
    <row r="4099" spans="1:38">
      <c r="A4099" s="10"/>
      <c r="B4099" s="10"/>
      <c r="C4099" s="10"/>
      <c r="D4099" s="10"/>
      <c r="E4099" s="10"/>
      <c r="F4099" s="10"/>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row>
    <row r="4100" spans="1:38">
      <c r="A4100" s="10"/>
      <c r="B4100" s="10"/>
      <c r="C4100" s="10"/>
      <c r="D4100" s="10"/>
      <c r="E4100" s="10"/>
      <c r="F4100" s="10"/>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0"/>
      <c r="AH4100" s="10"/>
      <c r="AI4100" s="10"/>
      <c r="AJ4100" s="10"/>
      <c r="AK4100" s="10"/>
      <c r="AL4100" s="10"/>
    </row>
    <row r="4101" spans="1:38">
      <c r="A4101" s="10"/>
      <c r="B4101" s="10"/>
      <c r="C4101" s="10"/>
      <c r="D4101" s="10"/>
      <c r="E4101" s="10"/>
      <c r="F4101" s="10"/>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row>
    <row r="4102" spans="1:38">
      <c r="A4102" s="10"/>
      <c r="B4102" s="10"/>
      <c r="C4102" s="10"/>
      <c r="D4102" s="10"/>
      <c r="E4102" s="10"/>
      <c r="F4102" s="10"/>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0"/>
      <c r="AH4102" s="10"/>
      <c r="AI4102" s="10"/>
      <c r="AJ4102" s="10"/>
      <c r="AK4102" s="10"/>
      <c r="AL4102" s="10"/>
    </row>
    <row r="4103" spans="1:38">
      <c r="A4103" s="10"/>
      <c r="B4103" s="10"/>
      <c r="C4103" s="10"/>
      <c r="D4103" s="10"/>
      <c r="E4103" s="10"/>
      <c r="F4103" s="10"/>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row>
    <row r="4104" spans="1:38">
      <c r="A4104" s="10"/>
      <c r="B4104" s="10"/>
      <c r="C4104" s="10"/>
      <c r="D4104" s="10"/>
      <c r="E4104" s="10"/>
      <c r="F4104" s="10"/>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0"/>
      <c r="AH4104" s="10"/>
      <c r="AI4104" s="10"/>
      <c r="AJ4104" s="10"/>
      <c r="AK4104" s="10"/>
      <c r="AL4104" s="10"/>
    </row>
    <row r="4105" spans="1:38">
      <c r="A4105" s="10"/>
      <c r="B4105" s="10"/>
      <c r="C4105" s="10"/>
      <c r="D4105" s="10"/>
      <c r="E4105" s="10"/>
      <c r="F4105" s="10"/>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row>
    <row r="4106" spans="1:38">
      <c r="A4106" s="10"/>
      <c r="B4106" s="10"/>
      <c r="C4106" s="10"/>
      <c r="D4106" s="10"/>
      <c r="E4106" s="10"/>
      <c r="F4106" s="10"/>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0"/>
      <c r="AH4106" s="10"/>
      <c r="AI4106" s="10"/>
      <c r="AJ4106" s="10"/>
      <c r="AK4106" s="10"/>
      <c r="AL4106" s="10"/>
    </row>
    <row r="4107" spans="1:38">
      <c r="A4107" s="10"/>
      <c r="B4107" s="10"/>
      <c r="C4107" s="10"/>
      <c r="D4107" s="10"/>
      <c r="E4107" s="10"/>
      <c r="F4107" s="10"/>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row>
    <row r="4108" spans="1:38">
      <c r="A4108" s="10"/>
      <c r="B4108" s="10"/>
      <c r="C4108" s="10"/>
      <c r="D4108" s="10"/>
      <c r="E4108" s="10"/>
      <c r="F4108" s="10"/>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0"/>
      <c r="AH4108" s="10"/>
      <c r="AI4108" s="10"/>
      <c r="AJ4108" s="10"/>
      <c r="AK4108" s="10"/>
      <c r="AL4108" s="10"/>
    </row>
    <row r="4109" spans="1:38">
      <c r="A4109" s="9"/>
      <c r="B4109" s="9"/>
      <c r="C4109" s="9"/>
      <c r="D4109" s="9"/>
      <c r="E4109" s="9"/>
      <c r="F4109" s="9"/>
      <c r="G4109" s="9"/>
      <c r="H4109" s="9"/>
      <c r="I4109" s="9"/>
      <c r="J4109" s="9"/>
      <c r="K4109" s="9"/>
      <c r="L4109" s="9"/>
      <c r="M4109" s="9"/>
      <c r="N4109" s="9"/>
      <c r="O4109" s="9"/>
      <c r="P4109" s="9"/>
      <c r="Q4109" s="9"/>
      <c r="R4109" s="9"/>
      <c r="S4109" s="9"/>
      <c r="T4109" s="9"/>
      <c r="U4109" s="9"/>
      <c r="V4109" s="9"/>
      <c r="W4109" s="9"/>
      <c r="X4109" s="9"/>
      <c r="Y4109" s="9"/>
      <c r="Z4109" s="9"/>
      <c r="AA4109" s="9"/>
      <c r="AB4109" s="9"/>
      <c r="AC4109" s="9"/>
      <c r="AD4109" s="9"/>
      <c r="AE4109" s="9"/>
      <c r="AF4109" s="9"/>
      <c r="AG4109" s="9"/>
      <c r="AH4109" s="9"/>
      <c r="AI4109" s="9"/>
      <c r="AJ4109" s="9"/>
      <c r="AK4109" s="9"/>
      <c r="AL4109" s="9"/>
    </row>
    <row r="4110" spans="1:38">
      <c r="A4110" s="11"/>
      <c r="B4110" s="11"/>
      <c r="C4110" s="11"/>
      <c r="D4110" s="11"/>
      <c r="E4110" s="11"/>
      <c r="F4110" s="11"/>
      <c r="G4110" s="11"/>
      <c r="H4110" s="11"/>
      <c r="I4110" s="11"/>
      <c r="J4110" s="11"/>
      <c r="K4110" s="11"/>
      <c r="L4110" s="11"/>
      <c r="M4110" s="11"/>
      <c r="N4110" s="11"/>
      <c r="O4110" s="11"/>
      <c r="P4110" s="11"/>
      <c r="Q4110" s="11"/>
      <c r="R4110" s="11"/>
      <c r="S4110" s="11"/>
      <c r="T4110" s="11"/>
      <c r="U4110" s="11"/>
      <c r="V4110" s="11"/>
      <c r="W4110" s="11"/>
      <c r="X4110" s="11"/>
      <c r="Y4110" s="11"/>
      <c r="Z4110" s="11"/>
      <c r="AA4110" s="11"/>
      <c r="AB4110" s="11"/>
      <c r="AC4110" s="11"/>
      <c r="AD4110" s="11"/>
      <c r="AE4110" s="11"/>
      <c r="AF4110" s="11"/>
      <c r="AG4110" s="11"/>
      <c r="AH4110" s="11"/>
      <c r="AI4110" s="11"/>
      <c r="AJ4110" s="11"/>
      <c r="AK4110" s="11"/>
      <c r="AL4110" s="11"/>
    </row>
    <row r="4116" spans="1:38">
      <c r="A4116" s="14"/>
      <c r="B4116" s="14"/>
      <c r="C4116" s="14"/>
      <c r="D4116" s="14"/>
      <c r="E4116" s="14"/>
      <c r="F4116" s="14"/>
      <c r="G4116" s="14"/>
      <c r="H4116" s="14"/>
      <c r="I4116" s="14"/>
      <c r="J4116" s="14"/>
      <c r="K4116" s="14"/>
      <c r="L4116" s="14"/>
      <c r="M4116" s="14"/>
      <c r="N4116" s="14"/>
      <c r="O4116" s="14"/>
      <c r="P4116" s="14"/>
      <c r="Q4116" s="14"/>
      <c r="R4116" s="14"/>
      <c r="S4116" s="14"/>
      <c r="T4116" s="14"/>
      <c r="U4116" s="14"/>
      <c r="V4116" s="14"/>
      <c r="W4116" s="14"/>
      <c r="X4116" s="14"/>
      <c r="Y4116" s="14"/>
      <c r="Z4116" s="14"/>
      <c r="AA4116" s="14"/>
      <c r="AB4116" s="14"/>
      <c r="AC4116" s="14"/>
      <c r="AD4116" s="14"/>
      <c r="AE4116" s="14"/>
      <c r="AF4116" s="14"/>
      <c r="AG4116" s="14"/>
      <c r="AH4116" s="14"/>
      <c r="AI4116" s="14"/>
      <c r="AJ4116" s="14"/>
      <c r="AK4116" s="14"/>
      <c r="AL4116" s="14"/>
    </row>
    <row r="4117" spans="1:38">
      <c r="A4117" s="9"/>
      <c r="B4117" s="9"/>
      <c r="C4117" s="9"/>
      <c r="D4117" s="9"/>
      <c r="E4117" s="9"/>
      <c r="F4117" s="9"/>
      <c r="G4117" s="9"/>
      <c r="H4117" s="9"/>
      <c r="I4117" s="9"/>
      <c r="J4117" s="9"/>
      <c r="K4117" s="9"/>
      <c r="L4117" s="9"/>
      <c r="M4117" s="9"/>
      <c r="N4117" s="9"/>
      <c r="O4117" s="9"/>
      <c r="P4117" s="9"/>
      <c r="Q4117" s="9"/>
      <c r="R4117" s="9"/>
      <c r="S4117" s="9"/>
      <c r="T4117" s="9"/>
      <c r="U4117" s="9"/>
      <c r="V4117" s="9"/>
      <c r="W4117" s="9"/>
      <c r="X4117" s="9"/>
      <c r="Y4117" s="9"/>
      <c r="Z4117" s="9"/>
      <c r="AA4117" s="9"/>
      <c r="AB4117" s="9"/>
      <c r="AC4117" s="9"/>
      <c r="AD4117" s="9"/>
      <c r="AE4117" s="9"/>
      <c r="AF4117" s="9"/>
      <c r="AG4117" s="9"/>
      <c r="AH4117" s="9"/>
      <c r="AI4117" s="9"/>
      <c r="AJ4117" s="9"/>
      <c r="AK4117" s="9"/>
      <c r="AL4117" s="9"/>
    </row>
    <row r="4118" spans="1:38">
      <c r="A4118" s="10"/>
      <c r="B4118" s="10"/>
      <c r="C4118" s="10"/>
      <c r="D4118" s="10"/>
      <c r="E4118" s="10"/>
      <c r="F4118" s="10"/>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0"/>
      <c r="AH4118" s="10"/>
      <c r="AI4118" s="10"/>
      <c r="AJ4118" s="10"/>
      <c r="AK4118" s="10"/>
      <c r="AL4118" s="10"/>
    </row>
    <row r="4119" spans="1:38">
      <c r="A4119" s="10"/>
      <c r="B4119" s="10"/>
      <c r="C4119" s="10"/>
      <c r="D4119" s="10"/>
      <c r="E4119" s="10"/>
      <c r="F4119" s="10"/>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row>
    <row r="4120" spans="1:38">
      <c r="A4120" s="10"/>
      <c r="B4120" s="10"/>
      <c r="C4120" s="10"/>
      <c r="D4120" s="10"/>
      <c r="E4120" s="10"/>
      <c r="F4120" s="10"/>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0"/>
      <c r="AH4120" s="10"/>
      <c r="AI4120" s="10"/>
      <c r="AJ4120" s="10"/>
      <c r="AK4120" s="10"/>
      <c r="AL4120" s="10"/>
    </row>
    <row r="4121" spans="1:38">
      <c r="A4121" s="10"/>
      <c r="B4121" s="10"/>
      <c r="C4121" s="10"/>
      <c r="D4121" s="10"/>
      <c r="E4121" s="10"/>
      <c r="F4121" s="10"/>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row>
    <row r="4122" spans="1:38">
      <c r="A4122" s="10"/>
      <c r="B4122" s="10"/>
      <c r="C4122" s="10"/>
      <c r="D4122" s="10"/>
      <c r="E4122" s="10"/>
      <c r="F4122" s="10"/>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0"/>
      <c r="AH4122" s="10"/>
      <c r="AI4122" s="10"/>
      <c r="AJ4122" s="10"/>
      <c r="AK4122" s="10"/>
      <c r="AL4122" s="10"/>
    </row>
    <row r="4123" spans="1:38">
      <c r="A4123" s="10"/>
      <c r="B4123" s="10"/>
      <c r="C4123" s="10"/>
      <c r="D4123" s="10"/>
      <c r="E4123" s="10"/>
      <c r="F4123" s="10"/>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row>
    <row r="4124" spans="1:38">
      <c r="A4124" s="10"/>
      <c r="B4124" s="10"/>
      <c r="C4124" s="10"/>
      <c r="D4124" s="10"/>
      <c r="E4124" s="10"/>
      <c r="F4124" s="10"/>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0"/>
      <c r="AH4124" s="10"/>
      <c r="AI4124" s="10"/>
      <c r="AJ4124" s="10"/>
      <c r="AK4124" s="10"/>
      <c r="AL4124" s="10"/>
    </row>
    <row r="4125" spans="1:38">
      <c r="A4125" s="10"/>
      <c r="B4125" s="10"/>
      <c r="C4125" s="10"/>
      <c r="D4125" s="10"/>
      <c r="E4125" s="10"/>
      <c r="F4125" s="10"/>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row>
    <row r="4126" spans="1:38">
      <c r="A4126" s="10"/>
      <c r="B4126" s="10"/>
      <c r="C4126" s="10"/>
      <c r="D4126" s="10"/>
      <c r="E4126" s="10"/>
      <c r="F4126" s="10"/>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0"/>
      <c r="AH4126" s="10"/>
      <c r="AI4126" s="10"/>
      <c r="AJ4126" s="10"/>
      <c r="AK4126" s="10"/>
      <c r="AL4126" s="10"/>
    </row>
    <row r="4127" spans="1:38">
      <c r="A4127" s="10"/>
      <c r="B4127" s="10"/>
      <c r="C4127" s="10"/>
      <c r="D4127" s="10"/>
      <c r="E4127" s="10"/>
      <c r="F4127" s="10"/>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row>
    <row r="4128" spans="1:38">
      <c r="A4128" s="9"/>
      <c r="B4128" s="9"/>
      <c r="C4128" s="9"/>
      <c r="D4128" s="9"/>
      <c r="E4128" s="9"/>
      <c r="F4128" s="9"/>
      <c r="G4128" s="9"/>
      <c r="H4128" s="9"/>
      <c r="I4128" s="9"/>
      <c r="J4128" s="9"/>
      <c r="K4128" s="9"/>
      <c r="L4128" s="9"/>
      <c r="M4128" s="9"/>
      <c r="N4128" s="9"/>
      <c r="O4128" s="9"/>
      <c r="P4128" s="9"/>
      <c r="Q4128" s="9"/>
      <c r="R4128" s="9"/>
      <c r="S4128" s="9"/>
      <c r="T4128" s="9"/>
      <c r="U4128" s="9"/>
      <c r="V4128" s="9"/>
      <c r="W4128" s="9"/>
      <c r="X4128" s="9"/>
      <c r="Y4128" s="9"/>
      <c r="Z4128" s="9"/>
      <c r="AA4128" s="9"/>
      <c r="AB4128" s="9"/>
      <c r="AC4128" s="9"/>
      <c r="AD4128" s="9"/>
      <c r="AE4128" s="9"/>
      <c r="AF4128" s="9"/>
      <c r="AG4128" s="9"/>
      <c r="AH4128" s="9"/>
      <c r="AI4128" s="9"/>
      <c r="AJ4128" s="9"/>
      <c r="AK4128" s="9"/>
      <c r="AL4128" s="9"/>
    </row>
    <row r="4129" spans="1:38">
      <c r="A4129" s="11"/>
      <c r="B4129" s="11"/>
      <c r="C4129" s="11"/>
      <c r="D4129" s="11"/>
      <c r="E4129" s="11"/>
      <c r="F4129" s="11"/>
      <c r="G4129" s="11"/>
      <c r="H4129" s="11"/>
      <c r="I4129" s="11"/>
      <c r="J4129" s="11"/>
      <c r="K4129" s="11"/>
      <c r="L4129" s="11"/>
      <c r="M4129" s="11"/>
      <c r="N4129" s="11"/>
      <c r="O4129" s="11"/>
      <c r="P4129" s="11"/>
      <c r="Q4129" s="11"/>
      <c r="R4129" s="11"/>
      <c r="S4129" s="11"/>
      <c r="T4129" s="11"/>
      <c r="U4129" s="11"/>
      <c r="V4129" s="11"/>
      <c r="W4129" s="11"/>
      <c r="X4129" s="11"/>
      <c r="Y4129" s="11"/>
      <c r="Z4129" s="11"/>
      <c r="AA4129" s="11"/>
      <c r="AB4129" s="11"/>
      <c r="AC4129" s="11"/>
      <c r="AD4129" s="11"/>
      <c r="AE4129" s="11"/>
      <c r="AF4129" s="11"/>
      <c r="AG4129" s="11"/>
      <c r="AH4129" s="11"/>
      <c r="AI4129" s="11"/>
      <c r="AJ4129" s="11"/>
      <c r="AK4129" s="11"/>
      <c r="AL4129" s="11"/>
    </row>
    <row r="4138" spans="1:38">
      <c r="A4138" s="14"/>
      <c r="B4138" s="14"/>
      <c r="C4138" s="14"/>
      <c r="D4138" s="14"/>
      <c r="E4138" s="14"/>
      <c r="F4138" s="14"/>
      <c r="G4138" s="14"/>
      <c r="H4138" s="14"/>
      <c r="I4138" s="14"/>
      <c r="J4138" s="14"/>
      <c r="K4138" s="14"/>
      <c r="L4138" s="14"/>
      <c r="M4138" s="14"/>
      <c r="N4138" s="14"/>
      <c r="O4138" s="14"/>
      <c r="P4138" s="14"/>
      <c r="Q4138" s="14"/>
      <c r="R4138" s="14"/>
      <c r="S4138" s="14"/>
      <c r="T4138" s="14"/>
      <c r="U4138" s="14"/>
      <c r="V4138" s="14"/>
      <c r="W4138" s="14"/>
      <c r="X4138" s="14"/>
      <c r="Y4138" s="14"/>
      <c r="Z4138" s="14"/>
      <c r="AA4138" s="14"/>
      <c r="AB4138" s="14"/>
      <c r="AC4138" s="14"/>
      <c r="AD4138" s="14"/>
      <c r="AE4138" s="14"/>
      <c r="AF4138" s="14"/>
      <c r="AG4138" s="14"/>
      <c r="AH4138" s="14"/>
      <c r="AI4138" s="14"/>
      <c r="AJ4138" s="14"/>
      <c r="AK4138" s="14"/>
      <c r="AL4138" s="14"/>
    </row>
    <row r="4139" spans="1:38">
      <c r="A4139" s="9"/>
      <c r="B4139" s="9"/>
      <c r="C4139" s="9"/>
      <c r="D4139" s="9"/>
      <c r="E4139" s="9"/>
      <c r="F4139" s="9"/>
      <c r="G4139" s="9"/>
      <c r="H4139" s="9"/>
      <c r="I4139" s="9"/>
      <c r="J4139" s="9"/>
      <c r="K4139" s="9"/>
      <c r="L4139" s="9"/>
      <c r="M4139" s="9"/>
      <c r="N4139" s="9"/>
      <c r="O4139" s="9"/>
      <c r="P4139" s="9"/>
      <c r="Q4139" s="9"/>
      <c r="R4139" s="9"/>
      <c r="S4139" s="9"/>
      <c r="T4139" s="9"/>
      <c r="U4139" s="9"/>
      <c r="V4139" s="9"/>
      <c r="W4139" s="9"/>
      <c r="X4139" s="9"/>
      <c r="Y4139" s="9"/>
      <c r="Z4139" s="9"/>
      <c r="AA4139" s="9"/>
      <c r="AB4139" s="9"/>
      <c r="AC4139" s="9"/>
      <c r="AD4139" s="9"/>
      <c r="AE4139" s="9"/>
      <c r="AF4139" s="9"/>
      <c r="AG4139" s="9"/>
      <c r="AH4139" s="9"/>
      <c r="AI4139" s="9"/>
      <c r="AJ4139" s="9"/>
      <c r="AK4139" s="9"/>
      <c r="AL4139" s="9"/>
    </row>
    <row r="4140" spans="1:38">
      <c r="A4140" s="10"/>
      <c r="B4140" s="10"/>
      <c r="C4140" s="10"/>
      <c r="D4140" s="10"/>
      <c r="E4140" s="10"/>
      <c r="F4140" s="10"/>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0"/>
      <c r="AH4140" s="10"/>
      <c r="AI4140" s="10"/>
      <c r="AJ4140" s="10"/>
      <c r="AK4140" s="10"/>
      <c r="AL4140" s="10"/>
    </row>
    <row r="4141" spans="1:38">
      <c r="A4141" s="10"/>
      <c r="B4141" s="10"/>
      <c r="C4141" s="10"/>
      <c r="D4141" s="10"/>
      <c r="E4141" s="10"/>
      <c r="F4141" s="10"/>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row>
    <row r="4142" spans="1:38">
      <c r="A4142" s="10"/>
      <c r="B4142" s="10"/>
      <c r="C4142" s="10"/>
      <c r="D4142" s="10"/>
      <c r="E4142" s="10"/>
      <c r="F4142" s="10"/>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0"/>
      <c r="AH4142" s="10"/>
      <c r="AI4142" s="10"/>
      <c r="AJ4142" s="10"/>
      <c r="AK4142" s="10"/>
      <c r="AL4142" s="10"/>
    </row>
    <row r="4143" spans="1:38">
      <c r="A4143" s="10"/>
      <c r="B4143" s="10"/>
      <c r="C4143" s="10"/>
      <c r="D4143" s="10"/>
      <c r="E4143" s="10"/>
      <c r="F4143" s="10"/>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row>
    <row r="4144" spans="1:38">
      <c r="A4144" s="10"/>
      <c r="B4144" s="10"/>
      <c r="C4144" s="10"/>
      <c r="D4144" s="10"/>
      <c r="E4144" s="10"/>
      <c r="F4144" s="10"/>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0"/>
      <c r="AH4144" s="10"/>
      <c r="AI4144" s="10"/>
      <c r="AJ4144" s="10"/>
      <c r="AK4144" s="10"/>
      <c r="AL4144" s="10"/>
    </row>
    <row r="4145" spans="1:38">
      <c r="A4145" s="10"/>
      <c r="B4145" s="10"/>
      <c r="C4145" s="10"/>
      <c r="D4145" s="10"/>
      <c r="E4145" s="10"/>
      <c r="F4145" s="10"/>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row>
    <row r="4146" spans="1:38">
      <c r="A4146" s="10"/>
      <c r="B4146" s="10"/>
      <c r="C4146" s="10"/>
      <c r="D4146" s="10"/>
      <c r="E4146" s="10"/>
      <c r="F4146" s="10"/>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0"/>
      <c r="AH4146" s="10"/>
      <c r="AI4146" s="10"/>
      <c r="AJ4146" s="10"/>
      <c r="AK4146" s="10"/>
      <c r="AL4146" s="10"/>
    </row>
    <row r="4147" spans="1:38">
      <c r="A4147" s="10"/>
      <c r="B4147" s="10"/>
      <c r="C4147" s="10"/>
      <c r="D4147" s="10"/>
      <c r="E4147" s="10"/>
      <c r="F4147" s="10"/>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row>
    <row r="4148" spans="1:38">
      <c r="A4148" s="10"/>
      <c r="B4148" s="10"/>
      <c r="C4148" s="10"/>
      <c r="D4148" s="10"/>
      <c r="E4148" s="10"/>
      <c r="F4148" s="10"/>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0"/>
      <c r="AH4148" s="10"/>
      <c r="AI4148" s="10"/>
      <c r="AJ4148" s="10"/>
      <c r="AK4148" s="10"/>
      <c r="AL4148" s="10"/>
    </row>
    <row r="4149" spans="1:38">
      <c r="A4149" s="10"/>
      <c r="B4149" s="10"/>
      <c r="C4149" s="10"/>
      <c r="D4149" s="10"/>
      <c r="E4149" s="10"/>
      <c r="F4149" s="10"/>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row>
    <row r="4150" spans="1:38">
      <c r="A4150" s="9"/>
      <c r="B4150" s="9"/>
      <c r="C4150" s="9"/>
      <c r="D4150" s="9"/>
      <c r="E4150" s="9"/>
      <c r="F4150" s="9"/>
      <c r="G4150" s="9"/>
      <c r="H4150" s="9"/>
      <c r="I4150" s="9"/>
      <c r="J4150" s="9"/>
      <c r="K4150" s="9"/>
      <c r="L4150" s="9"/>
      <c r="M4150" s="9"/>
      <c r="N4150" s="9"/>
      <c r="O4150" s="9"/>
      <c r="P4150" s="9"/>
      <c r="Q4150" s="9"/>
      <c r="R4150" s="9"/>
      <c r="S4150" s="9"/>
      <c r="T4150" s="9"/>
      <c r="U4150" s="9"/>
      <c r="V4150" s="9"/>
      <c r="W4150" s="9"/>
      <c r="X4150" s="9"/>
      <c r="Y4150" s="9"/>
      <c r="Z4150" s="9"/>
      <c r="AA4150" s="9"/>
      <c r="AB4150" s="9"/>
      <c r="AC4150" s="9"/>
      <c r="AD4150" s="9"/>
      <c r="AE4150" s="9"/>
      <c r="AF4150" s="9"/>
      <c r="AG4150" s="9"/>
      <c r="AH4150" s="9"/>
      <c r="AI4150" s="9"/>
      <c r="AJ4150" s="9"/>
      <c r="AK4150" s="9"/>
      <c r="AL4150" s="9"/>
    </row>
    <row r="4151" spans="1:38">
      <c r="A4151" s="11"/>
      <c r="B4151" s="11"/>
      <c r="C4151" s="11"/>
      <c r="D4151" s="11"/>
      <c r="E4151" s="11"/>
      <c r="F4151" s="11"/>
      <c r="G4151" s="11"/>
      <c r="H4151" s="11"/>
      <c r="I4151" s="11"/>
      <c r="J4151" s="11"/>
      <c r="K4151" s="11"/>
      <c r="L4151" s="11"/>
      <c r="M4151" s="11"/>
      <c r="N4151" s="11"/>
      <c r="O4151" s="11"/>
      <c r="P4151" s="11"/>
      <c r="Q4151" s="11"/>
      <c r="R4151" s="11"/>
      <c r="S4151" s="11"/>
      <c r="T4151" s="11"/>
      <c r="U4151" s="11"/>
      <c r="V4151" s="11"/>
      <c r="W4151" s="11"/>
      <c r="X4151" s="11"/>
      <c r="Y4151" s="11"/>
      <c r="Z4151" s="11"/>
      <c r="AA4151" s="11"/>
      <c r="AB4151" s="11"/>
      <c r="AC4151" s="11"/>
      <c r="AD4151" s="11"/>
      <c r="AE4151" s="11"/>
      <c r="AF4151" s="11"/>
      <c r="AG4151" s="11"/>
      <c r="AH4151" s="11"/>
      <c r="AI4151" s="11"/>
      <c r="AJ4151" s="11"/>
      <c r="AK4151" s="11"/>
      <c r="AL4151" s="11"/>
    </row>
    <row r="4158" spans="1:38">
      <c r="A4158" s="14"/>
      <c r="B4158" s="14"/>
      <c r="C4158" s="14"/>
      <c r="D4158" s="14"/>
      <c r="E4158" s="14"/>
      <c r="F4158" s="14"/>
      <c r="G4158" s="14"/>
      <c r="H4158" s="14"/>
      <c r="I4158" s="14"/>
      <c r="J4158" s="14"/>
      <c r="K4158" s="14"/>
      <c r="L4158" s="14"/>
      <c r="M4158" s="14"/>
      <c r="N4158" s="14"/>
      <c r="O4158" s="14"/>
      <c r="P4158" s="14"/>
      <c r="Q4158" s="14"/>
      <c r="R4158" s="14"/>
      <c r="S4158" s="14"/>
      <c r="T4158" s="14"/>
      <c r="U4158" s="14"/>
      <c r="V4158" s="14"/>
      <c r="W4158" s="14"/>
      <c r="X4158" s="14"/>
      <c r="Y4158" s="14"/>
      <c r="Z4158" s="14"/>
      <c r="AA4158" s="14"/>
      <c r="AB4158" s="14"/>
      <c r="AC4158" s="14"/>
      <c r="AD4158" s="14"/>
      <c r="AE4158" s="14"/>
      <c r="AF4158" s="14"/>
      <c r="AG4158" s="14"/>
      <c r="AH4158" s="14"/>
      <c r="AI4158" s="14"/>
      <c r="AJ4158" s="14"/>
      <c r="AK4158" s="14"/>
      <c r="AL4158" s="14"/>
    </row>
    <row r="4159" spans="1:38">
      <c r="A4159" s="9"/>
      <c r="B4159" s="9"/>
      <c r="C4159" s="9"/>
      <c r="D4159" s="9"/>
      <c r="E4159" s="9"/>
      <c r="F4159" s="9"/>
      <c r="G4159" s="9"/>
      <c r="H4159" s="9"/>
      <c r="I4159" s="9"/>
      <c r="J4159" s="9"/>
      <c r="K4159" s="9"/>
      <c r="L4159" s="9"/>
      <c r="M4159" s="9"/>
      <c r="N4159" s="9"/>
      <c r="O4159" s="9"/>
      <c r="P4159" s="9"/>
      <c r="Q4159" s="9"/>
      <c r="R4159" s="9"/>
      <c r="S4159" s="9"/>
      <c r="T4159" s="9"/>
      <c r="U4159" s="9"/>
      <c r="V4159" s="9"/>
      <c r="W4159" s="9"/>
      <c r="X4159" s="9"/>
      <c r="Y4159" s="9"/>
      <c r="Z4159" s="9"/>
      <c r="AA4159" s="9"/>
      <c r="AB4159" s="9"/>
      <c r="AC4159" s="9"/>
      <c r="AD4159" s="9"/>
      <c r="AE4159" s="9"/>
      <c r="AF4159" s="9"/>
      <c r="AG4159" s="9"/>
      <c r="AH4159" s="9"/>
      <c r="AI4159" s="9"/>
      <c r="AJ4159" s="9"/>
      <c r="AK4159" s="9"/>
      <c r="AL4159" s="9"/>
    </row>
    <row r="4160" spans="1:38">
      <c r="A4160" s="10"/>
      <c r="B4160" s="10"/>
      <c r="C4160" s="10"/>
      <c r="D4160" s="10"/>
      <c r="E4160" s="10"/>
      <c r="F4160" s="10"/>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0"/>
      <c r="AH4160" s="10"/>
      <c r="AI4160" s="10"/>
      <c r="AJ4160" s="10"/>
      <c r="AK4160" s="10"/>
      <c r="AL4160" s="10"/>
    </row>
    <row r="4161" spans="1:38">
      <c r="A4161" s="10"/>
      <c r="B4161" s="10"/>
      <c r="C4161" s="10"/>
      <c r="D4161" s="10"/>
      <c r="E4161" s="10"/>
      <c r="F4161" s="10"/>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row>
    <row r="4162" spans="1:38">
      <c r="A4162" s="10"/>
      <c r="B4162" s="10"/>
      <c r="C4162" s="10"/>
      <c r="D4162" s="10"/>
      <c r="E4162" s="10"/>
      <c r="F4162" s="10"/>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0"/>
      <c r="AH4162" s="10"/>
      <c r="AI4162" s="10"/>
      <c r="AJ4162" s="10"/>
      <c r="AK4162" s="10"/>
      <c r="AL4162" s="10"/>
    </row>
    <row r="4163" spans="1:38">
      <c r="A4163" s="10"/>
      <c r="B4163" s="10"/>
      <c r="C4163" s="10"/>
      <c r="D4163" s="10"/>
      <c r="E4163" s="10"/>
      <c r="F4163" s="10"/>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row>
    <row r="4164" spans="1:38">
      <c r="A4164" s="10"/>
      <c r="B4164" s="10"/>
      <c r="C4164" s="10"/>
      <c r="D4164" s="10"/>
      <c r="E4164" s="10"/>
      <c r="F4164" s="10"/>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0"/>
      <c r="AH4164" s="10"/>
      <c r="AI4164" s="10"/>
      <c r="AJ4164" s="10"/>
      <c r="AK4164" s="10"/>
      <c r="AL4164" s="10"/>
    </row>
    <row r="4165" spans="1:38">
      <c r="A4165" s="10"/>
      <c r="B4165" s="10"/>
      <c r="C4165" s="10"/>
      <c r="D4165" s="10"/>
      <c r="E4165" s="10"/>
      <c r="F4165" s="10"/>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row>
    <row r="4166" spans="1:38">
      <c r="A4166" s="10"/>
      <c r="B4166" s="10"/>
      <c r="C4166" s="10"/>
      <c r="D4166" s="10"/>
      <c r="E4166" s="10"/>
      <c r="F4166" s="10"/>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0"/>
      <c r="AH4166" s="10"/>
      <c r="AI4166" s="10"/>
      <c r="AJ4166" s="10"/>
      <c r="AK4166" s="10"/>
      <c r="AL4166" s="10"/>
    </row>
    <row r="4167" spans="1:38">
      <c r="A4167" s="10"/>
      <c r="B4167" s="10"/>
      <c r="C4167" s="10"/>
      <c r="D4167" s="10"/>
      <c r="E4167" s="10"/>
      <c r="F4167" s="10"/>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row>
    <row r="4168" spans="1:38">
      <c r="A4168" s="10"/>
      <c r="B4168" s="10"/>
      <c r="C4168" s="10"/>
      <c r="D4168" s="10"/>
      <c r="E4168" s="10"/>
      <c r="F4168" s="10"/>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0"/>
      <c r="AH4168" s="10"/>
      <c r="AI4168" s="10"/>
      <c r="AJ4168" s="10"/>
      <c r="AK4168" s="10"/>
      <c r="AL4168" s="10"/>
    </row>
    <row r="4169" spans="1:38">
      <c r="A4169" s="10"/>
      <c r="B4169" s="10"/>
      <c r="C4169" s="10"/>
      <c r="D4169" s="10"/>
      <c r="E4169" s="10"/>
      <c r="F4169" s="10"/>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row>
    <row r="4170" spans="1:38">
      <c r="A4170" s="9"/>
      <c r="B4170" s="9"/>
      <c r="C4170" s="9"/>
      <c r="D4170" s="9"/>
      <c r="E4170" s="9"/>
      <c r="F4170" s="9"/>
      <c r="G4170" s="9"/>
      <c r="H4170" s="9"/>
      <c r="I4170" s="9"/>
      <c r="J4170" s="9"/>
      <c r="K4170" s="9"/>
      <c r="L4170" s="9"/>
      <c r="M4170" s="9"/>
      <c r="N4170" s="9"/>
      <c r="O4170" s="9"/>
      <c r="P4170" s="9"/>
      <c r="Q4170" s="9"/>
      <c r="R4170" s="9"/>
      <c r="S4170" s="9"/>
      <c r="T4170" s="9"/>
      <c r="U4170" s="9"/>
      <c r="V4170" s="9"/>
      <c r="W4170" s="9"/>
      <c r="X4170" s="9"/>
      <c r="Y4170" s="9"/>
      <c r="Z4170" s="9"/>
      <c r="AA4170" s="9"/>
      <c r="AB4170" s="9"/>
      <c r="AC4170" s="9"/>
      <c r="AD4170" s="9"/>
      <c r="AE4170" s="9"/>
      <c r="AF4170" s="9"/>
      <c r="AG4170" s="9"/>
      <c r="AH4170" s="9"/>
      <c r="AI4170" s="9"/>
      <c r="AJ4170" s="9"/>
      <c r="AK4170" s="9"/>
      <c r="AL4170" s="9"/>
    </row>
    <row r="4171" spans="1:38">
      <c r="A4171" s="11"/>
      <c r="B4171" s="11"/>
      <c r="C4171" s="11"/>
      <c r="D4171" s="11"/>
      <c r="E4171" s="11"/>
      <c r="F4171" s="11"/>
      <c r="G4171" s="11"/>
      <c r="H4171" s="11"/>
      <c r="I4171" s="11"/>
      <c r="J4171" s="11"/>
      <c r="K4171" s="11"/>
      <c r="L4171" s="11"/>
      <c r="M4171" s="11"/>
      <c r="N4171" s="11"/>
      <c r="O4171" s="11"/>
      <c r="P4171" s="11"/>
      <c r="Q4171" s="11"/>
      <c r="R4171" s="11"/>
      <c r="S4171" s="11"/>
      <c r="T4171" s="11"/>
      <c r="U4171" s="11"/>
      <c r="V4171" s="11"/>
      <c r="W4171" s="11"/>
      <c r="X4171" s="11"/>
      <c r="Y4171" s="11"/>
      <c r="Z4171" s="11"/>
      <c r="AA4171" s="11"/>
      <c r="AB4171" s="11"/>
      <c r="AC4171" s="11"/>
      <c r="AD4171" s="11"/>
      <c r="AE4171" s="11"/>
      <c r="AF4171" s="11"/>
      <c r="AG4171" s="11"/>
      <c r="AH4171" s="11"/>
      <c r="AI4171" s="11"/>
      <c r="AJ4171" s="11"/>
      <c r="AK4171" s="11"/>
      <c r="AL4171" s="11"/>
    </row>
    <row r="4177" spans="1:38">
      <c r="A4177" s="14"/>
      <c r="B4177" s="14"/>
      <c r="C4177" s="14"/>
      <c r="D4177" s="14"/>
      <c r="E4177" s="14"/>
      <c r="F4177" s="14"/>
      <c r="G4177" s="14"/>
      <c r="H4177" s="14"/>
      <c r="I4177" s="14"/>
      <c r="J4177" s="14"/>
      <c r="K4177" s="14"/>
      <c r="L4177" s="14"/>
      <c r="M4177" s="14"/>
      <c r="N4177" s="14"/>
      <c r="O4177" s="14"/>
      <c r="P4177" s="14"/>
      <c r="Q4177" s="14"/>
      <c r="R4177" s="14"/>
      <c r="S4177" s="14"/>
      <c r="T4177" s="14"/>
      <c r="U4177" s="14"/>
      <c r="V4177" s="14"/>
      <c r="W4177" s="14"/>
      <c r="X4177" s="14"/>
      <c r="Y4177" s="14"/>
      <c r="Z4177" s="14"/>
      <c r="AA4177" s="14"/>
      <c r="AB4177" s="14"/>
      <c r="AC4177" s="14"/>
      <c r="AD4177" s="14"/>
      <c r="AE4177" s="14"/>
      <c r="AF4177" s="14"/>
      <c r="AG4177" s="14"/>
      <c r="AH4177" s="14"/>
      <c r="AI4177" s="14"/>
      <c r="AJ4177" s="14"/>
      <c r="AK4177" s="14"/>
      <c r="AL4177" s="14"/>
    </row>
    <row r="4178" spans="1:38">
      <c r="A4178" s="9"/>
      <c r="B4178" s="9"/>
      <c r="C4178" s="9"/>
      <c r="D4178" s="9"/>
      <c r="E4178" s="9"/>
      <c r="F4178" s="9"/>
      <c r="G4178" s="9"/>
      <c r="H4178" s="9"/>
      <c r="I4178" s="9"/>
      <c r="J4178" s="9"/>
      <c r="K4178" s="9"/>
      <c r="L4178" s="9"/>
      <c r="M4178" s="9"/>
      <c r="N4178" s="9"/>
      <c r="O4178" s="9"/>
      <c r="P4178" s="9"/>
      <c r="Q4178" s="9"/>
      <c r="R4178" s="9"/>
      <c r="S4178" s="9"/>
      <c r="T4178" s="9"/>
      <c r="U4178" s="9"/>
      <c r="V4178" s="9"/>
      <c r="W4178" s="9"/>
      <c r="X4178" s="9"/>
      <c r="Y4178" s="9"/>
      <c r="Z4178" s="9"/>
      <c r="AA4178" s="9"/>
      <c r="AB4178" s="9"/>
      <c r="AC4178" s="9"/>
      <c r="AD4178" s="9"/>
      <c r="AE4178" s="9"/>
      <c r="AF4178" s="9"/>
      <c r="AG4178" s="9"/>
      <c r="AH4178" s="9"/>
      <c r="AI4178" s="9"/>
      <c r="AJ4178" s="9"/>
      <c r="AK4178" s="9"/>
      <c r="AL4178" s="9"/>
    </row>
    <row r="4179" spans="1:38">
      <c r="A4179" s="10"/>
      <c r="B4179" s="10"/>
      <c r="C4179" s="10"/>
      <c r="D4179" s="10"/>
      <c r="E4179" s="10"/>
      <c r="F4179" s="10"/>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row>
    <row r="4180" spans="1:38">
      <c r="A4180" s="10"/>
      <c r="B4180" s="10"/>
      <c r="C4180" s="10"/>
      <c r="D4180" s="10"/>
      <c r="E4180" s="10"/>
      <c r="F4180" s="10"/>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0"/>
      <c r="AH4180" s="10"/>
      <c r="AI4180" s="10"/>
      <c r="AJ4180" s="10"/>
      <c r="AK4180" s="10"/>
      <c r="AL4180" s="10"/>
    </row>
    <row r="4181" spans="1:38">
      <c r="A4181" s="10"/>
      <c r="B4181" s="10"/>
      <c r="C4181" s="10"/>
      <c r="D4181" s="10"/>
      <c r="E4181" s="10"/>
      <c r="F4181" s="10"/>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row>
    <row r="4182" spans="1:38">
      <c r="A4182" s="10"/>
      <c r="B4182" s="10"/>
      <c r="C4182" s="10"/>
      <c r="D4182" s="10"/>
      <c r="E4182" s="10"/>
      <c r="F4182" s="10"/>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0"/>
      <c r="AH4182" s="10"/>
      <c r="AI4182" s="10"/>
      <c r="AJ4182" s="10"/>
      <c r="AK4182" s="10"/>
      <c r="AL4182" s="10"/>
    </row>
    <row r="4183" spans="1:38">
      <c r="A4183" s="10"/>
      <c r="B4183" s="10"/>
      <c r="C4183" s="10"/>
      <c r="D4183" s="10"/>
      <c r="E4183" s="10"/>
      <c r="F4183" s="10"/>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row>
    <row r="4184" spans="1:38">
      <c r="A4184" s="10"/>
      <c r="B4184" s="10"/>
      <c r="C4184" s="10"/>
      <c r="D4184" s="10"/>
      <c r="E4184" s="10"/>
      <c r="F4184" s="10"/>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0"/>
      <c r="AH4184" s="10"/>
      <c r="AI4184" s="10"/>
      <c r="AJ4184" s="10"/>
      <c r="AK4184" s="10"/>
      <c r="AL4184" s="10"/>
    </row>
    <row r="4185" spans="1:38">
      <c r="A4185" s="10"/>
      <c r="B4185" s="10"/>
      <c r="C4185" s="10"/>
      <c r="D4185" s="10"/>
      <c r="E4185" s="10"/>
      <c r="F4185" s="10"/>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row>
    <row r="4186" spans="1:38">
      <c r="A4186" s="10"/>
      <c r="B4186" s="10"/>
      <c r="C4186" s="10"/>
      <c r="D4186" s="10"/>
      <c r="E4186" s="10"/>
      <c r="F4186" s="10"/>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0"/>
      <c r="AH4186" s="10"/>
      <c r="AI4186" s="10"/>
      <c r="AJ4186" s="10"/>
      <c r="AK4186" s="10"/>
      <c r="AL4186" s="10"/>
    </row>
    <row r="4187" spans="1:38">
      <c r="A4187" s="10"/>
      <c r="B4187" s="10"/>
      <c r="C4187" s="10"/>
      <c r="D4187" s="10"/>
      <c r="E4187" s="10"/>
      <c r="F4187" s="10"/>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row>
    <row r="4188" spans="1:38">
      <c r="A4188" s="10"/>
      <c r="B4188" s="10"/>
      <c r="C4188" s="10"/>
      <c r="D4188" s="10"/>
      <c r="E4188" s="10"/>
      <c r="F4188" s="10"/>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0"/>
      <c r="AH4188" s="10"/>
      <c r="AI4188" s="10"/>
      <c r="AJ4188" s="10"/>
      <c r="AK4188" s="10"/>
      <c r="AL4188" s="10"/>
    </row>
    <row r="4189" spans="1:38">
      <c r="A4189" s="9"/>
      <c r="B4189" s="9"/>
      <c r="C4189" s="9"/>
      <c r="D4189" s="9"/>
      <c r="E4189" s="9"/>
      <c r="F4189" s="9"/>
      <c r="G4189" s="9"/>
      <c r="H4189" s="9"/>
      <c r="I4189" s="9"/>
      <c r="J4189" s="9"/>
      <c r="K4189" s="9"/>
      <c r="L4189" s="9"/>
      <c r="M4189" s="9"/>
      <c r="N4189" s="9"/>
      <c r="O4189" s="9"/>
      <c r="P4189" s="9"/>
      <c r="Q4189" s="9"/>
      <c r="R4189" s="9"/>
      <c r="S4189" s="9"/>
      <c r="T4189" s="9"/>
      <c r="U4189" s="9"/>
      <c r="V4189" s="9"/>
      <c r="W4189" s="9"/>
      <c r="X4189" s="9"/>
      <c r="Y4189" s="9"/>
      <c r="Z4189" s="9"/>
      <c r="AA4189" s="9"/>
      <c r="AB4189" s="9"/>
      <c r="AC4189" s="9"/>
      <c r="AD4189" s="9"/>
      <c r="AE4189" s="9"/>
      <c r="AF4189" s="9"/>
      <c r="AG4189" s="9"/>
      <c r="AH4189" s="9"/>
      <c r="AI4189" s="9"/>
      <c r="AJ4189" s="9"/>
      <c r="AK4189" s="9"/>
      <c r="AL4189" s="9"/>
    </row>
    <row r="4190" spans="1:38">
      <c r="A4190" s="11"/>
      <c r="B4190" s="11"/>
      <c r="C4190" s="11"/>
      <c r="D4190" s="11"/>
      <c r="E4190" s="11"/>
      <c r="F4190" s="11"/>
      <c r="G4190" s="11"/>
      <c r="H4190" s="11"/>
      <c r="I4190" s="11"/>
      <c r="J4190" s="11"/>
      <c r="K4190" s="11"/>
      <c r="L4190" s="11"/>
      <c r="M4190" s="11"/>
      <c r="N4190" s="11"/>
      <c r="O4190" s="11"/>
      <c r="P4190" s="11"/>
      <c r="Q4190" s="11"/>
      <c r="R4190" s="11"/>
      <c r="S4190" s="11"/>
      <c r="T4190" s="11"/>
      <c r="U4190" s="11"/>
      <c r="V4190" s="11"/>
      <c r="W4190" s="11"/>
      <c r="X4190" s="11"/>
      <c r="Y4190" s="11"/>
      <c r="Z4190" s="11"/>
      <c r="AA4190" s="11"/>
      <c r="AB4190" s="11"/>
      <c r="AC4190" s="11"/>
      <c r="AD4190" s="11"/>
      <c r="AE4190" s="11"/>
      <c r="AF4190" s="11"/>
      <c r="AG4190" s="11"/>
      <c r="AH4190" s="11"/>
      <c r="AI4190" s="11"/>
      <c r="AJ4190" s="11"/>
      <c r="AK4190" s="11"/>
      <c r="AL4190" s="11"/>
    </row>
    <row r="4196" spans="1:38">
      <c r="A4196" s="14"/>
      <c r="B4196" s="14"/>
      <c r="C4196" s="14"/>
      <c r="D4196" s="14"/>
      <c r="E4196" s="14"/>
      <c r="F4196" s="14"/>
      <c r="G4196" s="14"/>
      <c r="H4196" s="14"/>
      <c r="I4196" s="14"/>
      <c r="J4196" s="14"/>
      <c r="K4196" s="14"/>
      <c r="L4196" s="14"/>
      <c r="M4196" s="14"/>
      <c r="N4196" s="14"/>
      <c r="O4196" s="14"/>
      <c r="P4196" s="14"/>
      <c r="Q4196" s="14"/>
      <c r="R4196" s="14"/>
      <c r="S4196" s="14"/>
      <c r="T4196" s="14"/>
      <c r="U4196" s="14"/>
      <c r="V4196" s="14"/>
      <c r="W4196" s="14"/>
      <c r="X4196" s="14"/>
      <c r="Y4196" s="14"/>
      <c r="Z4196" s="14"/>
      <c r="AA4196" s="14"/>
      <c r="AB4196" s="14"/>
      <c r="AC4196" s="14"/>
      <c r="AD4196" s="14"/>
      <c r="AE4196" s="14"/>
      <c r="AF4196" s="14"/>
      <c r="AG4196" s="14"/>
      <c r="AH4196" s="14"/>
      <c r="AI4196" s="14"/>
      <c r="AJ4196" s="14"/>
      <c r="AK4196" s="14"/>
      <c r="AL4196" s="14"/>
    </row>
    <row r="4197" spans="1:38">
      <c r="A4197" s="9"/>
      <c r="B4197" s="9"/>
      <c r="C4197" s="9"/>
      <c r="D4197" s="9"/>
      <c r="E4197" s="9"/>
      <c r="F4197" s="9"/>
      <c r="G4197" s="9"/>
      <c r="H4197" s="9"/>
      <c r="I4197" s="9"/>
      <c r="J4197" s="9"/>
      <c r="K4197" s="9"/>
      <c r="L4197" s="9"/>
      <c r="M4197" s="9"/>
      <c r="N4197" s="9"/>
      <c r="O4197" s="9"/>
      <c r="P4197" s="9"/>
      <c r="Q4197" s="9"/>
      <c r="R4197" s="9"/>
      <c r="S4197" s="9"/>
      <c r="T4197" s="9"/>
      <c r="U4197" s="9"/>
      <c r="V4197" s="9"/>
      <c r="W4197" s="9"/>
      <c r="X4197" s="9"/>
      <c r="Y4197" s="9"/>
      <c r="Z4197" s="9"/>
      <c r="AA4197" s="9"/>
      <c r="AB4197" s="9"/>
      <c r="AC4197" s="9"/>
      <c r="AD4197" s="9"/>
      <c r="AE4197" s="9"/>
      <c r="AF4197" s="9"/>
      <c r="AG4197" s="9"/>
      <c r="AH4197" s="9"/>
      <c r="AI4197" s="9"/>
      <c r="AJ4197" s="9"/>
      <c r="AK4197" s="9"/>
      <c r="AL4197" s="9"/>
    </row>
    <row r="4198" spans="1:38">
      <c r="A4198" s="10"/>
      <c r="B4198" s="10"/>
      <c r="C4198" s="10"/>
      <c r="D4198" s="10"/>
      <c r="E4198" s="10"/>
      <c r="F4198" s="10"/>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0"/>
      <c r="AH4198" s="10"/>
      <c r="AI4198" s="10"/>
      <c r="AJ4198" s="10"/>
      <c r="AK4198" s="10"/>
      <c r="AL4198" s="10"/>
    </row>
    <row r="4199" spans="1:38">
      <c r="A4199" s="10"/>
      <c r="B4199" s="10"/>
      <c r="C4199" s="10"/>
      <c r="D4199" s="10"/>
      <c r="E4199" s="10"/>
      <c r="F4199" s="10"/>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row>
    <row r="4200" spans="1:38">
      <c r="A4200" s="10"/>
      <c r="B4200" s="10"/>
      <c r="C4200" s="10"/>
      <c r="D4200" s="10"/>
      <c r="E4200" s="10"/>
      <c r="F4200" s="10"/>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0"/>
      <c r="AH4200" s="10"/>
      <c r="AI4200" s="10"/>
      <c r="AJ4200" s="10"/>
      <c r="AK4200" s="10"/>
      <c r="AL4200" s="10"/>
    </row>
    <row r="4201" spans="1:38">
      <c r="A4201" s="10"/>
      <c r="B4201" s="10"/>
      <c r="C4201" s="10"/>
      <c r="D4201" s="10"/>
      <c r="E4201" s="10"/>
      <c r="F4201" s="10"/>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row>
    <row r="4202" spans="1:38">
      <c r="A4202" s="10"/>
      <c r="B4202" s="10"/>
      <c r="C4202" s="10"/>
      <c r="D4202" s="10"/>
      <c r="E4202" s="10"/>
      <c r="F4202" s="10"/>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0"/>
      <c r="AH4202" s="10"/>
      <c r="AI4202" s="10"/>
      <c r="AJ4202" s="10"/>
      <c r="AK4202" s="10"/>
      <c r="AL4202" s="10"/>
    </row>
    <row r="4203" spans="1:38">
      <c r="A4203" s="10"/>
      <c r="B4203" s="10"/>
      <c r="C4203" s="10"/>
      <c r="D4203" s="10"/>
      <c r="E4203" s="10"/>
      <c r="F4203" s="10"/>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row>
    <row r="4204" spans="1:38">
      <c r="A4204" s="10"/>
      <c r="B4204" s="10"/>
      <c r="C4204" s="10"/>
      <c r="D4204" s="10"/>
      <c r="E4204" s="10"/>
      <c r="F4204" s="10"/>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0"/>
      <c r="AH4204" s="10"/>
      <c r="AI4204" s="10"/>
      <c r="AJ4204" s="10"/>
      <c r="AK4204" s="10"/>
      <c r="AL4204" s="10"/>
    </row>
    <row r="4205" spans="1:38">
      <c r="A4205" s="10"/>
      <c r="B4205" s="10"/>
      <c r="C4205" s="10"/>
      <c r="D4205" s="10"/>
      <c r="E4205" s="10"/>
      <c r="F4205" s="10"/>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row>
    <row r="4206" spans="1:38">
      <c r="A4206" s="10"/>
      <c r="B4206" s="10"/>
      <c r="C4206" s="10"/>
      <c r="D4206" s="10"/>
      <c r="E4206" s="10"/>
      <c r="F4206" s="10"/>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0"/>
      <c r="AH4206" s="10"/>
      <c r="AI4206" s="10"/>
      <c r="AJ4206" s="10"/>
      <c r="AK4206" s="10"/>
      <c r="AL4206" s="10"/>
    </row>
    <row r="4207" spans="1:38">
      <c r="A4207" s="10"/>
      <c r="B4207" s="10"/>
      <c r="C4207" s="10"/>
      <c r="D4207" s="10"/>
      <c r="E4207" s="10"/>
      <c r="F4207" s="10"/>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row>
    <row r="4208" spans="1:38">
      <c r="A4208" s="9"/>
      <c r="B4208" s="9"/>
      <c r="C4208" s="9"/>
      <c r="D4208" s="9"/>
      <c r="E4208" s="9"/>
      <c r="F4208" s="9"/>
      <c r="G4208" s="9"/>
      <c r="H4208" s="9"/>
      <c r="I4208" s="9"/>
      <c r="J4208" s="9"/>
      <c r="K4208" s="9"/>
      <c r="L4208" s="9"/>
      <c r="M4208" s="9"/>
      <c r="N4208" s="9"/>
      <c r="O4208" s="9"/>
      <c r="P4208" s="9"/>
      <c r="Q4208" s="9"/>
      <c r="R4208" s="9"/>
      <c r="S4208" s="9"/>
      <c r="T4208" s="9"/>
      <c r="U4208" s="9"/>
      <c r="V4208" s="9"/>
      <c r="W4208" s="9"/>
      <c r="X4208" s="9"/>
      <c r="Y4208" s="9"/>
      <c r="Z4208" s="9"/>
      <c r="AA4208" s="9"/>
      <c r="AB4208" s="9"/>
      <c r="AC4208" s="9"/>
      <c r="AD4208" s="9"/>
      <c r="AE4208" s="9"/>
      <c r="AF4208" s="9"/>
      <c r="AG4208" s="9"/>
      <c r="AH4208" s="9"/>
      <c r="AI4208" s="9"/>
      <c r="AJ4208" s="9"/>
      <c r="AK4208" s="9"/>
      <c r="AL4208" s="9"/>
    </row>
    <row r="4209" spans="1:38">
      <c r="A4209" s="11"/>
      <c r="B4209" s="11"/>
      <c r="C4209" s="11"/>
      <c r="D4209" s="11"/>
      <c r="E4209" s="11"/>
      <c r="F4209" s="11"/>
      <c r="G4209" s="11"/>
      <c r="H4209" s="11"/>
      <c r="I4209" s="11"/>
      <c r="J4209" s="11"/>
      <c r="K4209" s="11"/>
      <c r="L4209" s="11"/>
      <c r="M4209" s="11"/>
      <c r="N4209" s="11"/>
      <c r="O4209" s="11"/>
      <c r="P4209" s="11"/>
      <c r="Q4209" s="11"/>
      <c r="R4209" s="11"/>
      <c r="S4209" s="11"/>
      <c r="T4209" s="11"/>
      <c r="U4209" s="11"/>
      <c r="V4209" s="11"/>
      <c r="W4209" s="11"/>
      <c r="X4209" s="11"/>
      <c r="Y4209" s="11"/>
      <c r="Z4209" s="11"/>
      <c r="AA4209" s="11"/>
      <c r="AB4209" s="11"/>
      <c r="AC4209" s="11"/>
      <c r="AD4209" s="11"/>
      <c r="AE4209" s="11"/>
      <c r="AF4209" s="11"/>
      <c r="AG4209" s="11"/>
      <c r="AH4209" s="11"/>
      <c r="AI4209" s="11"/>
      <c r="AJ4209" s="11"/>
      <c r="AK4209" s="11"/>
      <c r="AL4209" s="11"/>
    </row>
    <row r="4221" spans="1:38">
      <c r="A4221" s="14"/>
      <c r="B4221" s="14"/>
      <c r="C4221" s="14"/>
      <c r="D4221" s="14"/>
      <c r="E4221" s="14"/>
      <c r="F4221" s="14"/>
      <c r="G4221" s="14"/>
      <c r="H4221" s="14"/>
      <c r="I4221" s="14"/>
      <c r="J4221" s="14"/>
      <c r="K4221" s="14"/>
      <c r="L4221" s="14"/>
      <c r="M4221" s="14"/>
      <c r="N4221" s="14"/>
      <c r="O4221" s="14"/>
      <c r="P4221" s="14"/>
      <c r="Q4221" s="14"/>
      <c r="R4221" s="14"/>
      <c r="S4221" s="14"/>
      <c r="T4221" s="14"/>
      <c r="U4221" s="14"/>
      <c r="V4221" s="14"/>
      <c r="W4221" s="14"/>
      <c r="X4221" s="14"/>
      <c r="Y4221" s="14"/>
      <c r="Z4221" s="14"/>
      <c r="AA4221" s="14"/>
      <c r="AB4221" s="14"/>
      <c r="AC4221" s="14"/>
      <c r="AD4221" s="14"/>
      <c r="AE4221" s="14"/>
      <c r="AF4221" s="14"/>
      <c r="AG4221" s="14"/>
      <c r="AH4221" s="14"/>
      <c r="AI4221" s="14"/>
      <c r="AJ4221" s="14"/>
      <c r="AK4221" s="14"/>
      <c r="AL4221" s="14"/>
    </row>
    <row r="4222" spans="1:38">
      <c r="A4222" s="9"/>
      <c r="B4222" s="9"/>
      <c r="C4222" s="9"/>
      <c r="D4222" s="9"/>
      <c r="E4222" s="9"/>
      <c r="F4222" s="9"/>
      <c r="G4222" s="9"/>
      <c r="H4222" s="9"/>
      <c r="I4222" s="9"/>
      <c r="J4222" s="9"/>
      <c r="K4222" s="9"/>
      <c r="L4222" s="9"/>
      <c r="M4222" s="9"/>
      <c r="N4222" s="9"/>
      <c r="O4222" s="9"/>
      <c r="P4222" s="9"/>
      <c r="Q4222" s="9"/>
      <c r="R4222" s="9"/>
      <c r="S4222" s="9"/>
      <c r="T4222" s="9"/>
      <c r="U4222" s="9"/>
      <c r="V4222" s="9"/>
      <c r="W4222" s="9"/>
      <c r="X4222" s="9"/>
      <c r="Y4222" s="9"/>
      <c r="Z4222" s="9"/>
      <c r="AA4222" s="9"/>
      <c r="AB4222" s="9"/>
      <c r="AC4222" s="9"/>
      <c r="AD4222" s="9"/>
      <c r="AE4222" s="9"/>
      <c r="AF4222" s="9"/>
      <c r="AG4222" s="9"/>
      <c r="AH4222" s="9"/>
      <c r="AI4222" s="9"/>
      <c r="AJ4222" s="9"/>
      <c r="AK4222" s="9"/>
      <c r="AL4222" s="9"/>
    </row>
    <row r="4223" spans="1:38">
      <c r="A4223" s="10"/>
      <c r="B4223" s="10"/>
      <c r="C4223" s="10"/>
      <c r="D4223" s="10"/>
      <c r="E4223" s="10"/>
      <c r="F4223" s="10"/>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row>
    <row r="4224" spans="1:38">
      <c r="A4224" s="10"/>
      <c r="B4224" s="10"/>
      <c r="C4224" s="10"/>
      <c r="D4224" s="10"/>
      <c r="E4224" s="10"/>
      <c r="F4224" s="10"/>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0"/>
      <c r="AH4224" s="10"/>
      <c r="AI4224" s="10"/>
      <c r="AJ4224" s="10"/>
      <c r="AK4224" s="10"/>
      <c r="AL4224" s="10"/>
    </row>
    <row r="4225" spans="1:38">
      <c r="A4225" s="10"/>
      <c r="B4225" s="10"/>
      <c r="C4225" s="10"/>
      <c r="D4225" s="10"/>
      <c r="E4225" s="10"/>
      <c r="F4225" s="10"/>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row>
    <row r="4226" spans="1:38">
      <c r="A4226" s="10"/>
      <c r="B4226" s="10"/>
      <c r="C4226" s="10"/>
      <c r="D4226" s="10"/>
      <c r="E4226" s="10"/>
      <c r="F4226" s="10"/>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0"/>
      <c r="AH4226" s="10"/>
      <c r="AI4226" s="10"/>
      <c r="AJ4226" s="10"/>
      <c r="AK4226" s="10"/>
      <c r="AL4226" s="10"/>
    </row>
    <row r="4227" spans="1:38">
      <c r="A4227" s="10"/>
      <c r="B4227" s="10"/>
      <c r="C4227" s="10"/>
      <c r="D4227" s="10"/>
      <c r="E4227" s="10"/>
      <c r="F4227" s="10"/>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row>
    <row r="4228" spans="1:38">
      <c r="A4228" s="10"/>
      <c r="B4228" s="10"/>
      <c r="C4228" s="10"/>
      <c r="D4228" s="10"/>
      <c r="E4228" s="10"/>
      <c r="F4228" s="10"/>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0"/>
      <c r="AH4228" s="10"/>
      <c r="AI4228" s="10"/>
      <c r="AJ4228" s="10"/>
      <c r="AK4228" s="10"/>
      <c r="AL4228" s="10"/>
    </row>
    <row r="4229" spans="1:38">
      <c r="A4229" s="10"/>
      <c r="B4229" s="10"/>
      <c r="C4229" s="10"/>
      <c r="D4229" s="10"/>
      <c r="E4229" s="10"/>
      <c r="F4229" s="10"/>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row>
    <row r="4230" spans="1:38">
      <c r="A4230" s="10"/>
      <c r="B4230" s="10"/>
      <c r="C4230" s="10"/>
      <c r="D4230" s="10"/>
      <c r="E4230" s="10"/>
      <c r="F4230" s="10"/>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0"/>
      <c r="AH4230" s="10"/>
      <c r="AI4230" s="10"/>
      <c r="AJ4230" s="10"/>
      <c r="AK4230" s="10"/>
      <c r="AL4230" s="10"/>
    </row>
    <row r="4231" spans="1:38">
      <c r="A4231" s="10"/>
      <c r="B4231" s="10"/>
      <c r="C4231" s="10"/>
      <c r="D4231" s="10"/>
      <c r="E4231" s="10"/>
      <c r="F4231" s="10"/>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row>
    <row r="4232" spans="1:38">
      <c r="A4232" s="10"/>
      <c r="B4232" s="10"/>
      <c r="C4232" s="10"/>
      <c r="D4232" s="10"/>
      <c r="E4232" s="10"/>
      <c r="F4232" s="10"/>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0"/>
      <c r="AH4232" s="10"/>
      <c r="AI4232" s="10"/>
      <c r="AJ4232" s="10"/>
      <c r="AK4232" s="10"/>
      <c r="AL4232" s="10"/>
    </row>
    <row r="4233" spans="1:38">
      <c r="A4233" s="9"/>
      <c r="B4233" s="9"/>
      <c r="C4233" s="9"/>
      <c r="D4233" s="9"/>
      <c r="E4233" s="9"/>
      <c r="F4233" s="9"/>
      <c r="G4233" s="9"/>
      <c r="H4233" s="9"/>
      <c r="I4233" s="9"/>
      <c r="J4233" s="9"/>
      <c r="K4233" s="9"/>
      <c r="L4233" s="9"/>
      <c r="M4233" s="9"/>
      <c r="N4233" s="9"/>
      <c r="O4233" s="9"/>
      <c r="P4233" s="9"/>
      <c r="Q4233" s="9"/>
      <c r="R4233" s="9"/>
      <c r="S4233" s="9"/>
      <c r="T4233" s="9"/>
      <c r="U4233" s="9"/>
      <c r="V4233" s="9"/>
      <c r="W4233" s="9"/>
      <c r="X4233" s="9"/>
      <c r="Y4233" s="9"/>
      <c r="Z4233" s="9"/>
      <c r="AA4233" s="9"/>
      <c r="AB4233" s="9"/>
      <c r="AC4233" s="9"/>
      <c r="AD4233" s="9"/>
      <c r="AE4233" s="9"/>
      <c r="AF4233" s="9"/>
      <c r="AG4233" s="9"/>
      <c r="AH4233" s="9"/>
      <c r="AI4233" s="9"/>
      <c r="AJ4233" s="9"/>
      <c r="AK4233" s="9"/>
      <c r="AL4233" s="9"/>
    </row>
    <row r="4234" spans="1:38">
      <c r="A4234" s="11"/>
      <c r="B4234" s="11"/>
      <c r="C4234" s="11"/>
      <c r="D4234" s="11"/>
      <c r="E4234" s="11"/>
      <c r="F4234" s="11"/>
      <c r="G4234" s="11"/>
      <c r="H4234" s="11"/>
      <c r="I4234" s="11"/>
      <c r="J4234" s="11"/>
      <c r="K4234" s="11"/>
      <c r="L4234" s="11"/>
      <c r="M4234" s="11"/>
      <c r="N4234" s="11"/>
      <c r="O4234" s="11"/>
      <c r="P4234" s="11"/>
      <c r="Q4234" s="11"/>
      <c r="R4234" s="11"/>
      <c r="S4234" s="11"/>
      <c r="T4234" s="11"/>
      <c r="U4234" s="11"/>
      <c r="V4234" s="11"/>
      <c r="W4234" s="11"/>
      <c r="X4234" s="11"/>
      <c r="Y4234" s="11"/>
      <c r="Z4234" s="11"/>
      <c r="AA4234" s="11"/>
      <c r="AB4234" s="11"/>
      <c r="AC4234" s="11"/>
      <c r="AD4234" s="11"/>
      <c r="AE4234" s="11"/>
      <c r="AF4234" s="11"/>
      <c r="AG4234" s="11"/>
      <c r="AH4234" s="11"/>
      <c r="AI4234" s="11"/>
      <c r="AJ4234" s="11"/>
      <c r="AK4234" s="11"/>
      <c r="AL4234" s="11"/>
    </row>
    <row r="4242" spans="1:38">
      <c r="A4242" s="14"/>
      <c r="B4242" s="14"/>
      <c r="C4242" s="14"/>
      <c r="D4242" s="14"/>
      <c r="E4242" s="14"/>
      <c r="F4242" s="14"/>
      <c r="G4242" s="14"/>
      <c r="H4242" s="14"/>
      <c r="I4242" s="14"/>
      <c r="J4242" s="14"/>
      <c r="K4242" s="14"/>
      <c r="L4242" s="14"/>
      <c r="M4242" s="14"/>
      <c r="N4242" s="14"/>
      <c r="O4242" s="14"/>
      <c r="P4242" s="14"/>
      <c r="Q4242" s="14"/>
      <c r="R4242" s="14"/>
      <c r="S4242" s="14"/>
      <c r="T4242" s="14"/>
      <c r="U4242" s="14"/>
      <c r="V4242" s="14"/>
      <c r="W4242" s="14"/>
      <c r="X4242" s="14"/>
      <c r="Y4242" s="14"/>
      <c r="Z4242" s="14"/>
      <c r="AA4242" s="14"/>
      <c r="AB4242" s="14"/>
      <c r="AC4242" s="14"/>
      <c r="AD4242" s="14"/>
      <c r="AE4242" s="14"/>
      <c r="AF4242" s="14"/>
      <c r="AG4242" s="14"/>
      <c r="AH4242" s="14"/>
      <c r="AI4242" s="14"/>
      <c r="AJ4242" s="14"/>
      <c r="AK4242" s="14"/>
      <c r="AL4242" s="14"/>
    </row>
    <row r="4243" spans="1:38">
      <c r="A4243" s="9"/>
      <c r="B4243" s="9"/>
      <c r="C4243" s="9"/>
      <c r="D4243" s="9"/>
      <c r="E4243" s="9"/>
      <c r="F4243" s="9"/>
      <c r="G4243" s="9"/>
      <c r="H4243" s="9"/>
      <c r="I4243" s="9"/>
      <c r="J4243" s="9"/>
      <c r="K4243" s="9"/>
      <c r="L4243" s="9"/>
      <c r="M4243" s="9"/>
      <c r="N4243" s="9"/>
      <c r="O4243" s="9"/>
      <c r="P4243" s="9"/>
      <c r="Q4243" s="9"/>
      <c r="R4243" s="9"/>
      <c r="S4243" s="9"/>
      <c r="T4243" s="9"/>
      <c r="U4243" s="9"/>
      <c r="V4243" s="9"/>
      <c r="W4243" s="9"/>
      <c r="X4243" s="9"/>
      <c r="Y4243" s="9"/>
      <c r="Z4243" s="9"/>
      <c r="AA4243" s="9"/>
      <c r="AB4243" s="9"/>
      <c r="AC4243" s="9"/>
      <c r="AD4243" s="9"/>
      <c r="AE4243" s="9"/>
      <c r="AF4243" s="9"/>
      <c r="AG4243" s="9"/>
      <c r="AH4243" s="9"/>
      <c r="AI4243" s="9"/>
      <c r="AJ4243" s="9"/>
      <c r="AK4243" s="9"/>
      <c r="AL4243" s="9"/>
    </row>
    <row r="4244" spans="1:38">
      <c r="A4244" s="10"/>
      <c r="B4244" s="10"/>
      <c r="C4244" s="10"/>
      <c r="D4244" s="10"/>
      <c r="E4244" s="10"/>
      <c r="F4244" s="10"/>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0"/>
      <c r="AH4244" s="10"/>
      <c r="AI4244" s="10"/>
      <c r="AJ4244" s="10"/>
      <c r="AK4244" s="10"/>
      <c r="AL4244" s="10"/>
    </row>
    <row r="4245" spans="1:38">
      <c r="A4245" s="10"/>
      <c r="B4245" s="10"/>
      <c r="C4245" s="10"/>
      <c r="D4245" s="10"/>
      <c r="E4245" s="10"/>
      <c r="F4245" s="10"/>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row>
    <row r="4246" spans="1:38">
      <c r="A4246" s="10"/>
      <c r="B4246" s="10"/>
      <c r="C4246" s="10"/>
      <c r="D4246" s="10"/>
      <c r="E4246" s="10"/>
      <c r="F4246" s="10"/>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0"/>
      <c r="AH4246" s="10"/>
      <c r="AI4246" s="10"/>
      <c r="AJ4246" s="10"/>
      <c r="AK4246" s="10"/>
      <c r="AL4246" s="10"/>
    </row>
    <row r="4247" spans="1:38">
      <c r="A4247" s="10"/>
      <c r="B4247" s="10"/>
      <c r="C4247" s="10"/>
      <c r="D4247" s="10"/>
      <c r="E4247" s="10"/>
      <c r="F4247" s="10"/>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row>
    <row r="4248" spans="1:38">
      <c r="A4248" s="10"/>
      <c r="B4248" s="10"/>
      <c r="C4248" s="10"/>
      <c r="D4248" s="10"/>
      <c r="E4248" s="10"/>
      <c r="F4248" s="10"/>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0"/>
      <c r="AH4248" s="10"/>
      <c r="AI4248" s="10"/>
      <c r="AJ4248" s="10"/>
      <c r="AK4248" s="10"/>
      <c r="AL4248" s="10"/>
    </row>
    <row r="4249" spans="1:38">
      <c r="A4249" s="10"/>
      <c r="B4249" s="10"/>
      <c r="C4249" s="10"/>
      <c r="D4249" s="10"/>
      <c r="E4249" s="10"/>
      <c r="F4249" s="10"/>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row>
    <row r="4250" spans="1:38">
      <c r="A4250" s="10"/>
      <c r="B4250" s="10"/>
      <c r="C4250" s="10"/>
      <c r="D4250" s="10"/>
      <c r="E4250" s="10"/>
      <c r="F4250" s="10"/>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0"/>
      <c r="AH4250" s="10"/>
      <c r="AI4250" s="10"/>
      <c r="AJ4250" s="10"/>
      <c r="AK4250" s="10"/>
      <c r="AL4250" s="10"/>
    </row>
    <row r="4251" spans="1:38">
      <c r="A4251" s="10"/>
      <c r="B4251" s="10"/>
      <c r="C4251" s="10"/>
      <c r="D4251" s="10"/>
      <c r="E4251" s="10"/>
      <c r="F4251" s="10"/>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row>
    <row r="4252" spans="1:38">
      <c r="A4252" s="10"/>
      <c r="B4252" s="10"/>
      <c r="C4252" s="10"/>
      <c r="D4252" s="10"/>
      <c r="E4252" s="10"/>
      <c r="F4252" s="10"/>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0"/>
      <c r="AH4252" s="10"/>
      <c r="AI4252" s="10"/>
      <c r="AJ4252" s="10"/>
      <c r="AK4252" s="10"/>
      <c r="AL4252" s="10"/>
    </row>
    <row r="4253" spans="1:38">
      <c r="A4253" s="10"/>
      <c r="B4253" s="10"/>
      <c r="C4253" s="10"/>
      <c r="D4253" s="10"/>
      <c r="E4253" s="10"/>
      <c r="F4253" s="10"/>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row>
    <row r="4254" spans="1:38">
      <c r="A4254" s="9"/>
      <c r="B4254" s="9"/>
      <c r="C4254" s="9"/>
      <c r="D4254" s="9"/>
      <c r="E4254" s="9"/>
      <c r="F4254" s="9"/>
      <c r="G4254" s="9"/>
      <c r="H4254" s="9"/>
      <c r="I4254" s="9"/>
      <c r="J4254" s="9"/>
      <c r="K4254" s="9"/>
      <c r="L4254" s="9"/>
      <c r="M4254" s="9"/>
      <c r="N4254" s="9"/>
      <c r="O4254" s="9"/>
      <c r="P4254" s="9"/>
      <c r="Q4254" s="9"/>
      <c r="R4254" s="9"/>
      <c r="S4254" s="9"/>
      <c r="T4254" s="9"/>
      <c r="U4254" s="9"/>
      <c r="V4254" s="9"/>
      <c r="W4254" s="9"/>
      <c r="X4254" s="9"/>
      <c r="Y4254" s="9"/>
      <c r="Z4254" s="9"/>
      <c r="AA4254" s="9"/>
      <c r="AB4254" s="9"/>
      <c r="AC4254" s="9"/>
      <c r="AD4254" s="9"/>
      <c r="AE4254" s="9"/>
      <c r="AF4254" s="9"/>
      <c r="AG4254" s="9"/>
      <c r="AH4254" s="9"/>
      <c r="AI4254" s="9"/>
      <c r="AJ4254" s="9"/>
      <c r="AK4254" s="9"/>
      <c r="AL4254" s="9"/>
    </row>
    <row r="4255" spans="1:38">
      <c r="A4255" s="11"/>
      <c r="B4255" s="11"/>
      <c r="C4255" s="11"/>
      <c r="D4255" s="11"/>
      <c r="E4255" s="11"/>
      <c r="F4255" s="11"/>
      <c r="G4255" s="11"/>
      <c r="H4255" s="11"/>
      <c r="I4255" s="11"/>
      <c r="J4255" s="11"/>
      <c r="K4255" s="11"/>
      <c r="L4255" s="11"/>
      <c r="M4255" s="11"/>
      <c r="N4255" s="11"/>
      <c r="O4255" s="11"/>
      <c r="P4255" s="11"/>
      <c r="Q4255" s="11"/>
      <c r="R4255" s="11"/>
      <c r="S4255" s="11"/>
      <c r="T4255" s="11"/>
      <c r="U4255" s="11"/>
      <c r="V4255" s="11"/>
      <c r="W4255" s="11"/>
      <c r="X4255" s="11"/>
      <c r="Y4255" s="11"/>
      <c r="Z4255" s="11"/>
      <c r="AA4255" s="11"/>
      <c r="AB4255" s="11"/>
      <c r="AC4255" s="11"/>
      <c r="AD4255" s="11"/>
      <c r="AE4255" s="11"/>
      <c r="AF4255" s="11"/>
      <c r="AG4255" s="11"/>
      <c r="AH4255" s="11"/>
      <c r="AI4255" s="11"/>
      <c r="AJ4255" s="11"/>
      <c r="AK4255" s="11"/>
      <c r="AL4255" s="11"/>
    </row>
    <row r="4262" spans="1:38">
      <c r="A4262" s="14"/>
      <c r="B4262" s="14"/>
      <c r="C4262" s="14"/>
      <c r="D4262" s="14"/>
      <c r="E4262" s="14"/>
      <c r="F4262" s="14"/>
      <c r="G4262" s="14"/>
      <c r="H4262" s="14"/>
      <c r="I4262" s="14"/>
      <c r="J4262" s="14"/>
      <c r="K4262" s="14"/>
      <c r="L4262" s="14"/>
      <c r="M4262" s="14"/>
      <c r="N4262" s="14"/>
      <c r="O4262" s="14"/>
      <c r="P4262" s="14"/>
      <c r="Q4262" s="14"/>
      <c r="R4262" s="14"/>
      <c r="S4262" s="14"/>
      <c r="T4262" s="14"/>
      <c r="U4262" s="14"/>
      <c r="V4262" s="14"/>
      <c r="W4262" s="14"/>
      <c r="X4262" s="14"/>
      <c r="Y4262" s="14"/>
      <c r="Z4262" s="14"/>
      <c r="AA4262" s="14"/>
      <c r="AB4262" s="14"/>
      <c r="AC4262" s="14"/>
      <c r="AD4262" s="14"/>
      <c r="AE4262" s="14"/>
      <c r="AF4262" s="14"/>
      <c r="AG4262" s="14"/>
      <c r="AH4262" s="14"/>
      <c r="AI4262" s="14"/>
      <c r="AJ4262" s="14"/>
      <c r="AK4262" s="14"/>
      <c r="AL4262" s="14"/>
    </row>
    <row r="4263" spans="1:38">
      <c r="A4263" s="9"/>
      <c r="B4263" s="9"/>
      <c r="C4263" s="9"/>
      <c r="D4263" s="9"/>
      <c r="E4263" s="9"/>
      <c r="F4263" s="9"/>
      <c r="G4263" s="9"/>
      <c r="H4263" s="9"/>
      <c r="I4263" s="9"/>
      <c r="J4263" s="9"/>
      <c r="K4263" s="9"/>
      <c r="L4263" s="9"/>
      <c r="M4263" s="9"/>
      <c r="N4263" s="9"/>
      <c r="O4263" s="9"/>
      <c r="P4263" s="9"/>
      <c r="Q4263" s="9"/>
      <c r="R4263" s="9"/>
      <c r="S4263" s="9"/>
      <c r="T4263" s="9"/>
      <c r="U4263" s="9"/>
      <c r="V4263" s="9"/>
      <c r="W4263" s="9"/>
      <c r="X4263" s="9"/>
      <c r="Y4263" s="9"/>
      <c r="Z4263" s="9"/>
      <c r="AA4263" s="9"/>
      <c r="AB4263" s="9"/>
      <c r="AC4263" s="9"/>
      <c r="AD4263" s="9"/>
      <c r="AE4263" s="9"/>
      <c r="AF4263" s="9"/>
      <c r="AG4263" s="9"/>
      <c r="AH4263" s="9"/>
      <c r="AI4263" s="9"/>
      <c r="AJ4263" s="9"/>
      <c r="AK4263" s="9"/>
      <c r="AL4263" s="9"/>
    </row>
    <row r="4264" spans="1:38">
      <c r="A4264" s="10"/>
      <c r="B4264" s="10"/>
      <c r="C4264" s="10"/>
      <c r="D4264" s="10"/>
      <c r="E4264" s="10"/>
      <c r="F4264" s="10"/>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0"/>
      <c r="AH4264" s="10"/>
      <c r="AI4264" s="10"/>
      <c r="AJ4264" s="10"/>
      <c r="AK4264" s="10"/>
      <c r="AL4264" s="10"/>
    </row>
    <row r="4265" spans="1:38">
      <c r="A4265" s="10"/>
      <c r="B4265" s="10"/>
      <c r="C4265" s="10"/>
      <c r="D4265" s="10"/>
      <c r="E4265" s="10"/>
      <c r="F4265" s="10"/>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row>
    <row r="4266" spans="1:38">
      <c r="A4266" s="10"/>
      <c r="B4266" s="10"/>
      <c r="C4266" s="10"/>
      <c r="D4266" s="10"/>
      <c r="E4266" s="10"/>
      <c r="F4266" s="10"/>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0"/>
      <c r="AH4266" s="10"/>
      <c r="AI4266" s="10"/>
      <c r="AJ4266" s="10"/>
      <c r="AK4266" s="10"/>
      <c r="AL4266" s="10"/>
    </row>
    <row r="4267" spans="1:38">
      <c r="A4267" s="10"/>
      <c r="B4267" s="10"/>
      <c r="C4267" s="10"/>
      <c r="D4267" s="10"/>
      <c r="E4267" s="10"/>
      <c r="F4267" s="10"/>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row>
    <row r="4268" spans="1:38">
      <c r="A4268" s="10"/>
      <c r="B4268" s="10"/>
      <c r="C4268" s="10"/>
      <c r="D4268" s="10"/>
      <c r="E4268" s="10"/>
      <c r="F4268" s="10"/>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0"/>
      <c r="AH4268" s="10"/>
      <c r="AI4268" s="10"/>
      <c r="AJ4268" s="10"/>
      <c r="AK4268" s="10"/>
      <c r="AL4268" s="10"/>
    </row>
    <row r="4269" spans="1:38">
      <c r="A4269" s="10"/>
      <c r="B4269" s="10"/>
      <c r="C4269" s="10"/>
      <c r="D4269" s="10"/>
      <c r="E4269" s="10"/>
      <c r="F4269" s="10"/>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row>
    <row r="4270" spans="1:38">
      <c r="A4270" s="10"/>
      <c r="B4270" s="10"/>
      <c r="C4270" s="10"/>
      <c r="D4270" s="10"/>
      <c r="E4270" s="10"/>
      <c r="F4270" s="10"/>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0"/>
      <c r="AH4270" s="10"/>
      <c r="AI4270" s="10"/>
      <c r="AJ4270" s="10"/>
      <c r="AK4270" s="10"/>
      <c r="AL4270" s="10"/>
    </row>
    <row r="4271" spans="1:38">
      <c r="A4271" s="10"/>
      <c r="B4271" s="10"/>
      <c r="C4271" s="10"/>
      <c r="D4271" s="10"/>
      <c r="E4271" s="10"/>
      <c r="F4271" s="10"/>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row>
    <row r="4272" spans="1:38">
      <c r="A4272" s="10"/>
      <c r="B4272" s="10"/>
      <c r="C4272" s="10"/>
      <c r="D4272" s="10"/>
      <c r="E4272" s="10"/>
      <c r="F4272" s="10"/>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0"/>
      <c r="AH4272" s="10"/>
      <c r="AI4272" s="10"/>
      <c r="AJ4272" s="10"/>
      <c r="AK4272" s="10"/>
      <c r="AL4272" s="10"/>
    </row>
    <row r="4273" spans="1:38">
      <c r="A4273" s="10"/>
      <c r="B4273" s="10"/>
      <c r="C4273" s="10"/>
      <c r="D4273" s="10"/>
      <c r="E4273" s="10"/>
      <c r="F4273" s="10"/>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row>
    <row r="4274" spans="1:38">
      <c r="A4274" s="9"/>
      <c r="B4274" s="9"/>
      <c r="C4274" s="9"/>
      <c r="D4274" s="9"/>
      <c r="E4274" s="9"/>
      <c r="F4274" s="9"/>
      <c r="G4274" s="9"/>
      <c r="H4274" s="9"/>
      <c r="I4274" s="9"/>
      <c r="J4274" s="9"/>
      <c r="K4274" s="9"/>
      <c r="L4274" s="9"/>
      <c r="M4274" s="9"/>
      <c r="N4274" s="9"/>
      <c r="O4274" s="9"/>
      <c r="P4274" s="9"/>
      <c r="Q4274" s="9"/>
      <c r="R4274" s="9"/>
      <c r="S4274" s="9"/>
      <c r="T4274" s="9"/>
      <c r="U4274" s="9"/>
      <c r="V4274" s="9"/>
      <c r="W4274" s="9"/>
      <c r="X4274" s="9"/>
      <c r="Y4274" s="9"/>
      <c r="Z4274" s="9"/>
      <c r="AA4274" s="9"/>
      <c r="AB4274" s="9"/>
      <c r="AC4274" s="9"/>
      <c r="AD4274" s="9"/>
      <c r="AE4274" s="9"/>
      <c r="AF4274" s="9"/>
      <c r="AG4274" s="9"/>
      <c r="AH4274" s="9"/>
      <c r="AI4274" s="9"/>
      <c r="AJ4274" s="9"/>
      <c r="AK4274" s="9"/>
      <c r="AL4274" s="9"/>
    </row>
    <row r="4275" spans="1:38">
      <c r="A4275" s="11"/>
      <c r="B4275" s="11"/>
      <c r="C4275" s="11"/>
      <c r="D4275" s="11"/>
      <c r="E4275" s="11"/>
      <c r="F4275" s="11"/>
      <c r="G4275" s="11"/>
      <c r="H4275" s="11"/>
      <c r="I4275" s="11"/>
      <c r="J4275" s="11"/>
      <c r="K4275" s="11"/>
      <c r="L4275" s="11"/>
      <c r="M4275" s="11"/>
      <c r="N4275" s="11"/>
      <c r="O4275" s="11"/>
      <c r="P4275" s="11"/>
      <c r="Q4275" s="11"/>
      <c r="R4275" s="11"/>
      <c r="S4275" s="11"/>
      <c r="T4275" s="11"/>
      <c r="U4275" s="11"/>
      <c r="V4275" s="11"/>
      <c r="W4275" s="11"/>
      <c r="X4275" s="11"/>
      <c r="Y4275" s="11"/>
      <c r="Z4275" s="11"/>
      <c r="AA4275" s="11"/>
      <c r="AB4275" s="11"/>
      <c r="AC4275" s="11"/>
      <c r="AD4275" s="11"/>
      <c r="AE4275" s="11"/>
      <c r="AF4275" s="11"/>
      <c r="AG4275" s="11"/>
      <c r="AH4275" s="11"/>
      <c r="AI4275" s="11"/>
      <c r="AJ4275" s="11"/>
      <c r="AK4275" s="11"/>
      <c r="AL4275" s="11"/>
    </row>
    <row r="4288" spans="1:38">
      <c r="A4288" s="14"/>
      <c r="B4288" s="14"/>
      <c r="C4288" s="14"/>
      <c r="D4288" s="14"/>
      <c r="E4288" s="14"/>
      <c r="F4288" s="14"/>
      <c r="G4288" s="14"/>
      <c r="H4288" s="14"/>
      <c r="I4288" s="14"/>
      <c r="J4288" s="14"/>
      <c r="K4288" s="14"/>
      <c r="L4288" s="14"/>
      <c r="M4288" s="14"/>
      <c r="N4288" s="14"/>
      <c r="O4288" s="14"/>
      <c r="P4288" s="14"/>
      <c r="Q4288" s="14"/>
      <c r="R4288" s="14"/>
      <c r="S4288" s="14"/>
      <c r="T4288" s="14"/>
      <c r="U4288" s="14"/>
      <c r="V4288" s="14"/>
      <c r="W4288" s="14"/>
      <c r="X4288" s="14"/>
      <c r="Y4288" s="14"/>
      <c r="Z4288" s="14"/>
      <c r="AA4288" s="14"/>
      <c r="AB4288" s="14"/>
      <c r="AC4288" s="14"/>
      <c r="AD4288" s="14"/>
      <c r="AE4288" s="14"/>
      <c r="AF4288" s="14"/>
      <c r="AG4288" s="14"/>
      <c r="AH4288" s="14"/>
      <c r="AI4288" s="14"/>
      <c r="AJ4288" s="14"/>
      <c r="AK4288" s="14"/>
      <c r="AL4288" s="14"/>
    </row>
    <row r="4289" spans="1:38">
      <c r="A4289" s="9"/>
      <c r="B4289" s="9"/>
      <c r="C4289" s="9"/>
      <c r="D4289" s="9"/>
      <c r="E4289" s="9"/>
      <c r="F4289" s="9"/>
      <c r="G4289" s="9"/>
      <c r="H4289" s="9"/>
      <c r="I4289" s="9"/>
      <c r="J4289" s="9"/>
      <c r="K4289" s="9"/>
      <c r="L4289" s="9"/>
      <c r="M4289" s="9"/>
      <c r="N4289" s="9"/>
      <c r="O4289" s="9"/>
      <c r="P4289" s="9"/>
      <c r="Q4289" s="9"/>
      <c r="R4289" s="9"/>
      <c r="S4289" s="9"/>
      <c r="T4289" s="9"/>
      <c r="U4289" s="9"/>
      <c r="V4289" s="9"/>
      <c r="W4289" s="9"/>
      <c r="X4289" s="9"/>
      <c r="Y4289" s="9"/>
      <c r="Z4289" s="9"/>
      <c r="AA4289" s="9"/>
      <c r="AB4289" s="9"/>
      <c r="AC4289" s="9"/>
      <c r="AD4289" s="9"/>
      <c r="AE4289" s="9"/>
      <c r="AF4289" s="9"/>
      <c r="AG4289" s="9"/>
      <c r="AH4289" s="9"/>
      <c r="AI4289" s="9"/>
      <c r="AJ4289" s="9"/>
      <c r="AK4289" s="9"/>
      <c r="AL4289" s="9"/>
    </row>
    <row r="4290" spans="1:38">
      <c r="A4290" s="10"/>
      <c r="B4290" s="10"/>
      <c r="C4290" s="10"/>
      <c r="D4290" s="10"/>
      <c r="E4290" s="10"/>
      <c r="F4290" s="10"/>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0"/>
      <c r="AH4290" s="10"/>
      <c r="AI4290" s="10"/>
      <c r="AJ4290" s="10"/>
      <c r="AK4290" s="10"/>
      <c r="AL4290" s="10"/>
    </row>
    <row r="4291" spans="1:38">
      <c r="A4291" s="10"/>
      <c r="B4291" s="10"/>
      <c r="C4291" s="10"/>
      <c r="D4291" s="10"/>
      <c r="E4291" s="10"/>
      <c r="F4291" s="10"/>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row>
    <row r="4292" spans="1:38">
      <c r="A4292" s="10"/>
      <c r="B4292" s="10"/>
      <c r="C4292" s="10"/>
      <c r="D4292" s="10"/>
      <c r="E4292" s="10"/>
      <c r="F4292" s="10"/>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0"/>
      <c r="AH4292" s="10"/>
      <c r="AI4292" s="10"/>
      <c r="AJ4292" s="10"/>
      <c r="AK4292" s="10"/>
      <c r="AL4292" s="10"/>
    </row>
    <row r="4293" spans="1:38">
      <c r="A4293" s="10"/>
      <c r="B4293" s="10"/>
      <c r="C4293" s="10"/>
      <c r="D4293" s="10"/>
      <c r="E4293" s="10"/>
      <c r="F4293" s="10"/>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row>
    <row r="4294" spans="1:38">
      <c r="A4294" s="10"/>
      <c r="B4294" s="10"/>
      <c r="C4294" s="10"/>
      <c r="D4294" s="10"/>
      <c r="E4294" s="10"/>
      <c r="F4294" s="10"/>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0"/>
      <c r="AH4294" s="10"/>
      <c r="AI4294" s="10"/>
      <c r="AJ4294" s="10"/>
      <c r="AK4294" s="10"/>
      <c r="AL4294" s="10"/>
    </row>
    <row r="4295" spans="1:38">
      <c r="A4295" s="10"/>
      <c r="B4295" s="10"/>
      <c r="C4295" s="10"/>
      <c r="D4295" s="10"/>
      <c r="E4295" s="10"/>
      <c r="F4295" s="10"/>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row>
    <row r="4296" spans="1:38">
      <c r="A4296" s="10"/>
      <c r="B4296" s="10"/>
      <c r="C4296" s="10"/>
      <c r="D4296" s="10"/>
      <c r="E4296" s="10"/>
      <c r="F4296" s="10"/>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0"/>
      <c r="AH4296" s="10"/>
      <c r="AI4296" s="10"/>
      <c r="AJ4296" s="10"/>
      <c r="AK4296" s="10"/>
      <c r="AL4296" s="10"/>
    </row>
    <row r="4297" spans="1:38">
      <c r="A4297" s="10"/>
      <c r="B4297" s="10"/>
      <c r="C4297" s="10"/>
      <c r="D4297" s="10"/>
      <c r="E4297" s="10"/>
      <c r="F4297" s="10"/>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row>
    <row r="4298" spans="1:38">
      <c r="A4298" s="10"/>
      <c r="B4298" s="10"/>
      <c r="C4298" s="10"/>
      <c r="D4298" s="10"/>
      <c r="E4298" s="10"/>
      <c r="F4298" s="10"/>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0"/>
      <c r="AH4298" s="10"/>
      <c r="AI4298" s="10"/>
      <c r="AJ4298" s="10"/>
      <c r="AK4298" s="10"/>
      <c r="AL4298" s="10"/>
    </row>
    <row r="4299" spans="1:38">
      <c r="A4299" s="10"/>
      <c r="B4299" s="10"/>
      <c r="C4299" s="10"/>
      <c r="D4299" s="10"/>
      <c r="E4299" s="10"/>
      <c r="F4299" s="10"/>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row>
    <row r="4300" spans="1:38">
      <c r="A4300" s="9"/>
      <c r="B4300" s="9"/>
      <c r="C4300" s="9"/>
      <c r="D4300" s="9"/>
      <c r="E4300" s="9"/>
      <c r="F4300" s="9"/>
      <c r="G4300" s="9"/>
      <c r="H4300" s="9"/>
      <c r="I4300" s="9"/>
      <c r="J4300" s="9"/>
      <c r="K4300" s="9"/>
      <c r="L4300" s="9"/>
      <c r="M4300" s="9"/>
      <c r="N4300" s="9"/>
      <c r="O4300" s="9"/>
      <c r="P4300" s="9"/>
      <c r="Q4300" s="9"/>
      <c r="R4300" s="9"/>
      <c r="S4300" s="9"/>
      <c r="T4300" s="9"/>
      <c r="U4300" s="9"/>
      <c r="V4300" s="9"/>
      <c r="W4300" s="9"/>
      <c r="X4300" s="9"/>
      <c r="Y4300" s="9"/>
      <c r="Z4300" s="9"/>
      <c r="AA4300" s="9"/>
      <c r="AB4300" s="9"/>
      <c r="AC4300" s="9"/>
      <c r="AD4300" s="9"/>
      <c r="AE4300" s="9"/>
      <c r="AF4300" s="9"/>
      <c r="AG4300" s="9"/>
      <c r="AH4300" s="9"/>
      <c r="AI4300" s="9"/>
      <c r="AJ4300" s="9"/>
      <c r="AK4300" s="9"/>
      <c r="AL4300" s="9"/>
    </row>
    <row r="4301" spans="1:38">
      <c r="A4301" s="11"/>
      <c r="B4301" s="11"/>
      <c r="C4301" s="11"/>
      <c r="D4301" s="11"/>
      <c r="E4301" s="11"/>
      <c r="F4301" s="11"/>
      <c r="G4301" s="11"/>
      <c r="H4301" s="11"/>
      <c r="I4301" s="11"/>
      <c r="J4301" s="11"/>
      <c r="K4301" s="11"/>
      <c r="L4301" s="11"/>
      <c r="M4301" s="11"/>
      <c r="N4301" s="11"/>
      <c r="O4301" s="11"/>
      <c r="P4301" s="11"/>
      <c r="Q4301" s="11"/>
      <c r="R4301" s="11"/>
      <c r="S4301" s="11"/>
      <c r="T4301" s="11"/>
      <c r="U4301" s="11"/>
      <c r="V4301" s="11"/>
      <c r="W4301" s="11"/>
      <c r="X4301" s="11"/>
      <c r="Y4301" s="11"/>
      <c r="Z4301" s="11"/>
      <c r="AA4301" s="11"/>
      <c r="AB4301" s="11"/>
      <c r="AC4301" s="11"/>
      <c r="AD4301" s="11"/>
      <c r="AE4301" s="11"/>
      <c r="AF4301" s="11"/>
      <c r="AG4301" s="11"/>
      <c r="AH4301" s="11"/>
      <c r="AI4301" s="11"/>
      <c r="AJ4301" s="11"/>
      <c r="AK4301" s="11"/>
      <c r="AL4301" s="11"/>
    </row>
    <row r="4308" spans="1:38">
      <c r="A4308" s="14"/>
      <c r="B4308" s="14"/>
      <c r="C4308" s="14"/>
      <c r="D4308" s="14"/>
      <c r="E4308" s="14"/>
      <c r="F4308" s="14"/>
      <c r="G4308" s="14"/>
      <c r="H4308" s="14"/>
      <c r="I4308" s="14"/>
      <c r="J4308" s="14"/>
      <c r="K4308" s="14"/>
      <c r="L4308" s="14"/>
      <c r="M4308" s="14"/>
      <c r="N4308" s="14"/>
      <c r="O4308" s="14"/>
      <c r="P4308" s="14"/>
      <c r="Q4308" s="14"/>
      <c r="R4308" s="14"/>
      <c r="S4308" s="14"/>
      <c r="T4308" s="14"/>
      <c r="U4308" s="14"/>
      <c r="V4308" s="14"/>
      <c r="W4308" s="14"/>
      <c r="X4308" s="14"/>
      <c r="Y4308" s="14"/>
      <c r="Z4308" s="14"/>
      <c r="AA4308" s="14"/>
      <c r="AB4308" s="14"/>
      <c r="AC4308" s="14"/>
      <c r="AD4308" s="14"/>
      <c r="AE4308" s="14"/>
      <c r="AF4308" s="14"/>
      <c r="AG4308" s="14"/>
      <c r="AH4308" s="14"/>
      <c r="AI4308" s="14"/>
      <c r="AJ4308" s="14"/>
      <c r="AK4308" s="14"/>
      <c r="AL4308" s="14"/>
    </row>
    <row r="4309" spans="1:38">
      <c r="A4309" s="9"/>
      <c r="B4309" s="9"/>
      <c r="C4309" s="9"/>
      <c r="D4309" s="9"/>
      <c r="E4309" s="9"/>
      <c r="F4309" s="9"/>
      <c r="G4309" s="9"/>
      <c r="H4309" s="9"/>
      <c r="I4309" s="9"/>
      <c r="J4309" s="9"/>
      <c r="K4309" s="9"/>
      <c r="L4309" s="9"/>
      <c r="M4309" s="9"/>
      <c r="N4309" s="9"/>
      <c r="O4309" s="9"/>
      <c r="P4309" s="9"/>
      <c r="Q4309" s="9"/>
      <c r="R4309" s="9"/>
      <c r="S4309" s="9"/>
      <c r="T4309" s="9"/>
      <c r="U4309" s="9"/>
      <c r="V4309" s="9"/>
      <c r="W4309" s="9"/>
      <c r="X4309" s="9"/>
      <c r="Y4309" s="9"/>
      <c r="Z4309" s="9"/>
      <c r="AA4309" s="9"/>
      <c r="AB4309" s="9"/>
      <c r="AC4309" s="9"/>
      <c r="AD4309" s="9"/>
      <c r="AE4309" s="9"/>
      <c r="AF4309" s="9"/>
      <c r="AG4309" s="9"/>
      <c r="AH4309" s="9"/>
      <c r="AI4309" s="9"/>
      <c r="AJ4309" s="9"/>
      <c r="AK4309" s="9"/>
      <c r="AL4309" s="9"/>
    </row>
    <row r="4310" spans="1:38">
      <c r="A4310" s="10"/>
      <c r="B4310" s="10"/>
      <c r="C4310" s="10"/>
      <c r="D4310" s="10"/>
      <c r="E4310" s="10"/>
      <c r="F4310" s="10"/>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0"/>
      <c r="AH4310" s="10"/>
      <c r="AI4310" s="10"/>
      <c r="AJ4310" s="10"/>
      <c r="AK4310" s="10"/>
      <c r="AL4310" s="10"/>
    </row>
    <row r="4311" spans="1:38">
      <c r="A4311" s="10"/>
      <c r="B4311" s="10"/>
      <c r="C4311" s="10"/>
      <c r="D4311" s="10"/>
      <c r="E4311" s="10"/>
      <c r="F4311" s="10"/>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row>
    <row r="4312" spans="1:38">
      <c r="A4312" s="10"/>
      <c r="B4312" s="10"/>
      <c r="C4312" s="10"/>
      <c r="D4312" s="10"/>
      <c r="E4312" s="10"/>
      <c r="F4312" s="10"/>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0"/>
      <c r="AH4312" s="10"/>
      <c r="AI4312" s="10"/>
      <c r="AJ4312" s="10"/>
      <c r="AK4312" s="10"/>
      <c r="AL4312" s="10"/>
    </row>
    <row r="4313" spans="1:38">
      <c r="A4313" s="10"/>
      <c r="B4313" s="10"/>
      <c r="C4313" s="10"/>
      <c r="D4313" s="10"/>
      <c r="E4313" s="10"/>
      <c r="F4313" s="10"/>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row>
    <row r="4314" spans="1:38">
      <c r="A4314" s="10"/>
      <c r="B4314" s="10"/>
      <c r="C4314" s="10"/>
      <c r="D4314" s="10"/>
      <c r="E4314" s="10"/>
      <c r="F4314" s="10"/>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0"/>
      <c r="AH4314" s="10"/>
      <c r="AI4314" s="10"/>
      <c r="AJ4314" s="10"/>
      <c r="AK4314" s="10"/>
      <c r="AL4314" s="10"/>
    </row>
    <row r="4315" spans="1:38">
      <c r="A4315" s="10"/>
      <c r="B4315" s="10"/>
      <c r="C4315" s="10"/>
      <c r="D4315" s="10"/>
      <c r="E4315" s="10"/>
      <c r="F4315" s="10"/>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row>
    <row r="4316" spans="1:38">
      <c r="A4316" s="10"/>
      <c r="B4316" s="10"/>
      <c r="C4316" s="10"/>
      <c r="D4316" s="10"/>
      <c r="E4316" s="10"/>
      <c r="F4316" s="10"/>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0"/>
      <c r="AH4316" s="10"/>
      <c r="AI4316" s="10"/>
      <c r="AJ4316" s="10"/>
      <c r="AK4316" s="10"/>
      <c r="AL4316" s="10"/>
    </row>
    <row r="4317" spans="1:38">
      <c r="A4317" s="10"/>
      <c r="B4317" s="10"/>
      <c r="C4317" s="10"/>
      <c r="D4317" s="10"/>
      <c r="E4317" s="10"/>
      <c r="F4317" s="10"/>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row>
    <row r="4318" spans="1:38">
      <c r="A4318" s="10"/>
      <c r="B4318" s="10"/>
      <c r="C4318" s="10"/>
      <c r="D4318" s="10"/>
      <c r="E4318" s="10"/>
      <c r="F4318" s="10"/>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0"/>
      <c r="AH4318" s="10"/>
      <c r="AI4318" s="10"/>
      <c r="AJ4318" s="10"/>
      <c r="AK4318" s="10"/>
      <c r="AL4318" s="10"/>
    </row>
    <row r="4319" spans="1:38">
      <c r="A4319" s="10"/>
      <c r="B4319" s="10"/>
      <c r="C4319" s="10"/>
      <c r="D4319" s="10"/>
      <c r="E4319" s="10"/>
      <c r="F4319" s="10"/>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row>
    <row r="4320" spans="1:38">
      <c r="A4320" s="9"/>
      <c r="B4320" s="9"/>
      <c r="C4320" s="9"/>
      <c r="D4320" s="9"/>
      <c r="E4320" s="9"/>
      <c r="F4320" s="9"/>
      <c r="G4320" s="9"/>
      <c r="H4320" s="9"/>
      <c r="I4320" s="9"/>
      <c r="J4320" s="9"/>
      <c r="K4320" s="9"/>
      <c r="L4320" s="9"/>
      <c r="M4320" s="9"/>
      <c r="N4320" s="9"/>
      <c r="O4320" s="9"/>
      <c r="P4320" s="9"/>
      <c r="Q4320" s="9"/>
      <c r="R4320" s="9"/>
      <c r="S4320" s="9"/>
      <c r="T4320" s="9"/>
      <c r="U4320" s="9"/>
      <c r="V4320" s="9"/>
      <c r="W4320" s="9"/>
      <c r="X4320" s="9"/>
      <c r="Y4320" s="9"/>
      <c r="Z4320" s="9"/>
      <c r="AA4320" s="9"/>
      <c r="AB4320" s="9"/>
      <c r="AC4320" s="9"/>
      <c r="AD4320" s="9"/>
      <c r="AE4320" s="9"/>
      <c r="AF4320" s="9"/>
      <c r="AG4320" s="9"/>
      <c r="AH4320" s="9"/>
      <c r="AI4320" s="9"/>
      <c r="AJ4320" s="9"/>
      <c r="AK4320" s="9"/>
      <c r="AL4320" s="9"/>
    </row>
    <row r="4321" spans="1:38">
      <c r="A4321" s="11"/>
      <c r="B4321" s="11"/>
      <c r="C4321" s="11"/>
      <c r="D4321" s="11"/>
      <c r="E4321" s="11"/>
      <c r="F4321" s="11"/>
      <c r="G4321" s="11"/>
      <c r="H4321" s="11"/>
      <c r="I4321" s="11"/>
      <c r="J4321" s="11"/>
      <c r="K4321" s="11"/>
      <c r="L4321" s="11"/>
      <c r="M4321" s="11"/>
      <c r="N4321" s="11"/>
      <c r="O4321" s="11"/>
      <c r="P4321" s="11"/>
      <c r="Q4321" s="11"/>
      <c r="R4321" s="11"/>
      <c r="S4321" s="11"/>
      <c r="T4321" s="11"/>
      <c r="U4321" s="11"/>
      <c r="V4321" s="11"/>
      <c r="W4321" s="11"/>
      <c r="X4321" s="11"/>
      <c r="Y4321" s="11"/>
      <c r="Z4321" s="11"/>
      <c r="AA4321" s="11"/>
      <c r="AB4321" s="11"/>
      <c r="AC4321" s="11"/>
      <c r="AD4321" s="11"/>
      <c r="AE4321" s="11"/>
      <c r="AF4321" s="11"/>
      <c r="AG4321" s="11"/>
      <c r="AH4321" s="11"/>
      <c r="AI4321" s="11"/>
      <c r="AJ4321" s="11"/>
      <c r="AK4321" s="11"/>
      <c r="AL4321" s="11"/>
    </row>
    <row r="4329" spans="1:38">
      <c r="A4329" s="14"/>
      <c r="B4329" s="14"/>
      <c r="C4329" s="14"/>
      <c r="D4329" s="14"/>
      <c r="E4329" s="14"/>
      <c r="F4329" s="14"/>
      <c r="G4329" s="14"/>
      <c r="H4329" s="14"/>
      <c r="I4329" s="14"/>
      <c r="J4329" s="14"/>
      <c r="K4329" s="14"/>
      <c r="L4329" s="14"/>
      <c r="M4329" s="14"/>
      <c r="N4329" s="14"/>
      <c r="O4329" s="14"/>
      <c r="P4329" s="14"/>
      <c r="Q4329" s="14"/>
      <c r="R4329" s="14"/>
      <c r="S4329" s="14"/>
      <c r="T4329" s="14"/>
      <c r="U4329" s="14"/>
      <c r="V4329" s="14"/>
      <c r="W4329" s="14"/>
      <c r="X4329" s="14"/>
      <c r="Y4329" s="14"/>
      <c r="Z4329" s="14"/>
      <c r="AA4329" s="14"/>
      <c r="AB4329" s="14"/>
      <c r="AC4329" s="14"/>
      <c r="AD4329" s="14"/>
      <c r="AE4329" s="14"/>
      <c r="AF4329" s="14"/>
      <c r="AG4329" s="14"/>
      <c r="AH4329" s="14"/>
      <c r="AI4329" s="14"/>
      <c r="AJ4329" s="14"/>
      <c r="AK4329" s="14"/>
      <c r="AL4329" s="14"/>
    </row>
    <row r="4330" spans="1:38">
      <c r="A4330" s="9"/>
      <c r="B4330" s="9"/>
      <c r="C4330" s="9"/>
      <c r="D4330" s="9"/>
      <c r="E4330" s="9"/>
      <c r="F4330" s="9"/>
      <c r="G4330" s="9"/>
      <c r="H4330" s="9"/>
      <c r="I4330" s="9"/>
      <c r="J4330" s="9"/>
      <c r="K4330" s="9"/>
      <c r="L4330" s="9"/>
      <c r="M4330" s="9"/>
      <c r="N4330" s="9"/>
      <c r="O4330" s="9"/>
      <c r="P4330" s="9"/>
      <c r="Q4330" s="9"/>
      <c r="R4330" s="9"/>
      <c r="S4330" s="9"/>
      <c r="T4330" s="9"/>
      <c r="U4330" s="9"/>
      <c r="V4330" s="9"/>
      <c r="W4330" s="9"/>
      <c r="X4330" s="9"/>
      <c r="Y4330" s="9"/>
      <c r="Z4330" s="9"/>
      <c r="AA4330" s="9"/>
      <c r="AB4330" s="9"/>
      <c r="AC4330" s="9"/>
      <c r="AD4330" s="9"/>
      <c r="AE4330" s="9"/>
      <c r="AF4330" s="9"/>
      <c r="AG4330" s="9"/>
      <c r="AH4330" s="9"/>
      <c r="AI4330" s="9"/>
      <c r="AJ4330" s="9"/>
      <c r="AK4330" s="9"/>
      <c r="AL4330" s="9"/>
    </row>
    <row r="4331" spans="1:38">
      <c r="A4331" s="10"/>
      <c r="B4331" s="10"/>
      <c r="C4331" s="10"/>
      <c r="D4331" s="10"/>
      <c r="E4331" s="10"/>
      <c r="F4331" s="10"/>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row>
    <row r="4332" spans="1:38">
      <c r="A4332" s="10"/>
      <c r="B4332" s="10"/>
      <c r="C4332" s="10"/>
      <c r="D4332" s="10"/>
      <c r="E4332" s="10"/>
      <c r="F4332" s="10"/>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0"/>
      <c r="AH4332" s="10"/>
      <c r="AI4332" s="10"/>
      <c r="AJ4332" s="10"/>
      <c r="AK4332" s="10"/>
      <c r="AL4332" s="10"/>
    </row>
    <row r="4333" spans="1:38">
      <c r="A4333" s="10"/>
      <c r="B4333" s="10"/>
      <c r="C4333" s="10"/>
      <c r="D4333" s="10"/>
      <c r="E4333" s="10"/>
      <c r="F4333" s="10"/>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row>
    <row r="4334" spans="1:38">
      <c r="A4334" s="10"/>
      <c r="B4334" s="10"/>
      <c r="C4334" s="10"/>
      <c r="D4334" s="10"/>
      <c r="E4334" s="10"/>
      <c r="F4334" s="10"/>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0"/>
      <c r="AH4334" s="10"/>
      <c r="AI4334" s="10"/>
      <c r="AJ4334" s="10"/>
      <c r="AK4334" s="10"/>
      <c r="AL4334" s="10"/>
    </row>
    <row r="4335" spans="1:38">
      <c r="A4335" s="10"/>
      <c r="B4335" s="10"/>
      <c r="C4335" s="10"/>
      <c r="D4335" s="10"/>
      <c r="E4335" s="10"/>
      <c r="F4335" s="10"/>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row>
    <row r="4336" spans="1:38">
      <c r="A4336" s="10"/>
      <c r="B4336" s="10"/>
      <c r="C4336" s="10"/>
      <c r="D4336" s="10"/>
      <c r="E4336" s="10"/>
      <c r="F4336" s="10"/>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0"/>
      <c r="AH4336" s="10"/>
      <c r="AI4336" s="10"/>
      <c r="AJ4336" s="10"/>
      <c r="AK4336" s="10"/>
      <c r="AL4336" s="10"/>
    </row>
    <row r="4337" spans="1:38">
      <c r="A4337" s="10"/>
      <c r="B4337" s="10"/>
      <c r="C4337" s="10"/>
      <c r="D4337" s="10"/>
      <c r="E4337" s="10"/>
      <c r="F4337" s="10"/>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row>
    <row r="4338" spans="1:38">
      <c r="A4338" s="10"/>
      <c r="B4338" s="10"/>
      <c r="C4338" s="10"/>
      <c r="D4338" s="10"/>
      <c r="E4338" s="10"/>
      <c r="F4338" s="10"/>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0"/>
      <c r="AH4338" s="10"/>
      <c r="AI4338" s="10"/>
      <c r="AJ4338" s="10"/>
      <c r="AK4338" s="10"/>
      <c r="AL4338" s="10"/>
    </row>
    <row r="4339" spans="1:38">
      <c r="A4339" s="10"/>
      <c r="B4339" s="10"/>
      <c r="C4339" s="10"/>
      <c r="D4339" s="10"/>
      <c r="E4339" s="10"/>
      <c r="F4339" s="10"/>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row>
    <row r="4340" spans="1:38">
      <c r="A4340" s="10"/>
      <c r="B4340" s="10"/>
      <c r="C4340" s="10"/>
      <c r="D4340" s="10"/>
      <c r="E4340" s="10"/>
      <c r="F4340" s="10"/>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0"/>
      <c r="AH4340" s="10"/>
      <c r="AI4340" s="10"/>
      <c r="AJ4340" s="10"/>
      <c r="AK4340" s="10"/>
      <c r="AL4340" s="10"/>
    </row>
    <row r="4342" spans="1:38">
      <c r="A4342" s="11"/>
      <c r="B4342" s="11"/>
      <c r="C4342" s="11"/>
      <c r="D4342" s="11"/>
      <c r="E4342" s="11"/>
      <c r="F4342" s="11"/>
      <c r="G4342" s="11"/>
      <c r="H4342" s="11"/>
      <c r="I4342" s="11"/>
      <c r="J4342" s="11"/>
      <c r="K4342" s="11"/>
      <c r="L4342" s="11"/>
      <c r="M4342" s="11"/>
      <c r="N4342" s="11"/>
      <c r="O4342" s="11"/>
      <c r="P4342" s="11"/>
      <c r="Q4342" s="11"/>
      <c r="R4342" s="11"/>
      <c r="S4342" s="11"/>
      <c r="T4342" s="11"/>
      <c r="U4342" s="11"/>
      <c r="V4342" s="11"/>
      <c r="W4342" s="11"/>
      <c r="X4342" s="11"/>
      <c r="Y4342" s="11"/>
      <c r="Z4342" s="11"/>
      <c r="AA4342" s="11"/>
      <c r="AB4342" s="11"/>
      <c r="AC4342" s="11"/>
      <c r="AD4342" s="11"/>
      <c r="AE4342" s="11"/>
      <c r="AF4342" s="11"/>
      <c r="AG4342" s="11"/>
      <c r="AH4342" s="11"/>
      <c r="AI4342" s="11"/>
      <c r="AJ4342" s="11"/>
      <c r="AK4342" s="11"/>
      <c r="AL4342" s="11"/>
    </row>
    <row r="4355" spans="1:38">
      <c r="A4355" s="14"/>
      <c r="B4355" s="14"/>
      <c r="C4355" s="14"/>
      <c r="D4355" s="14"/>
      <c r="E4355" s="14"/>
      <c r="F4355" s="14"/>
      <c r="G4355" s="14"/>
      <c r="H4355" s="14"/>
      <c r="I4355" s="14"/>
      <c r="J4355" s="14"/>
      <c r="K4355" s="14"/>
      <c r="L4355" s="14"/>
      <c r="M4355" s="14"/>
      <c r="N4355" s="14"/>
      <c r="O4355" s="14"/>
      <c r="P4355" s="14"/>
      <c r="Q4355" s="14"/>
      <c r="R4355" s="14"/>
      <c r="S4355" s="14"/>
      <c r="T4355" s="14"/>
      <c r="U4355" s="14"/>
      <c r="V4355" s="14"/>
      <c r="W4355" s="14"/>
      <c r="X4355" s="14"/>
      <c r="Y4355" s="14"/>
      <c r="Z4355" s="14"/>
      <c r="AA4355" s="14"/>
      <c r="AB4355" s="14"/>
      <c r="AC4355" s="14"/>
      <c r="AD4355" s="14"/>
      <c r="AE4355" s="14"/>
      <c r="AF4355" s="14"/>
      <c r="AG4355" s="14"/>
      <c r="AH4355" s="14"/>
      <c r="AI4355" s="14"/>
      <c r="AJ4355" s="14"/>
      <c r="AK4355" s="14"/>
      <c r="AL4355" s="14"/>
    </row>
    <row r="4356" spans="1:38">
      <c r="A4356" s="9"/>
      <c r="B4356" s="9"/>
      <c r="C4356" s="9"/>
      <c r="D4356" s="9"/>
      <c r="E4356" s="9"/>
      <c r="F4356" s="9"/>
      <c r="G4356" s="9"/>
      <c r="H4356" s="9"/>
      <c r="I4356" s="9"/>
      <c r="J4356" s="9"/>
      <c r="K4356" s="9"/>
      <c r="L4356" s="9"/>
      <c r="M4356" s="9"/>
      <c r="N4356" s="9"/>
      <c r="O4356" s="9"/>
      <c r="P4356" s="9"/>
      <c r="Q4356" s="9"/>
      <c r="R4356" s="9"/>
      <c r="S4356" s="9"/>
      <c r="T4356" s="9"/>
      <c r="U4356" s="9"/>
      <c r="V4356" s="9"/>
      <c r="W4356" s="9"/>
      <c r="X4356" s="9"/>
      <c r="Y4356" s="9"/>
      <c r="Z4356" s="9"/>
      <c r="AA4356" s="9"/>
      <c r="AB4356" s="9"/>
      <c r="AC4356" s="9"/>
      <c r="AD4356" s="9"/>
      <c r="AE4356" s="9"/>
      <c r="AF4356" s="9"/>
      <c r="AG4356" s="9"/>
      <c r="AH4356" s="9"/>
      <c r="AI4356" s="9"/>
      <c r="AJ4356" s="9"/>
      <c r="AK4356" s="9"/>
      <c r="AL4356" s="9"/>
    </row>
    <row r="4357" spans="1:38">
      <c r="A4357" s="10"/>
      <c r="B4357" s="10"/>
      <c r="C4357" s="10"/>
      <c r="D4357" s="10"/>
      <c r="E4357" s="10"/>
      <c r="F4357" s="10"/>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row>
    <row r="4358" spans="1:38">
      <c r="A4358" s="10"/>
      <c r="B4358" s="10"/>
      <c r="C4358" s="10"/>
      <c r="D4358" s="10"/>
      <c r="E4358" s="10"/>
      <c r="F4358" s="10"/>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0"/>
      <c r="AH4358" s="10"/>
      <c r="AI4358" s="10"/>
      <c r="AJ4358" s="10"/>
      <c r="AK4358" s="10"/>
      <c r="AL4358" s="10"/>
    </row>
    <row r="4359" spans="1:38">
      <c r="A4359" s="10"/>
      <c r="B4359" s="10"/>
      <c r="C4359" s="10"/>
      <c r="D4359" s="10"/>
      <c r="E4359" s="10"/>
      <c r="F4359" s="10"/>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row>
    <row r="4360" spans="1:38">
      <c r="A4360" s="10"/>
      <c r="B4360" s="10"/>
      <c r="C4360" s="10"/>
      <c r="D4360" s="10"/>
      <c r="E4360" s="10"/>
      <c r="F4360" s="10"/>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0"/>
      <c r="AH4360" s="10"/>
      <c r="AI4360" s="10"/>
      <c r="AJ4360" s="10"/>
      <c r="AK4360" s="10"/>
      <c r="AL4360" s="10"/>
    </row>
    <row r="4361" spans="1:38">
      <c r="A4361" s="10"/>
      <c r="B4361" s="10"/>
      <c r="C4361" s="10"/>
      <c r="D4361" s="10"/>
      <c r="E4361" s="10"/>
      <c r="F4361" s="10"/>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row>
    <row r="4362" spans="1:38">
      <c r="A4362" s="10"/>
      <c r="B4362" s="10"/>
      <c r="C4362" s="10"/>
      <c r="D4362" s="10"/>
      <c r="E4362" s="10"/>
      <c r="F4362" s="10"/>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0"/>
      <c r="AH4362" s="10"/>
      <c r="AI4362" s="10"/>
      <c r="AJ4362" s="10"/>
      <c r="AK4362" s="10"/>
      <c r="AL4362" s="10"/>
    </row>
    <row r="4363" spans="1:38">
      <c r="A4363" s="10"/>
      <c r="B4363" s="10"/>
      <c r="C4363" s="10"/>
      <c r="D4363" s="10"/>
      <c r="E4363" s="10"/>
      <c r="F4363" s="10"/>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row>
    <row r="4364" spans="1:38">
      <c r="A4364" s="10"/>
      <c r="B4364" s="10"/>
      <c r="C4364" s="10"/>
      <c r="D4364" s="10"/>
      <c r="E4364" s="10"/>
      <c r="F4364" s="10"/>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0"/>
      <c r="AH4364" s="10"/>
      <c r="AI4364" s="10"/>
      <c r="AJ4364" s="10"/>
      <c r="AK4364" s="10"/>
      <c r="AL4364" s="10"/>
    </row>
    <row r="4365" spans="1:38">
      <c r="A4365" s="10"/>
      <c r="B4365" s="10"/>
      <c r="C4365" s="10"/>
      <c r="D4365" s="10"/>
      <c r="E4365" s="10"/>
      <c r="F4365" s="10"/>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row>
    <row r="4366" spans="1:38">
      <c r="A4366" s="10"/>
      <c r="B4366" s="10"/>
      <c r="C4366" s="10"/>
      <c r="D4366" s="10"/>
      <c r="E4366" s="10"/>
      <c r="F4366" s="10"/>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0"/>
      <c r="AH4366" s="10"/>
      <c r="AI4366" s="10"/>
      <c r="AJ4366" s="10"/>
      <c r="AK4366" s="10"/>
      <c r="AL4366" s="10"/>
    </row>
    <row r="4367" spans="1:38">
      <c r="A4367" s="10"/>
      <c r="B4367" s="10"/>
      <c r="C4367" s="10"/>
      <c r="D4367" s="10"/>
      <c r="E4367" s="10"/>
      <c r="F4367" s="10"/>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row>
    <row r="4368" spans="1:38">
      <c r="A4368" s="11"/>
      <c r="B4368" s="11"/>
      <c r="C4368" s="11"/>
      <c r="D4368" s="11"/>
      <c r="E4368" s="11"/>
      <c r="F4368" s="11"/>
      <c r="G4368" s="11"/>
      <c r="H4368" s="11"/>
      <c r="I4368" s="11"/>
      <c r="J4368" s="11"/>
      <c r="K4368" s="11"/>
      <c r="L4368" s="11"/>
      <c r="M4368" s="11"/>
      <c r="N4368" s="11"/>
      <c r="O4368" s="11"/>
      <c r="P4368" s="11"/>
      <c r="Q4368" s="11"/>
      <c r="R4368" s="11"/>
      <c r="S4368" s="11"/>
      <c r="T4368" s="11"/>
      <c r="U4368" s="11"/>
      <c r="V4368" s="11"/>
      <c r="W4368" s="11"/>
      <c r="X4368" s="11"/>
      <c r="Y4368" s="11"/>
      <c r="Z4368" s="11"/>
      <c r="AA4368" s="11"/>
      <c r="AB4368" s="11"/>
      <c r="AC4368" s="11"/>
      <c r="AD4368" s="11"/>
      <c r="AE4368" s="11"/>
      <c r="AF4368" s="11"/>
      <c r="AG4368" s="11"/>
      <c r="AH4368" s="11"/>
      <c r="AI4368" s="11"/>
      <c r="AJ4368" s="11"/>
      <c r="AK4368" s="11"/>
      <c r="AL4368" s="11"/>
    </row>
    <row r="4373" spans="1:38">
      <c r="A4373" s="14"/>
      <c r="B4373" s="14"/>
      <c r="C4373" s="14"/>
      <c r="D4373" s="14"/>
      <c r="E4373" s="14"/>
      <c r="F4373" s="14"/>
      <c r="G4373" s="14"/>
      <c r="H4373" s="14"/>
      <c r="I4373" s="14"/>
      <c r="J4373" s="14"/>
      <c r="K4373" s="14"/>
      <c r="L4373" s="14"/>
      <c r="M4373" s="14"/>
      <c r="N4373" s="14"/>
      <c r="O4373" s="14"/>
      <c r="P4373" s="14"/>
      <c r="Q4373" s="14"/>
      <c r="R4373" s="14"/>
      <c r="S4373" s="14"/>
      <c r="T4373" s="14"/>
      <c r="U4373" s="14"/>
      <c r="V4373" s="14"/>
      <c r="W4373" s="14"/>
      <c r="X4373" s="14"/>
      <c r="Y4373" s="14"/>
      <c r="Z4373" s="14"/>
      <c r="AA4373" s="14"/>
      <c r="AB4373" s="14"/>
      <c r="AC4373" s="14"/>
      <c r="AD4373" s="14"/>
      <c r="AE4373" s="14"/>
      <c r="AF4373" s="14"/>
      <c r="AG4373" s="14"/>
      <c r="AH4373" s="14"/>
      <c r="AI4373" s="14"/>
      <c r="AJ4373" s="14"/>
      <c r="AK4373" s="14"/>
      <c r="AL4373" s="14"/>
    </row>
    <row r="4374" spans="1:38">
      <c r="A4374" s="9"/>
      <c r="B4374" s="9"/>
      <c r="C4374" s="9"/>
      <c r="D4374" s="9"/>
      <c r="E4374" s="9"/>
      <c r="F4374" s="9"/>
      <c r="G4374" s="9"/>
      <c r="H4374" s="9"/>
      <c r="I4374" s="9"/>
      <c r="J4374" s="9"/>
      <c r="K4374" s="9"/>
      <c r="L4374" s="9"/>
      <c r="M4374" s="9"/>
      <c r="N4374" s="9"/>
      <c r="O4374" s="9"/>
      <c r="P4374" s="9"/>
      <c r="Q4374" s="9"/>
      <c r="R4374" s="9"/>
      <c r="S4374" s="9"/>
      <c r="T4374" s="9"/>
      <c r="U4374" s="9"/>
      <c r="V4374" s="9"/>
      <c r="W4374" s="9"/>
      <c r="X4374" s="9"/>
      <c r="Y4374" s="9"/>
      <c r="Z4374" s="9"/>
      <c r="AA4374" s="9"/>
      <c r="AB4374" s="9"/>
      <c r="AC4374" s="9"/>
      <c r="AD4374" s="9"/>
      <c r="AE4374" s="9"/>
      <c r="AF4374" s="9"/>
      <c r="AG4374" s="9"/>
      <c r="AH4374" s="9"/>
      <c r="AI4374" s="9"/>
      <c r="AJ4374" s="9"/>
      <c r="AK4374" s="9"/>
      <c r="AL4374" s="9"/>
    </row>
    <row r="4375" spans="1:38">
      <c r="A4375" s="10"/>
      <c r="B4375" s="10"/>
      <c r="C4375" s="10"/>
      <c r="D4375" s="10"/>
      <c r="E4375" s="10"/>
      <c r="F4375" s="10"/>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row>
    <row r="4376" spans="1:38">
      <c r="A4376" s="10"/>
      <c r="B4376" s="10"/>
      <c r="C4376" s="10"/>
      <c r="D4376" s="10"/>
      <c r="E4376" s="10"/>
      <c r="F4376" s="10"/>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0"/>
      <c r="AH4376" s="10"/>
      <c r="AI4376" s="10"/>
      <c r="AJ4376" s="10"/>
      <c r="AK4376" s="10"/>
      <c r="AL4376" s="10"/>
    </row>
    <row r="4377" spans="1:38">
      <c r="A4377" s="10"/>
      <c r="B4377" s="10"/>
      <c r="C4377" s="10"/>
      <c r="D4377" s="10"/>
      <c r="E4377" s="10"/>
      <c r="F4377" s="10"/>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row>
    <row r="4378" spans="1:38">
      <c r="A4378" s="10"/>
      <c r="B4378" s="10"/>
      <c r="C4378" s="10"/>
      <c r="D4378" s="10"/>
      <c r="E4378" s="10"/>
      <c r="F4378" s="10"/>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0"/>
      <c r="AH4378" s="10"/>
      <c r="AI4378" s="10"/>
      <c r="AJ4378" s="10"/>
      <c r="AK4378" s="10"/>
      <c r="AL4378" s="10"/>
    </row>
    <row r="4379" spans="1:38">
      <c r="A4379" s="10"/>
      <c r="B4379" s="10"/>
      <c r="C4379" s="10"/>
      <c r="D4379" s="10"/>
      <c r="E4379" s="10"/>
      <c r="F4379" s="10"/>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row>
    <row r="4380" spans="1:38">
      <c r="A4380" s="10"/>
      <c r="B4380" s="10"/>
      <c r="C4380" s="10"/>
      <c r="D4380" s="10"/>
      <c r="E4380" s="10"/>
      <c r="F4380" s="10"/>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0"/>
      <c r="AH4380" s="10"/>
      <c r="AI4380" s="10"/>
      <c r="AJ4380" s="10"/>
      <c r="AK4380" s="10"/>
      <c r="AL4380" s="10"/>
    </row>
    <row r="4381" spans="1:38">
      <c r="A4381" s="10"/>
      <c r="B4381" s="10"/>
      <c r="C4381" s="10"/>
      <c r="D4381" s="10"/>
      <c r="E4381" s="10"/>
      <c r="F4381" s="10"/>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row>
    <row r="4382" spans="1:38">
      <c r="A4382" s="10"/>
      <c r="B4382" s="10"/>
      <c r="C4382" s="10"/>
      <c r="D4382" s="10"/>
      <c r="E4382" s="10"/>
      <c r="F4382" s="10"/>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0"/>
      <c r="AH4382" s="10"/>
      <c r="AI4382" s="10"/>
      <c r="AJ4382" s="10"/>
      <c r="AK4382" s="10"/>
      <c r="AL4382" s="10"/>
    </row>
    <row r="4383" spans="1:38">
      <c r="A4383" s="10"/>
      <c r="B4383" s="10"/>
      <c r="C4383" s="10"/>
      <c r="D4383" s="10"/>
      <c r="E4383" s="10"/>
      <c r="F4383" s="10"/>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row>
    <row r="4384" spans="1:38">
      <c r="A4384" s="10"/>
      <c r="B4384" s="10"/>
      <c r="C4384" s="10"/>
      <c r="D4384" s="10"/>
      <c r="E4384" s="10"/>
      <c r="F4384" s="10"/>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0"/>
      <c r="AH4384" s="10"/>
      <c r="AI4384" s="10"/>
      <c r="AJ4384" s="10"/>
      <c r="AK4384" s="10"/>
      <c r="AL4384" s="10"/>
    </row>
    <row r="4385" spans="1:38">
      <c r="A4385" s="9"/>
      <c r="B4385" s="9"/>
      <c r="C4385" s="9"/>
      <c r="D4385" s="9"/>
      <c r="E4385" s="9"/>
      <c r="F4385" s="9"/>
      <c r="G4385" s="9"/>
      <c r="H4385" s="9"/>
      <c r="I4385" s="9"/>
      <c r="J4385" s="9"/>
      <c r="K4385" s="9"/>
      <c r="L4385" s="9"/>
      <c r="M4385" s="9"/>
      <c r="N4385" s="9"/>
      <c r="O4385" s="9"/>
      <c r="P4385" s="9"/>
      <c r="Q4385" s="9"/>
      <c r="R4385" s="9"/>
      <c r="S4385" s="9"/>
      <c r="T4385" s="9"/>
      <c r="U4385" s="9"/>
      <c r="V4385" s="9"/>
      <c r="W4385" s="9"/>
      <c r="X4385" s="9"/>
      <c r="Y4385" s="9"/>
      <c r="Z4385" s="9"/>
      <c r="AA4385" s="9"/>
      <c r="AB4385" s="9"/>
      <c r="AC4385" s="9"/>
      <c r="AD4385" s="9"/>
      <c r="AE4385" s="9"/>
      <c r="AF4385" s="9"/>
      <c r="AG4385" s="9"/>
      <c r="AH4385" s="9"/>
      <c r="AI4385" s="9"/>
      <c r="AJ4385" s="9"/>
      <c r="AK4385" s="9"/>
      <c r="AL4385" s="9"/>
    </row>
    <row r="4386" spans="1:38">
      <c r="A4386" s="11"/>
      <c r="B4386" s="11"/>
      <c r="C4386" s="11"/>
      <c r="D4386" s="11"/>
      <c r="E4386" s="11"/>
      <c r="F4386" s="11"/>
      <c r="G4386" s="11"/>
      <c r="H4386" s="11"/>
      <c r="I4386" s="11"/>
      <c r="J4386" s="11"/>
      <c r="K4386" s="11"/>
      <c r="L4386" s="11"/>
      <c r="M4386" s="11"/>
      <c r="N4386" s="11"/>
      <c r="O4386" s="11"/>
      <c r="P4386" s="11"/>
      <c r="Q4386" s="11"/>
      <c r="R4386" s="11"/>
      <c r="S4386" s="11"/>
      <c r="T4386" s="11"/>
      <c r="U4386" s="11"/>
      <c r="V4386" s="11"/>
      <c r="W4386" s="11"/>
      <c r="X4386" s="11"/>
      <c r="Y4386" s="11"/>
      <c r="Z4386" s="11"/>
      <c r="AA4386" s="11"/>
      <c r="AB4386" s="11"/>
      <c r="AC4386" s="11"/>
      <c r="AD4386" s="11"/>
      <c r="AE4386" s="11"/>
      <c r="AF4386" s="11"/>
      <c r="AG4386" s="11"/>
      <c r="AH4386" s="11"/>
      <c r="AI4386" s="11"/>
      <c r="AJ4386" s="11"/>
      <c r="AK4386" s="11"/>
      <c r="AL4386" s="11"/>
    </row>
    <row r="4393" spans="1:38">
      <c r="A4393" s="14"/>
      <c r="B4393" s="14"/>
      <c r="C4393" s="14"/>
      <c r="D4393" s="14"/>
      <c r="E4393" s="14"/>
      <c r="F4393" s="14"/>
      <c r="G4393" s="14"/>
      <c r="H4393" s="14"/>
      <c r="I4393" s="14"/>
      <c r="J4393" s="14"/>
      <c r="K4393" s="14"/>
      <c r="L4393" s="14"/>
      <c r="M4393" s="14"/>
      <c r="N4393" s="14"/>
      <c r="O4393" s="14"/>
      <c r="P4393" s="14"/>
      <c r="Q4393" s="14"/>
      <c r="R4393" s="14"/>
      <c r="S4393" s="14"/>
      <c r="T4393" s="14"/>
      <c r="U4393" s="14"/>
      <c r="V4393" s="14"/>
      <c r="W4393" s="14"/>
      <c r="X4393" s="14"/>
      <c r="Y4393" s="14"/>
      <c r="Z4393" s="14"/>
      <c r="AA4393" s="14"/>
      <c r="AB4393" s="14"/>
      <c r="AC4393" s="14"/>
      <c r="AD4393" s="14"/>
      <c r="AE4393" s="14"/>
      <c r="AF4393" s="14"/>
      <c r="AG4393" s="14"/>
      <c r="AH4393" s="14"/>
      <c r="AI4393" s="14"/>
      <c r="AJ4393" s="14"/>
      <c r="AK4393" s="14"/>
      <c r="AL4393" s="14"/>
    </row>
    <row r="4394" spans="1:38">
      <c r="A4394" s="9"/>
      <c r="B4394" s="9"/>
      <c r="C4394" s="9"/>
      <c r="D4394" s="9"/>
      <c r="E4394" s="9"/>
      <c r="F4394" s="9"/>
      <c r="G4394" s="9"/>
      <c r="H4394" s="9"/>
      <c r="I4394" s="9"/>
      <c r="J4394" s="9"/>
      <c r="K4394" s="9"/>
      <c r="L4394" s="9"/>
      <c r="M4394" s="9"/>
      <c r="N4394" s="9"/>
      <c r="O4394" s="9"/>
      <c r="P4394" s="9"/>
      <c r="Q4394" s="9"/>
      <c r="R4394" s="9"/>
      <c r="S4394" s="9"/>
      <c r="T4394" s="9"/>
      <c r="U4394" s="9"/>
      <c r="V4394" s="9"/>
      <c r="W4394" s="9"/>
      <c r="X4394" s="9"/>
      <c r="Y4394" s="9"/>
      <c r="Z4394" s="9"/>
      <c r="AA4394" s="9"/>
      <c r="AB4394" s="9"/>
      <c r="AC4394" s="9"/>
      <c r="AD4394" s="9"/>
      <c r="AE4394" s="9"/>
      <c r="AF4394" s="9"/>
      <c r="AG4394" s="9"/>
      <c r="AH4394" s="9"/>
      <c r="AI4394" s="9"/>
      <c r="AJ4394" s="9"/>
      <c r="AK4394" s="9"/>
      <c r="AL4394" s="9"/>
    </row>
    <row r="4395" spans="1:38">
      <c r="A4395" s="10"/>
      <c r="B4395" s="10"/>
      <c r="C4395" s="10"/>
      <c r="D4395" s="10"/>
      <c r="E4395" s="10"/>
      <c r="F4395" s="10"/>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row>
    <row r="4396" spans="1:38">
      <c r="A4396" s="10"/>
      <c r="B4396" s="10"/>
      <c r="C4396" s="10"/>
      <c r="D4396" s="10"/>
      <c r="E4396" s="10"/>
      <c r="F4396" s="10"/>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0"/>
      <c r="AH4396" s="10"/>
      <c r="AI4396" s="10"/>
      <c r="AJ4396" s="10"/>
      <c r="AK4396" s="10"/>
      <c r="AL4396" s="10"/>
    </row>
    <row r="4397" spans="1:38">
      <c r="A4397" s="10"/>
      <c r="B4397" s="10"/>
      <c r="C4397" s="10"/>
      <c r="D4397" s="10"/>
      <c r="E4397" s="10"/>
      <c r="F4397" s="10"/>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row>
    <row r="4398" spans="1:38">
      <c r="A4398" s="10"/>
      <c r="B4398" s="10"/>
      <c r="C4398" s="10"/>
      <c r="D4398" s="10"/>
      <c r="E4398" s="10"/>
      <c r="F4398" s="10"/>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0"/>
      <c r="AH4398" s="10"/>
      <c r="AI4398" s="10"/>
      <c r="AJ4398" s="10"/>
      <c r="AK4398" s="10"/>
      <c r="AL4398" s="10"/>
    </row>
    <row r="4399" spans="1:38">
      <c r="A4399" s="10"/>
      <c r="B4399" s="10"/>
      <c r="C4399" s="10"/>
      <c r="D4399" s="10"/>
      <c r="E4399" s="10"/>
      <c r="F4399" s="10"/>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row>
    <row r="4400" spans="1:38">
      <c r="A4400" s="10"/>
      <c r="B4400" s="10"/>
      <c r="C4400" s="10"/>
      <c r="D4400" s="10"/>
      <c r="E4400" s="10"/>
      <c r="F4400" s="10"/>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0"/>
      <c r="AH4400" s="10"/>
      <c r="AI4400" s="10"/>
      <c r="AJ4400" s="10"/>
      <c r="AK4400" s="10"/>
      <c r="AL4400" s="10"/>
    </row>
    <row r="4401" spans="1:38">
      <c r="A4401" s="10"/>
      <c r="B4401" s="10"/>
      <c r="C4401" s="10"/>
      <c r="D4401" s="10"/>
      <c r="E4401" s="10"/>
      <c r="F4401" s="10"/>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row>
    <row r="4402" spans="1:38">
      <c r="A4402" s="10"/>
      <c r="B4402" s="10"/>
      <c r="C4402" s="10"/>
      <c r="D4402" s="10"/>
      <c r="E4402" s="10"/>
      <c r="F4402" s="10"/>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0"/>
      <c r="AH4402" s="10"/>
      <c r="AI4402" s="10"/>
      <c r="AJ4402" s="10"/>
      <c r="AK4402" s="10"/>
      <c r="AL4402" s="10"/>
    </row>
    <row r="4403" spans="1:38">
      <c r="A4403" s="10"/>
      <c r="B4403" s="10"/>
      <c r="C4403" s="10"/>
      <c r="D4403" s="10"/>
      <c r="E4403" s="10"/>
      <c r="F4403" s="10"/>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row>
    <row r="4404" spans="1:38">
      <c r="A4404" s="10"/>
      <c r="B4404" s="10"/>
      <c r="C4404" s="10"/>
      <c r="D4404" s="10"/>
      <c r="E4404" s="10"/>
      <c r="F4404" s="10"/>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0"/>
      <c r="AH4404" s="10"/>
      <c r="AI4404" s="10"/>
      <c r="AJ4404" s="10"/>
      <c r="AK4404" s="10"/>
      <c r="AL4404" s="10"/>
    </row>
    <row r="4405" spans="1:38">
      <c r="A4405" s="10"/>
      <c r="B4405" s="10"/>
      <c r="C4405" s="10"/>
      <c r="D4405" s="10"/>
      <c r="E4405" s="10"/>
      <c r="F4405" s="10"/>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row>
    <row r="4406" spans="1:38">
      <c r="A4406" s="11"/>
      <c r="B4406" s="11"/>
      <c r="C4406" s="11"/>
      <c r="D4406" s="11"/>
      <c r="E4406" s="11"/>
      <c r="F4406" s="11"/>
      <c r="G4406" s="11"/>
      <c r="H4406" s="11"/>
      <c r="I4406" s="11"/>
      <c r="J4406" s="11"/>
      <c r="K4406" s="11"/>
      <c r="L4406" s="11"/>
      <c r="M4406" s="11"/>
      <c r="N4406" s="11"/>
      <c r="O4406" s="11"/>
      <c r="P4406" s="11"/>
      <c r="Q4406" s="11"/>
      <c r="R4406" s="11"/>
      <c r="S4406" s="11"/>
      <c r="T4406" s="11"/>
      <c r="U4406" s="11"/>
      <c r="V4406" s="11"/>
      <c r="W4406" s="11"/>
      <c r="X4406" s="11"/>
      <c r="Y4406" s="11"/>
      <c r="Z4406" s="11"/>
      <c r="AA4406" s="11"/>
      <c r="AB4406" s="11"/>
      <c r="AC4406" s="11"/>
      <c r="AD4406" s="11"/>
      <c r="AE4406" s="11"/>
      <c r="AF4406" s="11"/>
      <c r="AG4406" s="11"/>
      <c r="AH4406" s="11"/>
      <c r="AI4406" s="11"/>
      <c r="AJ4406" s="11"/>
      <c r="AK4406" s="11"/>
      <c r="AL4406" s="11"/>
    </row>
    <row r="4413" spans="1:38">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c r="X4413" s="14"/>
      <c r="Y4413" s="14"/>
      <c r="Z4413" s="14"/>
      <c r="AA4413" s="14"/>
      <c r="AB4413" s="14"/>
      <c r="AC4413" s="14"/>
      <c r="AD4413" s="14"/>
      <c r="AE4413" s="14"/>
      <c r="AF4413" s="14"/>
      <c r="AG4413" s="14"/>
      <c r="AH4413" s="14"/>
      <c r="AI4413" s="14"/>
      <c r="AJ4413" s="14"/>
      <c r="AK4413" s="14"/>
      <c r="AL4413" s="14"/>
    </row>
    <row r="4414" spans="1:38">
      <c r="A4414" s="9"/>
      <c r="B4414" s="9"/>
      <c r="C4414" s="9"/>
      <c r="D4414" s="9"/>
      <c r="E4414" s="9"/>
      <c r="F4414" s="9"/>
      <c r="G4414" s="9"/>
      <c r="H4414" s="9"/>
      <c r="I4414" s="9"/>
      <c r="J4414" s="9"/>
      <c r="K4414" s="9"/>
      <c r="L4414" s="9"/>
      <c r="M4414" s="9"/>
      <c r="N4414" s="9"/>
      <c r="O4414" s="9"/>
      <c r="P4414" s="9"/>
      <c r="Q4414" s="9"/>
      <c r="R4414" s="9"/>
      <c r="S4414" s="9"/>
      <c r="T4414" s="9"/>
      <c r="U4414" s="9"/>
      <c r="V4414" s="9"/>
      <c r="W4414" s="9"/>
      <c r="X4414" s="9"/>
      <c r="Y4414" s="9"/>
      <c r="Z4414" s="9"/>
      <c r="AA4414" s="9"/>
      <c r="AB4414" s="9"/>
      <c r="AC4414" s="9"/>
      <c r="AD4414" s="9"/>
      <c r="AE4414" s="9"/>
      <c r="AF4414" s="9"/>
      <c r="AG4414" s="9"/>
      <c r="AH4414" s="9"/>
      <c r="AI4414" s="9"/>
      <c r="AJ4414" s="9"/>
      <c r="AK4414" s="9"/>
      <c r="AL4414" s="9"/>
    </row>
    <row r="4415" spans="1:38">
      <c r="A4415" s="10"/>
      <c r="B4415" s="10"/>
      <c r="C4415" s="10"/>
      <c r="D4415" s="10"/>
      <c r="E4415" s="10"/>
      <c r="F4415" s="10"/>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row>
    <row r="4416" spans="1:38">
      <c r="A4416" s="10"/>
      <c r="B4416" s="10"/>
      <c r="C4416" s="10"/>
      <c r="D4416" s="10"/>
      <c r="E4416" s="10"/>
      <c r="F4416" s="10"/>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0"/>
      <c r="AH4416" s="10"/>
      <c r="AI4416" s="10"/>
      <c r="AJ4416" s="10"/>
      <c r="AK4416" s="10"/>
      <c r="AL4416" s="10"/>
    </row>
    <row r="4417" spans="1:38">
      <c r="A4417" s="10"/>
      <c r="B4417" s="10"/>
      <c r="C4417" s="10"/>
      <c r="D4417" s="10"/>
      <c r="E4417" s="10"/>
      <c r="F4417" s="10"/>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row>
    <row r="4418" spans="1:38">
      <c r="A4418" s="10"/>
      <c r="B4418" s="10"/>
      <c r="C4418" s="10"/>
      <c r="D4418" s="10"/>
      <c r="E4418" s="10"/>
      <c r="F4418" s="10"/>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0"/>
      <c r="AH4418" s="10"/>
      <c r="AI4418" s="10"/>
      <c r="AJ4418" s="10"/>
      <c r="AK4418" s="10"/>
      <c r="AL4418" s="10"/>
    </row>
    <row r="4419" spans="1:38">
      <c r="A4419" s="10"/>
      <c r="B4419" s="10"/>
      <c r="C4419" s="10"/>
      <c r="D4419" s="10"/>
      <c r="E4419" s="10"/>
      <c r="F4419" s="10"/>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row>
    <row r="4420" spans="1:38">
      <c r="A4420" s="10"/>
      <c r="B4420" s="10"/>
      <c r="C4420" s="10"/>
      <c r="D4420" s="10"/>
      <c r="E4420" s="10"/>
      <c r="F4420" s="10"/>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0"/>
      <c r="AH4420" s="10"/>
      <c r="AI4420" s="10"/>
      <c r="AJ4420" s="10"/>
      <c r="AK4420" s="10"/>
      <c r="AL4420" s="10"/>
    </row>
    <row r="4421" spans="1:38">
      <c r="A4421" s="10"/>
      <c r="B4421" s="10"/>
      <c r="C4421" s="10"/>
      <c r="D4421" s="10"/>
      <c r="E4421" s="10"/>
      <c r="F4421" s="10"/>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row>
    <row r="4422" spans="1:38">
      <c r="A4422" s="10"/>
      <c r="B4422" s="10"/>
      <c r="C4422" s="10"/>
      <c r="D4422" s="10"/>
      <c r="E4422" s="10"/>
      <c r="F4422" s="10"/>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0"/>
      <c r="AH4422" s="10"/>
      <c r="AI4422" s="10"/>
      <c r="AJ4422" s="10"/>
      <c r="AK4422" s="10"/>
      <c r="AL4422" s="10"/>
    </row>
    <row r="4423" spans="1:38">
      <c r="A4423" s="10"/>
      <c r="B4423" s="10"/>
      <c r="C4423" s="10"/>
      <c r="D4423" s="10"/>
      <c r="E4423" s="10"/>
      <c r="F4423" s="10"/>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row>
    <row r="4424" spans="1:38">
      <c r="A4424" s="10"/>
      <c r="B4424" s="10"/>
      <c r="C4424" s="10"/>
      <c r="D4424" s="10"/>
      <c r="E4424" s="10"/>
      <c r="F4424" s="10"/>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0"/>
      <c r="AH4424" s="10"/>
      <c r="AI4424" s="10"/>
      <c r="AJ4424" s="10"/>
      <c r="AK4424" s="10"/>
      <c r="AL4424" s="10"/>
    </row>
    <row r="4425" spans="1:38">
      <c r="A4425" s="9"/>
      <c r="B4425" s="9"/>
      <c r="C4425" s="9"/>
      <c r="D4425" s="9"/>
      <c r="E4425" s="9"/>
      <c r="F4425" s="9"/>
      <c r="G4425" s="9"/>
      <c r="H4425" s="9"/>
      <c r="I4425" s="9"/>
      <c r="J4425" s="9"/>
      <c r="K4425" s="9"/>
      <c r="L4425" s="9"/>
      <c r="M4425" s="9"/>
      <c r="N4425" s="9"/>
      <c r="O4425" s="9"/>
      <c r="P4425" s="9"/>
      <c r="Q4425" s="9"/>
      <c r="R4425" s="9"/>
      <c r="S4425" s="9"/>
      <c r="T4425" s="9"/>
      <c r="U4425" s="9"/>
      <c r="V4425" s="9"/>
      <c r="W4425" s="9"/>
      <c r="X4425" s="9"/>
      <c r="Y4425" s="9"/>
      <c r="Z4425" s="9"/>
      <c r="AA4425" s="9"/>
      <c r="AB4425" s="9"/>
      <c r="AC4425" s="9"/>
      <c r="AD4425" s="9"/>
      <c r="AE4425" s="9"/>
      <c r="AF4425" s="9"/>
      <c r="AG4425" s="9"/>
      <c r="AH4425" s="9"/>
      <c r="AI4425" s="9"/>
      <c r="AJ4425" s="9"/>
      <c r="AK4425" s="9"/>
      <c r="AL4425" s="9"/>
    </row>
    <row r="4426" spans="1:38">
      <c r="A4426" s="11"/>
      <c r="B4426" s="11"/>
      <c r="C4426" s="11"/>
      <c r="D4426" s="11"/>
      <c r="E4426" s="11"/>
      <c r="F4426" s="11"/>
      <c r="G4426" s="11"/>
      <c r="H4426" s="11"/>
      <c r="I4426" s="11"/>
      <c r="J4426" s="11"/>
      <c r="K4426" s="11"/>
      <c r="L4426" s="11"/>
      <c r="M4426" s="11"/>
      <c r="N4426" s="11"/>
      <c r="O4426" s="11"/>
      <c r="P4426" s="11"/>
      <c r="Q4426" s="11"/>
      <c r="R4426" s="11"/>
      <c r="S4426" s="11"/>
      <c r="T4426" s="11"/>
      <c r="U4426" s="11"/>
      <c r="V4426" s="11"/>
      <c r="W4426" s="11"/>
      <c r="X4426" s="11"/>
      <c r="Y4426" s="11"/>
      <c r="Z4426" s="11"/>
      <c r="AA4426" s="11"/>
      <c r="AB4426" s="11"/>
      <c r="AC4426" s="11"/>
      <c r="AD4426" s="11"/>
      <c r="AE4426" s="11"/>
      <c r="AF4426" s="11"/>
      <c r="AG4426" s="11"/>
      <c r="AH4426" s="11"/>
      <c r="AI4426" s="11"/>
      <c r="AJ4426" s="11"/>
      <c r="AK4426" s="11"/>
      <c r="AL4426" s="11"/>
    </row>
    <row r="4440" spans="1:38">
      <c r="A4440" s="14"/>
      <c r="B4440" s="14"/>
      <c r="C4440" s="14"/>
      <c r="D4440" s="14"/>
      <c r="E4440" s="14"/>
      <c r="F4440" s="14"/>
      <c r="G4440" s="14"/>
      <c r="H4440" s="14"/>
      <c r="I4440" s="14"/>
      <c r="J4440" s="14"/>
      <c r="K4440" s="14"/>
      <c r="L4440" s="14"/>
      <c r="M4440" s="14"/>
      <c r="N4440" s="14"/>
      <c r="O4440" s="14"/>
      <c r="P4440" s="14"/>
      <c r="Q4440" s="14"/>
      <c r="R4440" s="14"/>
      <c r="S4440" s="14"/>
      <c r="T4440" s="14"/>
      <c r="U4440" s="14"/>
      <c r="V4440" s="14"/>
      <c r="W4440" s="14"/>
      <c r="X4440" s="14"/>
      <c r="Y4440" s="14"/>
      <c r="Z4440" s="14"/>
      <c r="AA4440" s="14"/>
      <c r="AB4440" s="14"/>
      <c r="AC4440" s="14"/>
      <c r="AD4440" s="14"/>
      <c r="AE4440" s="14"/>
      <c r="AF4440" s="14"/>
      <c r="AG4440" s="14"/>
      <c r="AH4440" s="14"/>
      <c r="AI4440" s="14"/>
      <c r="AJ4440" s="14"/>
      <c r="AK4440" s="14"/>
      <c r="AL4440" s="14"/>
    </row>
    <row r="4441" spans="1:38">
      <c r="A4441" s="9"/>
      <c r="B4441" s="9"/>
      <c r="C4441" s="9"/>
      <c r="D4441" s="9"/>
      <c r="E4441" s="9"/>
      <c r="F4441" s="9"/>
      <c r="G4441" s="9"/>
      <c r="H4441" s="9"/>
      <c r="I4441" s="9"/>
      <c r="J4441" s="9"/>
      <c r="K4441" s="9"/>
      <c r="L4441" s="9"/>
      <c r="M4441" s="9"/>
      <c r="N4441" s="9"/>
      <c r="O4441" s="9"/>
      <c r="P4441" s="9"/>
      <c r="Q4441" s="9"/>
      <c r="R4441" s="9"/>
      <c r="S4441" s="9"/>
      <c r="T4441" s="9"/>
      <c r="U4441" s="9"/>
      <c r="V4441" s="9"/>
      <c r="W4441" s="9"/>
      <c r="X4441" s="9"/>
      <c r="Y4441" s="9"/>
      <c r="Z4441" s="9"/>
      <c r="AA4441" s="9"/>
      <c r="AB4441" s="9"/>
      <c r="AC4441" s="9"/>
      <c r="AD4441" s="9"/>
      <c r="AE4441" s="9"/>
      <c r="AF4441" s="9"/>
      <c r="AG4441" s="9"/>
      <c r="AH4441" s="9"/>
      <c r="AI4441" s="9"/>
      <c r="AJ4441" s="9"/>
      <c r="AK4441" s="9"/>
      <c r="AL4441" s="9"/>
    </row>
    <row r="4442" spans="1:38">
      <c r="A4442" s="10"/>
      <c r="B4442" s="10"/>
      <c r="C4442" s="10"/>
      <c r="D4442" s="10"/>
      <c r="E4442" s="10"/>
      <c r="F4442" s="10"/>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0"/>
      <c r="AH4442" s="10"/>
      <c r="AI4442" s="10"/>
      <c r="AJ4442" s="10"/>
      <c r="AK4442" s="10"/>
      <c r="AL4442" s="10"/>
    </row>
    <row r="4443" spans="1:38">
      <c r="A4443" s="10"/>
      <c r="B4443" s="10"/>
      <c r="C4443" s="10"/>
      <c r="D4443" s="10"/>
      <c r="E4443" s="10"/>
      <c r="F4443" s="10"/>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row>
    <row r="4444" spans="1:38">
      <c r="A4444" s="10"/>
      <c r="B4444" s="10"/>
      <c r="C4444" s="10"/>
      <c r="D4444" s="10"/>
      <c r="E4444" s="10"/>
      <c r="F4444" s="10"/>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0"/>
      <c r="AH4444" s="10"/>
      <c r="AI4444" s="10"/>
      <c r="AJ4444" s="10"/>
      <c r="AK4444" s="10"/>
      <c r="AL4444" s="10"/>
    </row>
    <row r="4445" spans="1:38">
      <c r="A4445" s="10"/>
      <c r="B4445" s="10"/>
      <c r="C4445" s="10"/>
      <c r="D4445" s="10"/>
      <c r="E4445" s="10"/>
      <c r="F4445" s="10"/>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row>
    <row r="4446" spans="1:38">
      <c r="A4446" s="10"/>
      <c r="B4446" s="10"/>
      <c r="C4446" s="10"/>
      <c r="D4446" s="10"/>
      <c r="E4446" s="10"/>
      <c r="F4446" s="10"/>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0"/>
      <c r="AH4446" s="10"/>
      <c r="AI4446" s="10"/>
      <c r="AJ4446" s="10"/>
      <c r="AK4446" s="10"/>
      <c r="AL4446" s="10"/>
    </row>
    <row r="4447" spans="1:38">
      <c r="A4447" s="10"/>
      <c r="B4447" s="10"/>
      <c r="C4447" s="10"/>
      <c r="D4447" s="10"/>
      <c r="E4447" s="10"/>
      <c r="F4447" s="10"/>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row>
    <row r="4448" spans="1:38">
      <c r="A4448" s="10"/>
      <c r="B4448" s="10"/>
      <c r="C4448" s="10"/>
      <c r="D4448" s="10"/>
      <c r="E4448" s="10"/>
      <c r="F4448" s="10"/>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0"/>
      <c r="AH4448" s="10"/>
      <c r="AI4448" s="10"/>
      <c r="AJ4448" s="10"/>
      <c r="AK4448" s="10"/>
      <c r="AL4448" s="10"/>
    </row>
    <row r="4449" spans="1:38">
      <c r="A4449" s="10"/>
      <c r="B4449" s="10"/>
      <c r="C4449" s="10"/>
      <c r="D4449" s="10"/>
      <c r="E4449" s="10"/>
      <c r="F4449" s="10"/>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row>
    <row r="4450" spans="1:38">
      <c r="A4450" s="10"/>
      <c r="B4450" s="10"/>
      <c r="C4450" s="10"/>
      <c r="D4450" s="10"/>
      <c r="E4450" s="10"/>
      <c r="F4450" s="10"/>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0"/>
      <c r="AH4450" s="10"/>
      <c r="AI4450" s="10"/>
      <c r="AJ4450" s="10"/>
      <c r="AK4450" s="10"/>
      <c r="AL4450" s="10"/>
    </row>
    <row r="4451" spans="1:38">
      <c r="A4451" s="10"/>
      <c r="B4451" s="10"/>
      <c r="C4451" s="10"/>
      <c r="D4451" s="10"/>
      <c r="E4451" s="10"/>
      <c r="F4451" s="10"/>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row>
    <row r="4452" spans="1:38">
      <c r="A4452" s="9"/>
      <c r="B4452" s="9"/>
      <c r="C4452" s="9"/>
      <c r="D4452" s="9"/>
      <c r="E4452" s="9"/>
      <c r="F4452" s="9"/>
      <c r="G4452" s="9"/>
      <c r="H4452" s="9"/>
      <c r="I4452" s="9"/>
      <c r="J4452" s="9"/>
      <c r="K4452" s="9"/>
      <c r="L4452" s="9"/>
      <c r="M4452" s="9"/>
      <c r="N4452" s="9"/>
      <c r="O4452" s="9"/>
      <c r="P4452" s="9"/>
      <c r="Q4452" s="9"/>
      <c r="R4452" s="9"/>
      <c r="S4452" s="9"/>
      <c r="T4452" s="9"/>
      <c r="U4452" s="9"/>
      <c r="V4452" s="9"/>
      <c r="W4452" s="9"/>
      <c r="X4452" s="9"/>
      <c r="Y4452" s="9"/>
      <c r="Z4452" s="9"/>
      <c r="AA4452" s="9"/>
      <c r="AB4452" s="9"/>
      <c r="AC4452" s="9"/>
      <c r="AD4452" s="9"/>
      <c r="AE4452" s="9"/>
      <c r="AF4452" s="9"/>
      <c r="AG4452" s="9"/>
      <c r="AH4452" s="9"/>
      <c r="AI4452" s="9"/>
      <c r="AJ4452" s="9"/>
      <c r="AK4452" s="9"/>
      <c r="AL4452" s="9"/>
    </row>
    <row r="4453" spans="1:38">
      <c r="A4453" s="11"/>
      <c r="B4453" s="11"/>
      <c r="C4453" s="11"/>
      <c r="D4453" s="11"/>
      <c r="E4453" s="11"/>
      <c r="F4453" s="11"/>
      <c r="G4453" s="11"/>
      <c r="H4453" s="11"/>
      <c r="I4453" s="11"/>
      <c r="J4453" s="11"/>
      <c r="K4453" s="11"/>
      <c r="L4453" s="11"/>
      <c r="M4453" s="11"/>
      <c r="N4453" s="11"/>
      <c r="O4453" s="11"/>
      <c r="P4453" s="11"/>
      <c r="Q4453" s="11"/>
      <c r="R4453" s="11"/>
      <c r="S4453" s="11"/>
      <c r="T4453" s="11"/>
      <c r="U4453" s="11"/>
      <c r="V4453" s="11"/>
      <c r="W4453" s="11"/>
      <c r="X4453" s="11"/>
      <c r="Y4453" s="11"/>
      <c r="Z4453" s="11"/>
      <c r="AA4453" s="11"/>
      <c r="AB4453" s="11"/>
      <c r="AC4453" s="11"/>
      <c r="AD4453" s="11"/>
      <c r="AE4453" s="11"/>
      <c r="AF4453" s="11"/>
      <c r="AG4453" s="11"/>
      <c r="AH4453" s="11"/>
      <c r="AI4453" s="11"/>
      <c r="AJ4453" s="11"/>
      <c r="AK4453" s="11"/>
      <c r="AL4453" s="11"/>
    </row>
    <row r="4461" spans="1:38">
      <c r="A4461" s="14"/>
      <c r="B4461" s="14"/>
      <c r="C4461" s="14"/>
      <c r="D4461" s="14"/>
      <c r="E4461" s="14"/>
      <c r="F4461" s="14"/>
      <c r="G4461" s="14"/>
      <c r="H4461" s="14"/>
      <c r="I4461" s="14"/>
      <c r="J4461" s="14"/>
      <c r="K4461" s="14"/>
      <c r="L4461" s="14"/>
      <c r="M4461" s="14"/>
      <c r="N4461" s="14"/>
      <c r="O4461" s="14"/>
      <c r="P4461" s="14"/>
      <c r="Q4461" s="14"/>
      <c r="R4461" s="14"/>
      <c r="S4461" s="14"/>
      <c r="T4461" s="14"/>
      <c r="U4461" s="14"/>
      <c r="V4461" s="14"/>
      <c r="W4461" s="14"/>
      <c r="X4461" s="14"/>
      <c r="Y4461" s="14"/>
      <c r="Z4461" s="14"/>
      <c r="AA4461" s="14"/>
      <c r="AB4461" s="14"/>
      <c r="AC4461" s="14"/>
      <c r="AD4461" s="14"/>
      <c r="AE4461" s="14"/>
      <c r="AF4461" s="14"/>
      <c r="AG4461" s="14"/>
      <c r="AH4461" s="14"/>
      <c r="AI4461" s="14"/>
      <c r="AJ4461" s="14"/>
      <c r="AK4461" s="14"/>
      <c r="AL4461" s="14"/>
    </row>
    <row r="4462" spans="1:38">
      <c r="A4462" s="9"/>
      <c r="B4462" s="9"/>
      <c r="C4462" s="9"/>
      <c r="D4462" s="9"/>
      <c r="E4462" s="9"/>
      <c r="F4462" s="9"/>
      <c r="G4462" s="9"/>
      <c r="H4462" s="9"/>
      <c r="I4462" s="9"/>
      <c r="J4462" s="9"/>
      <c r="K4462" s="9"/>
      <c r="L4462" s="9"/>
      <c r="M4462" s="9"/>
      <c r="N4462" s="9"/>
      <c r="O4462" s="9"/>
      <c r="P4462" s="9"/>
      <c r="Q4462" s="9"/>
      <c r="R4462" s="9"/>
      <c r="S4462" s="9"/>
      <c r="T4462" s="9"/>
      <c r="U4462" s="9"/>
      <c r="V4462" s="9"/>
      <c r="W4462" s="9"/>
      <c r="X4462" s="9"/>
      <c r="Y4462" s="9"/>
      <c r="Z4462" s="9"/>
      <c r="AA4462" s="9"/>
      <c r="AB4462" s="9"/>
      <c r="AC4462" s="9"/>
      <c r="AD4462" s="9"/>
      <c r="AE4462" s="9"/>
      <c r="AF4462" s="9"/>
      <c r="AG4462" s="9"/>
      <c r="AH4462" s="9"/>
      <c r="AI4462" s="9"/>
      <c r="AJ4462" s="9"/>
      <c r="AK4462" s="9"/>
      <c r="AL4462" s="9"/>
    </row>
    <row r="4463" spans="1:38">
      <c r="A4463" s="10"/>
      <c r="B4463" s="10"/>
      <c r="C4463" s="10"/>
      <c r="D4463" s="10"/>
      <c r="E4463" s="10"/>
      <c r="F4463" s="10"/>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row>
    <row r="4464" spans="1:38">
      <c r="A4464" s="10"/>
      <c r="B4464" s="10"/>
      <c r="C4464" s="10"/>
      <c r="D4464" s="10"/>
      <c r="E4464" s="10"/>
      <c r="F4464" s="10"/>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0"/>
      <c r="AH4464" s="10"/>
      <c r="AI4464" s="10"/>
      <c r="AJ4464" s="10"/>
      <c r="AK4464" s="10"/>
      <c r="AL4464" s="10"/>
    </row>
    <row r="4465" spans="1:38">
      <c r="A4465" s="10"/>
      <c r="B4465" s="10"/>
      <c r="C4465" s="10"/>
      <c r="D4465" s="10"/>
      <c r="E4465" s="10"/>
      <c r="F4465" s="10"/>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row>
    <row r="4466" spans="1:38">
      <c r="A4466" s="10"/>
      <c r="B4466" s="10"/>
      <c r="C4466" s="10"/>
      <c r="D4466" s="10"/>
      <c r="E4466" s="10"/>
      <c r="F4466" s="10"/>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0"/>
      <c r="AH4466" s="10"/>
      <c r="AI4466" s="10"/>
      <c r="AJ4466" s="10"/>
      <c r="AK4466" s="10"/>
      <c r="AL4466" s="10"/>
    </row>
    <row r="4467" spans="1:38">
      <c r="A4467" s="10"/>
      <c r="B4467" s="10"/>
      <c r="C4467" s="10"/>
      <c r="D4467" s="10"/>
      <c r="E4467" s="10"/>
      <c r="F4467" s="10"/>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row>
    <row r="4468" spans="1:38">
      <c r="A4468" s="10"/>
      <c r="B4468" s="10"/>
      <c r="C4468" s="10"/>
      <c r="D4468" s="10"/>
      <c r="E4468" s="10"/>
      <c r="F4468" s="10"/>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0"/>
      <c r="AH4468" s="10"/>
      <c r="AI4468" s="10"/>
      <c r="AJ4468" s="10"/>
      <c r="AK4468" s="10"/>
      <c r="AL4468" s="10"/>
    </row>
    <row r="4469" spans="1:38">
      <c r="A4469" s="10"/>
      <c r="B4469" s="10"/>
      <c r="C4469" s="10"/>
      <c r="D4469" s="10"/>
      <c r="E4469" s="10"/>
      <c r="F4469" s="10"/>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row>
    <row r="4470" spans="1:38">
      <c r="A4470" s="10"/>
      <c r="B4470" s="10"/>
      <c r="C4470" s="10"/>
      <c r="D4470" s="10"/>
      <c r="E4470" s="10"/>
      <c r="F4470" s="10"/>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0"/>
      <c r="AH4470" s="10"/>
      <c r="AI4470" s="10"/>
      <c r="AJ4470" s="10"/>
      <c r="AK4470" s="10"/>
      <c r="AL4470" s="10"/>
    </row>
    <row r="4471" spans="1:38">
      <c r="A4471" s="10"/>
      <c r="B4471" s="10"/>
      <c r="C4471" s="10"/>
      <c r="D4471" s="10"/>
      <c r="E4471" s="10"/>
      <c r="F4471" s="10"/>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row>
    <row r="4472" spans="1:38">
      <c r="A4472" s="10"/>
      <c r="B4472" s="10"/>
      <c r="C4472" s="10"/>
      <c r="D4472" s="10"/>
      <c r="E4472" s="10"/>
      <c r="F4472" s="10"/>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0"/>
      <c r="AH4472" s="10"/>
      <c r="AI4472" s="10"/>
      <c r="AJ4472" s="10"/>
      <c r="AK4472" s="10"/>
      <c r="AL4472" s="10"/>
    </row>
    <row r="4473" spans="1:38">
      <c r="A4473" s="9"/>
      <c r="B4473" s="9"/>
      <c r="C4473" s="9"/>
      <c r="D4473" s="9"/>
      <c r="E4473" s="9"/>
      <c r="F4473" s="9"/>
      <c r="G4473" s="9"/>
      <c r="H4473" s="9"/>
      <c r="I4473" s="9"/>
      <c r="J4473" s="9"/>
      <c r="K4473" s="9"/>
      <c r="L4473" s="9"/>
      <c r="M4473" s="9"/>
      <c r="N4473" s="9"/>
      <c r="O4473" s="9"/>
      <c r="P4473" s="9"/>
      <c r="Q4473" s="9"/>
      <c r="R4473" s="9"/>
      <c r="S4473" s="9"/>
      <c r="T4473" s="9"/>
      <c r="U4473" s="9"/>
      <c r="V4473" s="9"/>
      <c r="W4473" s="9"/>
      <c r="X4473" s="9"/>
      <c r="Y4473" s="9"/>
      <c r="Z4473" s="9"/>
      <c r="AA4473" s="9"/>
      <c r="AB4473" s="9"/>
      <c r="AC4473" s="9"/>
      <c r="AD4473" s="9"/>
      <c r="AE4473" s="9"/>
      <c r="AF4473" s="9"/>
      <c r="AG4473" s="9"/>
      <c r="AH4473" s="9"/>
      <c r="AI4473" s="9"/>
      <c r="AJ4473" s="9"/>
      <c r="AK4473" s="9"/>
      <c r="AL4473" s="9"/>
    </row>
    <row r="4474" spans="1:38">
      <c r="A4474" s="11"/>
      <c r="B4474" s="11"/>
      <c r="C4474" s="11"/>
      <c r="D4474" s="11"/>
      <c r="E4474" s="11"/>
      <c r="F4474" s="11"/>
      <c r="G4474" s="11"/>
      <c r="H4474" s="11"/>
      <c r="I4474" s="11"/>
      <c r="J4474" s="11"/>
      <c r="K4474" s="11"/>
      <c r="L4474" s="11"/>
      <c r="M4474" s="11"/>
      <c r="N4474" s="11"/>
      <c r="O4474" s="11"/>
      <c r="P4474" s="11"/>
      <c r="Q4474" s="11"/>
      <c r="R4474" s="11"/>
      <c r="S4474" s="11"/>
      <c r="T4474" s="11"/>
      <c r="U4474" s="11"/>
      <c r="V4474" s="11"/>
      <c r="W4474" s="11"/>
      <c r="X4474" s="11"/>
      <c r="Y4474" s="11"/>
      <c r="Z4474" s="11"/>
      <c r="AA4474" s="11"/>
      <c r="AB4474" s="11"/>
      <c r="AC4474" s="11"/>
      <c r="AD4474" s="11"/>
      <c r="AE4474" s="11"/>
      <c r="AF4474" s="11"/>
      <c r="AG4474" s="11"/>
      <c r="AH4474" s="11"/>
      <c r="AI4474" s="11"/>
      <c r="AJ4474" s="11"/>
      <c r="AK4474" s="11"/>
      <c r="AL4474" s="11"/>
    </row>
    <row r="4486" spans="1:38">
      <c r="A4486" s="14"/>
      <c r="B4486" s="14"/>
      <c r="C4486" s="14"/>
      <c r="D4486" s="14"/>
      <c r="E4486" s="14"/>
      <c r="F4486" s="14"/>
      <c r="G4486" s="14"/>
      <c r="H4486" s="14"/>
      <c r="I4486" s="14"/>
      <c r="J4486" s="14"/>
      <c r="K4486" s="14"/>
      <c r="L4486" s="14"/>
      <c r="M4486" s="14"/>
      <c r="N4486" s="14"/>
      <c r="O4486" s="14"/>
      <c r="P4486" s="14"/>
      <c r="Q4486" s="14"/>
      <c r="R4486" s="14"/>
      <c r="S4486" s="14"/>
      <c r="T4486" s="14"/>
      <c r="U4486" s="14"/>
      <c r="V4486" s="14"/>
      <c r="W4486" s="14"/>
      <c r="X4486" s="14"/>
      <c r="Y4486" s="14"/>
      <c r="Z4486" s="14"/>
      <c r="AA4486" s="14"/>
      <c r="AB4486" s="14"/>
      <c r="AC4486" s="14"/>
      <c r="AD4486" s="14"/>
      <c r="AE4486" s="14"/>
      <c r="AF4486" s="14"/>
      <c r="AG4486" s="14"/>
      <c r="AH4486" s="14"/>
      <c r="AI4486" s="14"/>
      <c r="AJ4486" s="14"/>
      <c r="AK4486" s="14"/>
      <c r="AL4486" s="14"/>
    </row>
    <row r="4487" spans="1:38">
      <c r="A4487" s="9"/>
      <c r="B4487" s="9"/>
      <c r="C4487" s="9"/>
      <c r="D4487" s="9"/>
      <c r="E4487" s="9"/>
      <c r="F4487" s="9"/>
      <c r="G4487" s="9"/>
      <c r="H4487" s="9"/>
      <c r="I4487" s="9"/>
      <c r="J4487" s="9"/>
      <c r="K4487" s="9"/>
      <c r="L4487" s="9"/>
      <c r="M4487" s="9"/>
      <c r="N4487" s="9"/>
      <c r="O4487" s="9"/>
      <c r="P4487" s="9"/>
      <c r="Q4487" s="9"/>
      <c r="R4487" s="9"/>
      <c r="S4487" s="9"/>
      <c r="T4487" s="9"/>
      <c r="U4487" s="9"/>
      <c r="V4487" s="9"/>
      <c r="W4487" s="9"/>
      <c r="X4487" s="9"/>
      <c r="Y4487" s="9"/>
      <c r="Z4487" s="9"/>
      <c r="AA4487" s="9"/>
      <c r="AB4487" s="9"/>
      <c r="AC4487" s="9"/>
      <c r="AD4487" s="9"/>
      <c r="AE4487" s="9"/>
      <c r="AF4487" s="9"/>
      <c r="AG4487" s="9"/>
      <c r="AH4487" s="9"/>
      <c r="AI4487" s="9"/>
      <c r="AJ4487" s="9"/>
      <c r="AK4487" s="9"/>
      <c r="AL4487" s="9"/>
    </row>
    <row r="4488" spans="1:38">
      <c r="A4488" s="10"/>
      <c r="B4488" s="10"/>
      <c r="C4488" s="10"/>
      <c r="D4488" s="10"/>
      <c r="E4488" s="10"/>
      <c r="F4488" s="10"/>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0"/>
      <c r="AH4488" s="10"/>
      <c r="AI4488" s="10"/>
      <c r="AJ4488" s="10"/>
      <c r="AK4488" s="10"/>
      <c r="AL4488" s="10"/>
    </row>
    <row r="4489" spans="1:38">
      <c r="A4489" s="10"/>
      <c r="B4489" s="10"/>
      <c r="C4489" s="10"/>
      <c r="D4489" s="10"/>
      <c r="E4489" s="10"/>
      <c r="F4489" s="10"/>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row>
    <row r="4490" spans="1:38">
      <c r="A4490" s="10"/>
      <c r="B4490" s="10"/>
      <c r="C4490" s="10"/>
      <c r="D4490" s="10"/>
      <c r="E4490" s="10"/>
      <c r="F4490" s="10"/>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0"/>
      <c r="AH4490" s="10"/>
      <c r="AI4490" s="10"/>
      <c r="AJ4490" s="10"/>
      <c r="AK4490" s="10"/>
      <c r="AL4490" s="10"/>
    </row>
    <row r="4491" spans="1:38">
      <c r="A4491" s="10"/>
      <c r="B4491" s="10"/>
      <c r="C4491" s="10"/>
      <c r="D4491" s="10"/>
      <c r="E4491" s="10"/>
      <c r="F4491" s="10"/>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row>
    <row r="4492" spans="1:38">
      <c r="A4492" s="10"/>
      <c r="B4492" s="10"/>
      <c r="C4492" s="10"/>
      <c r="D4492" s="10"/>
      <c r="E4492" s="10"/>
      <c r="F4492" s="10"/>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0"/>
      <c r="AH4492" s="10"/>
      <c r="AI4492" s="10"/>
      <c r="AJ4492" s="10"/>
      <c r="AK4492" s="10"/>
      <c r="AL4492" s="10"/>
    </row>
    <row r="4493" spans="1:38">
      <c r="A4493" s="10"/>
      <c r="B4493" s="10"/>
      <c r="C4493" s="10"/>
      <c r="D4493" s="10"/>
      <c r="E4493" s="10"/>
      <c r="F4493" s="10"/>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row>
    <row r="4494" spans="1:38">
      <c r="A4494" s="10"/>
      <c r="B4494" s="10"/>
      <c r="C4494" s="10"/>
      <c r="D4494" s="10"/>
      <c r="E4494" s="10"/>
      <c r="F4494" s="10"/>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0"/>
      <c r="AH4494" s="10"/>
      <c r="AI4494" s="10"/>
      <c r="AJ4494" s="10"/>
      <c r="AK4494" s="10"/>
      <c r="AL4494" s="10"/>
    </row>
    <row r="4495" spans="1:38">
      <c r="A4495" s="10"/>
      <c r="B4495" s="10"/>
      <c r="C4495" s="10"/>
      <c r="D4495" s="10"/>
      <c r="E4495" s="10"/>
      <c r="F4495" s="10"/>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row>
    <row r="4496" spans="1:38">
      <c r="A4496" s="10"/>
      <c r="B4496" s="10"/>
      <c r="C4496" s="10"/>
      <c r="D4496" s="10"/>
      <c r="E4496" s="10"/>
      <c r="F4496" s="10"/>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0"/>
      <c r="AH4496" s="10"/>
      <c r="AI4496" s="10"/>
      <c r="AJ4496" s="10"/>
      <c r="AK4496" s="10"/>
      <c r="AL4496" s="10"/>
    </row>
    <row r="4497" spans="1:38">
      <c r="A4497" s="10"/>
      <c r="B4497" s="10"/>
      <c r="C4497" s="10"/>
      <c r="D4497" s="10"/>
      <c r="E4497" s="10"/>
      <c r="F4497" s="10"/>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row>
    <row r="4498" spans="1:38">
      <c r="A4498" s="10"/>
      <c r="B4498" s="10"/>
      <c r="C4498" s="10"/>
      <c r="D4498" s="10"/>
      <c r="E4498" s="10"/>
      <c r="F4498" s="10"/>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0"/>
      <c r="AH4498" s="10"/>
      <c r="AI4498" s="10"/>
      <c r="AJ4498" s="10"/>
      <c r="AK4498" s="10"/>
      <c r="AL4498" s="10"/>
    </row>
    <row r="4514" spans="1:38">
      <c r="A4514" s="9"/>
      <c r="B4514" s="9"/>
      <c r="C4514" s="9"/>
      <c r="D4514" s="9"/>
      <c r="E4514" s="9"/>
      <c r="F4514" s="9"/>
      <c r="G4514" s="9"/>
      <c r="H4514" s="9"/>
      <c r="I4514" s="9"/>
      <c r="J4514" s="9"/>
      <c r="K4514" s="9"/>
      <c r="L4514" s="9"/>
      <c r="M4514" s="9"/>
      <c r="N4514" s="9"/>
      <c r="O4514" s="9"/>
      <c r="P4514" s="9"/>
      <c r="Q4514" s="9"/>
      <c r="R4514" s="9"/>
      <c r="S4514" s="9"/>
      <c r="T4514" s="9"/>
      <c r="U4514" s="9"/>
      <c r="V4514" s="9"/>
      <c r="W4514" s="9"/>
      <c r="X4514" s="9"/>
      <c r="Y4514" s="9"/>
      <c r="Z4514" s="9"/>
      <c r="AA4514" s="9"/>
      <c r="AB4514" s="9"/>
      <c r="AC4514" s="9"/>
      <c r="AD4514" s="9"/>
      <c r="AE4514" s="9"/>
      <c r="AF4514" s="9"/>
      <c r="AG4514" s="9"/>
      <c r="AH4514" s="9"/>
      <c r="AI4514" s="9"/>
      <c r="AJ4514" s="9"/>
      <c r="AK4514" s="9"/>
      <c r="AL4514" s="9"/>
    </row>
    <row r="4515" spans="1:38">
      <c r="A4515" s="10"/>
      <c r="B4515" s="10"/>
      <c r="C4515" s="10"/>
      <c r="D4515" s="10"/>
      <c r="E4515" s="10"/>
      <c r="F4515" s="10"/>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row>
    <row r="4516" spans="1:38">
      <c r="A4516" s="10"/>
      <c r="B4516" s="10"/>
      <c r="C4516" s="10"/>
      <c r="D4516" s="10"/>
      <c r="E4516" s="10"/>
      <c r="F4516" s="10"/>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0"/>
      <c r="AH4516" s="10"/>
      <c r="AI4516" s="10"/>
      <c r="AJ4516" s="10"/>
      <c r="AK4516" s="10"/>
      <c r="AL4516" s="10"/>
    </row>
    <row r="4517" spans="1:38">
      <c r="A4517" s="10"/>
      <c r="B4517" s="10"/>
      <c r="C4517" s="10"/>
      <c r="D4517" s="10"/>
      <c r="E4517" s="10"/>
      <c r="F4517" s="10"/>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row>
    <row r="4518" spans="1:38">
      <c r="A4518" s="10"/>
      <c r="B4518" s="10"/>
      <c r="C4518" s="10"/>
      <c r="D4518" s="10"/>
      <c r="E4518" s="10"/>
      <c r="F4518" s="10"/>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0"/>
      <c r="AH4518" s="10"/>
      <c r="AI4518" s="10"/>
      <c r="AJ4518" s="10"/>
      <c r="AK4518" s="10"/>
      <c r="AL4518" s="10"/>
    </row>
    <row r="4519" spans="1:38">
      <c r="A4519" s="10"/>
      <c r="B4519" s="10"/>
      <c r="C4519" s="10"/>
      <c r="D4519" s="10"/>
      <c r="E4519" s="10"/>
      <c r="F4519" s="10"/>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row>
    <row r="4520" spans="1:38">
      <c r="A4520" s="10"/>
      <c r="B4520" s="10"/>
      <c r="C4520" s="10"/>
      <c r="D4520" s="10"/>
      <c r="E4520" s="10"/>
      <c r="F4520" s="10"/>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0"/>
      <c r="AH4520" s="10"/>
      <c r="AI4520" s="10"/>
      <c r="AJ4520" s="10"/>
      <c r="AK4520" s="10"/>
      <c r="AL4520" s="10"/>
    </row>
    <row r="4521" spans="1:38">
      <c r="A4521" s="10"/>
      <c r="B4521" s="10"/>
      <c r="C4521" s="10"/>
      <c r="D4521" s="10"/>
      <c r="E4521" s="10"/>
      <c r="F4521" s="10"/>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row>
    <row r="4522" spans="1:38">
      <c r="A4522" s="10"/>
      <c r="B4522" s="10"/>
      <c r="C4522" s="10"/>
      <c r="D4522" s="10"/>
      <c r="E4522" s="10"/>
      <c r="F4522" s="10"/>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0"/>
      <c r="AH4522" s="10"/>
      <c r="AI4522" s="10"/>
      <c r="AJ4522" s="10"/>
      <c r="AK4522" s="10"/>
      <c r="AL4522" s="10"/>
    </row>
    <row r="4523" spans="1:38">
      <c r="A4523" s="10"/>
      <c r="B4523" s="10"/>
      <c r="C4523" s="10"/>
      <c r="D4523" s="10"/>
      <c r="E4523" s="10"/>
      <c r="F4523" s="10"/>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row>
    <row r="4524" spans="1:38">
      <c r="A4524" s="10"/>
      <c r="B4524" s="10"/>
      <c r="C4524" s="10"/>
      <c r="D4524" s="10"/>
      <c r="E4524" s="10"/>
      <c r="F4524" s="10"/>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0"/>
      <c r="AH4524" s="10"/>
      <c r="AI4524" s="10"/>
      <c r="AJ4524" s="10"/>
      <c r="AK4524" s="10"/>
      <c r="AL4524" s="10"/>
    </row>
    <row r="4527" spans="1:38">
      <c r="A4527" s="11"/>
      <c r="B4527" s="11"/>
      <c r="C4527" s="11"/>
      <c r="D4527" s="11"/>
      <c r="E4527" s="11"/>
      <c r="F4527" s="11"/>
      <c r="G4527" s="11"/>
      <c r="H4527" s="11"/>
      <c r="I4527" s="11"/>
      <c r="J4527" s="11"/>
      <c r="K4527" s="11"/>
      <c r="L4527" s="11"/>
      <c r="M4527" s="11"/>
      <c r="N4527" s="11"/>
      <c r="O4527" s="11"/>
      <c r="P4527" s="11"/>
      <c r="Q4527" s="11"/>
      <c r="R4527" s="11"/>
      <c r="S4527" s="11"/>
      <c r="T4527" s="11"/>
      <c r="U4527" s="11"/>
      <c r="V4527" s="11"/>
      <c r="W4527" s="11"/>
      <c r="X4527" s="11"/>
      <c r="Y4527" s="11"/>
      <c r="Z4527" s="11"/>
      <c r="AA4527" s="11"/>
      <c r="AB4527" s="11"/>
      <c r="AC4527" s="11"/>
      <c r="AD4527" s="11"/>
      <c r="AE4527" s="11"/>
      <c r="AF4527" s="11"/>
      <c r="AG4527" s="11"/>
      <c r="AH4527" s="11"/>
      <c r="AI4527" s="11"/>
      <c r="AJ4527" s="11"/>
      <c r="AK4527" s="11"/>
      <c r="AL4527" s="11"/>
    </row>
    <row r="4540" spans="1:38">
      <c r="A4540" s="14"/>
      <c r="B4540" s="14"/>
      <c r="C4540" s="14"/>
      <c r="D4540" s="14"/>
      <c r="E4540" s="14"/>
      <c r="F4540" s="14"/>
      <c r="G4540" s="14"/>
      <c r="H4540" s="14"/>
      <c r="I4540" s="14"/>
      <c r="J4540" s="14"/>
      <c r="K4540" s="14"/>
      <c r="L4540" s="14"/>
      <c r="M4540" s="14"/>
      <c r="N4540" s="14"/>
      <c r="O4540" s="14"/>
      <c r="P4540" s="14"/>
      <c r="Q4540" s="14"/>
      <c r="R4540" s="14"/>
      <c r="S4540" s="14"/>
      <c r="T4540" s="14"/>
      <c r="U4540" s="14"/>
      <c r="V4540" s="14"/>
      <c r="W4540" s="14"/>
      <c r="X4540" s="14"/>
      <c r="Y4540" s="14"/>
      <c r="Z4540" s="14"/>
      <c r="AA4540" s="14"/>
      <c r="AB4540" s="14"/>
      <c r="AC4540" s="14"/>
      <c r="AD4540" s="14"/>
      <c r="AE4540" s="14"/>
      <c r="AF4540" s="14"/>
      <c r="AG4540" s="14"/>
      <c r="AH4540" s="14"/>
      <c r="AI4540" s="14"/>
      <c r="AJ4540" s="14"/>
      <c r="AK4540" s="14"/>
      <c r="AL4540" s="14"/>
    </row>
    <row r="4541" spans="1:38">
      <c r="A4541" s="9"/>
      <c r="B4541" s="9"/>
      <c r="C4541" s="9"/>
      <c r="D4541" s="9"/>
      <c r="E4541" s="9"/>
      <c r="F4541" s="9"/>
      <c r="G4541" s="9"/>
      <c r="H4541" s="9"/>
      <c r="I4541" s="9"/>
      <c r="J4541" s="9"/>
      <c r="K4541" s="9"/>
      <c r="L4541" s="9"/>
      <c r="M4541" s="9"/>
      <c r="N4541" s="9"/>
      <c r="O4541" s="9"/>
      <c r="P4541" s="9"/>
      <c r="Q4541" s="9"/>
      <c r="R4541" s="9"/>
      <c r="S4541" s="9"/>
      <c r="T4541" s="9"/>
      <c r="U4541" s="9"/>
      <c r="V4541" s="9"/>
      <c r="W4541" s="9"/>
      <c r="X4541" s="9"/>
      <c r="Y4541" s="9"/>
      <c r="Z4541" s="9"/>
      <c r="AA4541" s="9"/>
      <c r="AB4541" s="9"/>
      <c r="AC4541" s="9"/>
      <c r="AD4541" s="9"/>
      <c r="AE4541" s="9"/>
      <c r="AF4541" s="9"/>
      <c r="AG4541" s="9"/>
      <c r="AH4541" s="9"/>
      <c r="AI4541" s="9"/>
      <c r="AJ4541" s="9"/>
      <c r="AK4541" s="9"/>
      <c r="AL4541" s="9"/>
    </row>
    <row r="4542" spans="1:38">
      <c r="A4542" s="10"/>
      <c r="B4542" s="10"/>
      <c r="C4542" s="10"/>
      <c r="D4542" s="10"/>
      <c r="E4542" s="10"/>
      <c r="F4542" s="10"/>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0"/>
      <c r="AH4542" s="10"/>
      <c r="AI4542" s="10"/>
      <c r="AJ4542" s="10"/>
      <c r="AK4542" s="10"/>
      <c r="AL4542" s="10"/>
    </row>
    <row r="4543" spans="1:38">
      <c r="A4543" s="10"/>
      <c r="B4543" s="10"/>
      <c r="C4543" s="10"/>
      <c r="D4543" s="10"/>
      <c r="E4543" s="10"/>
      <c r="F4543" s="10"/>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row>
    <row r="4544" spans="1:38">
      <c r="A4544" s="10"/>
      <c r="B4544" s="10"/>
      <c r="C4544" s="10"/>
      <c r="D4544" s="10"/>
      <c r="E4544" s="10"/>
      <c r="F4544" s="10"/>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0"/>
      <c r="AH4544" s="10"/>
      <c r="AI4544" s="10"/>
      <c r="AJ4544" s="10"/>
      <c r="AK4544" s="10"/>
      <c r="AL4544" s="10"/>
    </row>
    <row r="4545" spans="1:38">
      <c r="A4545" s="10"/>
      <c r="B4545" s="10"/>
      <c r="C4545" s="10"/>
      <c r="D4545" s="10"/>
      <c r="E4545" s="10"/>
      <c r="F4545" s="10"/>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row>
    <row r="4546" spans="1:38">
      <c r="A4546" s="10"/>
      <c r="B4546" s="10"/>
      <c r="C4546" s="10"/>
      <c r="D4546" s="10"/>
      <c r="E4546" s="10"/>
      <c r="F4546" s="10"/>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0"/>
      <c r="AH4546" s="10"/>
      <c r="AI4546" s="10"/>
      <c r="AJ4546" s="10"/>
      <c r="AK4546" s="10"/>
      <c r="AL4546" s="10"/>
    </row>
    <row r="4547" spans="1:38">
      <c r="A4547" s="10"/>
      <c r="B4547" s="10"/>
      <c r="C4547" s="10"/>
      <c r="D4547" s="10"/>
      <c r="E4547" s="10"/>
      <c r="F4547" s="10"/>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row>
    <row r="4548" spans="1:38">
      <c r="A4548" s="10"/>
      <c r="B4548" s="10"/>
      <c r="C4548" s="10"/>
      <c r="D4548" s="10"/>
      <c r="E4548" s="10"/>
      <c r="F4548" s="10"/>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0"/>
      <c r="AH4548" s="10"/>
      <c r="AI4548" s="10"/>
      <c r="AJ4548" s="10"/>
      <c r="AK4548" s="10"/>
      <c r="AL4548" s="10"/>
    </row>
    <row r="4549" spans="1:38">
      <c r="A4549" s="10"/>
      <c r="B4549" s="10"/>
      <c r="C4549" s="10"/>
      <c r="D4549" s="10"/>
      <c r="E4549" s="10"/>
      <c r="F4549" s="10"/>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row>
    <row r="4550" spans="1:38">
      <c r="A4550" s="10"/>
      <c r="B4550" s="10"/>
      <c r="C4550" s="10"/>
      <c r="D4550" s="10"/>
      <c r="E4550" s="10"/>
      <c r="F4550" s="10"/>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0"/>
      <c r="AH4550" s="10"/>
      <c r="AI4550" s="10"/>
      <c r="AJ4550" s="10"/>
      <c r="AK4550" s="10"/>
      <c r="AL4550" s="10"/>
    </row>
    <row r="4551" spans="1:38">
      <c r="A4551" s="10"/>
      <c r="B4551" s="10"/>
      <c r="C4551" s="10"/>
      <c r="D4551" s="10"/>
      <c r="E4551" s="10"/>
      <c r="F4551" s="10"/>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row>
    <row r="4552" spans="1:38">
      <c r="A4552" s="9"/>
      <c r="B4552" s="9"/>
      <c r="C4552" s="9"/>
      <c r="D4552" s="9"/>
      <c r="E4552" s="9"/>
      <c r="F4552" s="9"/>
      <c r="G4552" s="9"/>
      <c r="H4552" s="9"/>
      <c r="I4552" s="9"/>
      <c r="J4552" s="9"/>
      <c r="K4552" s="9"/>
      <c r="L4552" s="9"/>
      <c r="M4552" s="9"/>
      <c r="N4552" s="9"/>
      <c r="O4552" s="9"/>
      <c r="P4552" s="9"/>
      <c r="Q4552" s="9"/>
      <c r="R4552" s="9"/>
      <c r="S4552" s="9"/>
      <c r="T4552" s="9"/>
      <c r="U4552" s="9"/>
      <c r="V4552" s="9"/>
      <c r="W4552" s="9"/>
      <c r="X4552" s="9"/>
      <c r="Y4552" s="9"/>
      <c r="Z4552" s="9"/>
      <c r="AA4552" s="9"/>
      <c r="AB4552" s="9"/>
      <c r="AC4552" s="9"/>
      <c r="AD4552" s="9"/>
      <c r="AE4552" s="9"/>
      <c r="AF4552" s="9"/>
      <c r="AG4552" s="9"/>
      <c r="AH4552" s="9"/>
      <c r="AI4552" s="9"/>
      <c r="AJ4552" s="9"/>
      <c r="AK4552" s="9"/>
      <c r="AL4552" s="9"/>
    </row>
    <row r="4559" spans="1:38">
      <c r="A4559" s="9"/>
      <c r="B4559" s="9"/>
      <c r="C4559" s="9"/>
      <c r="D4559" s="9"/>
      <c r="E4559" s="9"/>
      <c r="F4559" s="9"/>
      <c r="G4559" s="9"/>
      <c r="H4559" s="9"/>
      <c r="I4559" s="9"/>
      <c r="J4559" s="9"/>
      <c r="K4559" s="9"/>
      <c r="L4559" s="9"/>
      <c r="M4559" s="9"/>
      <c r="N4559" s="9"/>
      <c r="O4559" s="9"/>
      <c r="P4559" s="9"/>
      <c r="Q4559" s="9"/>
      <c r="R4559" s="9"/>
      <c r="S4559" s="9"/>
      <c r="T4559" s="9"/>
      <c r="U4559" s="9"/>
      <c r="V4559" s="9"/>
      <c r="W4559" s="9"/>
      <c r="X4559" s="9"/>
      <c r="Y4559" s="9"/>
      <c r="Z4559" s="9"/>
      <c r="AA4559" s="9"/>
      <c r="AB4559" s="9"/>
      <c r="AC4559" s="9"/>
      <c r="AD4559" s="9"/>
      <c r="AE4559" s="9"/>
      <c r="AF4559" s="9"/>
      <c r="AG4559" s="9"/>
      <c r="AH4559" s="9"/>
      <c r="AI4559" s="9"/>
      <c r="AJ4559" s="9"/>
      <c r="AK4559" s="9"/>
      <c r="AL4559" s="9"/>
    </row>
    <row r="4560" spans="1:38">
      <c r="A4560" s="10"/>
      <c r="B4560" s="10"/>
      <c r="C4560" s="10"/>
      <c r="D4560" s="10"/>
      <c r="E4560" s="10"/>
      <c r="F4560" s="10"/>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0"/>
      <c r="AH4560" s="10"/>
      <c r="AI4560" s="10"/>
      <c r="AJ4560" s="10"/>
      <c r="AK4560" s="10"/>
      <c r="AL4560" s="10"/>
    </row>
    <row r="4561" spans="1:38">
      <c r="A4561" s="10"/>
      <c r="B4561" s="10"/>
      <c r="C4561" s="10"/>
      <c r="D4561" s="10"/>
      <c r="E4561" s="10"/>
      <c r="F4561" s="10"/>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row>
    <row r="4562" spans="1:38">
      <c r="A4562" s="10"/>
      <c r="B4562" s="10"/>
      <c r="C4562" s="10"/>
      <c r="D4562" s="10"/>
      <c r="E4562" s="10"/>
      <c r="F4562" s="10"/>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0"/>
      <c r="AH4562" s="10"/>
      <c r="AI4562" s="10"/>
      <c r="AJ4562" s="10"/>
      <c r="AK4562" s="10"/>
      <c r="AL4562" s="10"/>
    </row>
    <row r="4563" spans="1:38">
      <c r="A4563" s="10"/>
      <c r="B4563" s="10"/>
      <c r="C4563" s="10"/>
      <c r="D4563" s="10"/>
      <c r="E4563" s="10"/>
      <c r="F4563" s="10"/>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row>
    <row r="4564" spans="1:38">
      <c r="A4564" s="10"/>
      <c r="B4564" s="10"/>
      <c r="C4564" s="10"/>
      <c r="D4564" s="10"/>
      <c r="E4564" s="10"/>
      <c r="F4564" s="10"/>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0"/>
      <c r="AH4564" s="10"/>
      <c r="AI4564" s="10"/>
      <c r="AJ4564" s="10"/>
      <c r="AK4564" s="10"/>
      <c r="AL4564" s="10"/>
    </row>
    <row r="4565" spans="1:38">
      <c r="A4565" s="10"/>
      <c r="B4565" s="10"/>
      <c r="C4565" s="10"/>
      <c r="D4565" s="10"/>
      <c r="E4565" s="10"/>
      <c r="F4565" s="10"/>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row>
    <row r="4566" spans="1:38">
      <c r="A4566" s="10"/>
      <c r="B4566" s="10"/>
      <c r="C4566" s="10"/>
      <c r="D4566" s="10"/>
      <c r="E4566" s="10"/>
      <c r="F4566" s="10"/>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0"/>
      <c r="AH4566" s="10"/>
      <c r="AI4566" s="10"/>
      <c r="AJ4566" s="10"/>
      <c r="AK4566" s="10"/>
      <c r="AL4566" s="10"/>
    </row>
    <row r="4567" spans="1:38">
      <c r="A4567" s="10"/>
      <c r="B4567" s="10"/>
      <c r="C4567" s="10"/>
      <c r="D4567" s="10"/>
      <c r="E4567" s="10"/>
      <c r="F4567" s="10"/>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row>
    <row r="4568" spans="1:38">
      <c r="A4568" s="10"/>
      <c r="B4568" s="10"/>
      <c r="C4568" s="10"/>
      <c r="D4568" s="10"/>
      <c r="E4568" s="10"/>
      <c r="F4568" s="10"/>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0"/>
      <c r="AH4568" s="10"/>
      <c r="AI4568" s="10"/>
      <c r="AJ4568" s="10"/>
      <c r="AK4568" s="10"/>
      <c r="AL4568" s="10"/>
    </row>
    <row r="4569" spans="1:38">
      <c r="A4569" s="10"/>
      <c r="B4569" s="10"/>
      <c r="C4569" s="10"/>
      <c r="D4569" s="10"/>
      <c r="E4569" s="10"/>
      <c r="F4569" s="10"/>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row>
    <row r="5387" spans="1:38">
      <c r="A5387" s="14"/>
      <c r="B5387" s="14"/>
      <c r="C5387" s="14"/>
      <c r="D5387" s="14"/>
      <c r="E5387" s="14"/>
      <c r="F5387" s="14"/>
      <c r="G5387" s="14"/>
      <c r="H5387" s="14"/>
      <c r="I5387" s="14"/>
      <c r="J5387" s="14"/>
      <c r="K5387" s="14"/>
      <c r="L5387" s="14"/>
      <c r="M5387" s="14"/>
      <c r="N5387" s="14"/>
      <c r="O5387" s="14"/>
      <c r="P5387" s="14"/>
      <c r="Q5387" s="14"/>
      <c r="R5387" s="14"/>
      <c r="S5387" s="14"/>
      <c r="T5387" s="14"/>
      <c r="U5387" s="14"/>
      <c r="V5387" s="14"/>
      <c r="W5387" s="14"/>
      <c r="X5387" s="14"/>
      <c r="Y5387" s="14"/>
      <c r="Z5387" s="14"/>
      <c r="AA5387" s="14"/>
      <c r="AB5387" s="14"/>
      <c r="AC5387" s="14"/>
      <c r="AD5387" s="14"/>
      <c r="AE5387" s="14"/>
      <c r="AF5387" s="14"/>
      <c r="AG5387" s="14"/>
      <c r="AH5387" s="14"/>
      <c r="AI5387" s="14"/>
      <c r="AJ5387" s="14"/>
      <c r="AK5387" s="14"/>
      <c r="AL5387" s="14"/>
    </row>
  </sheetData>
  <sheetProtection password="C345" sheet="1" objects="1" scenarios="1" selectLockedCells="1"/>
  <sortState ref="U1:X19">
    <sortCondition ref="U1:U19"/>
  </sortState>
  <dataConsolidate/>
  <mergeCells count="9">
    <mergeCell ref="N1:O1"/>
    <mergeCell ref="N2:O2"/>
    <mergeCell ref="D1:E1"/>
    <mergeCell ref="A1:B1"/>
    <mergeCell ref="A8:B8"/>
    <mergeCell ref="H168:I168"/>
    <mergeCell ref="H157:I157"/>
    <mergeCell ref="H28:I28"/>
    <mergeCell ref="N3:O3"/>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MASTER FILE</vt:lpstr>
      <vt:lpstr>PENSION-STATE</vt:lpstr>
      <vt:lpstr>PENSION-UGC</vt:lpstr>
      <vt:lpstr>Psh</vt:lpstr>
      <vt:lpstr>'MASTER FILE'!Criteria</vt:lpstr>
      <vt:lpstr>'PENSION-STATE'!Print_Area</vt:lpstr>
      <vt:lpstr>'PENSION-UGC'!Print_Area</vt:lpstr>
      <vt:lpstr>'MASTER FILE'!Print_Titles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Purushotham</dc:creator>
  <cp:lastModifiedBy>Purushotham</cp:lastModifiedBy>
  <cp:lastPrinted>2020-04-30T11:29:52Z</cp:lastPrinted>
  <dcterms:created xsi:type="dcterms:W3CDTF">2014-12-07T11:23:17Z</dcterms:created>
  <dcterms:modified xsi:type="dcterms:W3CDTF">2020-05-01T07:33:19Z</dcterms:modified>
</cp:coreProperties>
</file>